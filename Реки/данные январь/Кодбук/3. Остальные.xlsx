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192.168.0.90\рабочая\2026\Мониторинг обстановки -Паводок-\ДАННЫЕ ДАТАСЕТ 2026\1. Январь Данные\Кодбук\"/>
    </mc:Choice>
  </mc:AlternateContent>
  <xr:revisionPtr revIDLastSave="0" documentId="13_ncr:1_{F5399E54-3D03-48BC-9A8E-19DD0C0DCEDE}" xr6:coauthVersionLast="47" xr6:coauthVersionMax="47" xr10:uidLastSave="{00000000-0000-0000-0000-000000000000}"/>
  <bookViews>
    <workbookView xWindow="13530" yWindow="1140" windowWidth="15495" windowHeight="14265" xr2:uid="{00000000-000D-0000-FFFF-FFFF00000000}"/>
  </bookViews>
  <sheets>
    <sheet name="Зачернение" sheetId="6" r:id="rId1"/>
    <sheet name="Реестр_ЧС" sheetId="7" r:id="rId2"/>
    <sheet name="Анализ_ЧС" sheetId="8" r:id="rId3"/>
    <sheet name="Реестр_затопленных_домов" sheetId="9" r:id="rId4"/>
    <sheet name="Реестр_затопленных_НП" sheetId="10" r:id="rId5"/>
    <sheet name="Перечень_НП" sheetId="11" r:id="rId6"/>
    <sheet name="Подтопленные дороги" sheetId="12" r:id="rId7"/>
    <sheet name="ГТС" sheetId="13" r:id="rId8"/>
    <sheet name="Работы водохранилищ" sheetId="14" r:id="rId9"/>
    <sheet name="Оперативные данные по сбросу" sheetId="15" r:id="rId10"/>
    <sheet name="ГМС" sheetId="2" r:id="rId11"/>
    <sheet name="ОКТМО" sheetId="3" r:id="rId12"/>
    <sheet name="Матрицы" sheetId="4" r:id="rId13"/>
    <sheet name="Координаты_ОКТМО" sheetId="5" r:id="rId14"/>
  </sheets>
  <externalReferences>
    <externalReference r:id="rId15"/>
  </externalReferences>
  <definedNames>
    <definedName name="_xlnm._FilterDatabase" localSheetId="10" hidden="1">ГМС!$A$1:$K$224</definedName>
    <definedName name="_xlnm._FilterDatabase" localSheetId="13" hidden="1">Координаты_ОКТМО!$A$1:$J$628</definedName>
    <definedName name="_xlnm._FilterDatabase" localSheetId="11" hidden="1">ОКТМО!$Q$1:$Q$671</definedName>
    <definedName name="_xlnm._FilterDatabase" localSheetId="1" hidden="1">Реестр_ЧС!$A$1:$L$735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8" i="11" l="1"/>
  <c r="F209" i="11"/>
  <c r="F210" i="11"/>
  <c r="T210" i="11" s="1"/>
  <c r="F211" i="11"/>
  <c r="F212" i="11"/>
  <c r="F213" i="11"/>
  <c r="F214" i="11"/>
  <c r="F215" i="11"/>
  <c r="F216" i="11"/>
  <c r="F217" i="11"/>
  <c r="F218" i="11"/>
  <c r="F219" i="11"/>
  <c r="F220" i="11"/>
  <c r="T220" i="11" s="1"/>
  <c r="F221" i="11"/>
  <c r="T221" i="11" s="1"/>
  <c r="F99" i="11"/>
  <c r="F100" i="11"/>
  <c r="F101" i="11"/>
  <c r="F102" i="11"/>
  <c r="F103" i="11"/>
  <c r="F104" i="11"/>
  <c r="F105" i="11"/>
  <c r="F106" i="11"/>
  <c r="F107" i="11"/>
  <c r="F108" i="11"/>
  <c r="F109" i="11"/>
  <c r="F110" i="11"/>
  <c r="F111" i="11"/>
  <c r="F112" i="11"/>
  <c r="F113" i="11"/>
  <c r="F114" i="11"/>
  <c r="T114" i="11" s="1"/>
  <c r="F115" i="11"/>
  <c r="F116" i="11"/>
  <c r="F117" i="11"/>
  <c r="F118" i="11"/>
  <c r="F119" i="11"/>
  <c r="F120" i="11"/>
  <c r="F121" i="11"/>
  <c r="F122" i="11"/>
  <c r="F123" i="11"/>
  <c r="F124" i="11"/>
  <c r="F125" i="11"/>
  <c r="F126" i="11"/>
  <c r="F127" i="11"/>
  <c r="F128" i="11"/>
  <c r="F129" i="11"/>
  <c r="F130" i="11"/>
  <c r="T130" i="11" s="1"/>
  <c r="F131" i="11"/>
  <c r="F132" i="11"/>
  <c r="F133" i="11"/>
  <c r="F134" i="11"/>
  <c r="F135" i="11"/>
  <c r="F136" i="11"/>
  <c r="F137" i="11"/>
  <c r="F138" i="11"/>
  <c r="F139" i="11"/>
  <c r="F140" i="11"/>
  <c r="F141" i="11"/>
  <c r="F142" i="11"/>
  <c r="F143" i="11"/>
  <c r="F144" i="11"/>
  <c r="F145" i="11"/>
  <c r="F146" i="11"/>
  <c r="T146" i="11" s="1"/>
  <c r="F147" i="11"/>
  <c r="F148" i="11"/>
  <c r="F149" i="11"/>
  <c r="F150" i="11"/>
  <c r="F151" i="11"/>
  <c r="F152" i="11"/>
  <c r="F153" i="11"/>
  <c r="F154" i="11"/>
  <c r="F155" i="11"/>
  <c r="F156" i="11"/>
  <c r="F157" i="11"/>
  <c r="F158" i="11"/>
  <c r="F159" i="11"/>
  <c r="F160" i="11"/>
  <c r="F161" i="11"/>
  <c r="F162" i="11"/>
  <c r="T162" i="11" s="1"/>
  <c r="F163" i="11"/>
  <c r="F164" i="11"/>
  <c r="F165" i="11"/>
  <c r="F166" i="11"/>
  <c r="F167" i="11"/>
  <c r="F168" i="11"/>
  <c r="F169" i="11"/>
  <c r="F171" i="11"/>
  <c r="F172" i="11"/>
  <c r="F173" i="11"/>
  <c r="F174" i="11"/>
  <c r="F175" i="11"/>
  <c r="F176" i="11"/>
  <c r="F177" i="11"/>
  <c r="F178" i="11"/>
  <c r="T178" i="11" s="1"/>
  <c r="F179" i="11"/>
  <c r="F180" i="11"/>
  <c r="F181" i="11"/>
  <c r="F182" i="11"/>
  <c r="F183" i="11"/>
  <c r="F184" i="11"/>
  <c r="F185" i="11"/>
  <c r="F186" i="11"/>
  <c r="F187" i="11"/>
  <c r="F188" i="11"/>
  <c r="F189" i="11"/>
  <c r="F190" i="11"/>
  <c r="F191" i="11"/>
  <c r="F192" i="11"/>
  <c r="T192" i="11" s="1"/>
  <c r="F193" i="11"/>
  <c r="F194" i="11"/>
  <c r="T194" i="11" s="1"/>
  <c r="F195" i="11"/>
  <c r="F196" i="11"/>
  <c r="T196" i="11" s="1"/>
  <c r="F197" i="11"/>
  <c r="F198" i="11"/>
  <c r="T198" i="11" s="1"/>
  <c r="F199" i="11"/>
  <c r="F200" i="11"/>
  <c r="F201" i="11"/>
  <c r="F202" i="11"/>
  <c r="F203" i="11"/>
  <c r="F204" i="11"/>
  <c r="T204" i="11" s="1"/>
  <c r="F205" i="11"/>
  <c r="F206" i="11"/>
  <c r="F207" i="11"/>
  <c r="T208" i="11"/>
  <c r="T211" i="11"/>
  <c r="T212" i="11"/>
  <c r="T214" i="11"/>
  <c r="D130" i="11"/>
  <c r="D138" i="11"/>
  <c r="D126" i="11"/>
  <c r="D127" i="11"/>
  <c r="D128" i="11"/>
  <c r="H129" i="11"/>
  <c r="H130" i="11"/>
  <c r="D131" i="11"/>
  <c r="D132" i="11"/>
  <c r="D133" i="11"/>
  <c r="D134" i="11"/>
  <c r="H135" i="11"/>
  <c r="H136" i="11"/>
  <c r="H137" i="11"/>
  <c r="H139" i="11"/>
  <c r="H140" i="11"/>
  <c r="I141" i="11"/>
  <c r="I142" i="11"/>
  <c r="D143" i="11"/>
  <c r="D144" i="11"/>
  <c r="D145" i="11"/>
  <c r="D146" i="11"/>
  <c r="D147" i="11"/>
  <c r="I148" i="11"/>
  <c r="H149" i="11"/>
  <c r="H150" i="11"/>
  <c r="H151" i="11"/>
  <c r="H152" i="11"/>
  <c r="D153" i="11"/>
  <c r="D154" i="11"/>
  <c r="D155" i="11"/>
  <c r="H156" i="11"/>
  <c r="D157" i="11"/>
  <c r="H158" i="11"/>
  <c r="I159" i="11"/>
  <c r="I160" i="11"/>
  <c r="D161" i="11"/>
  <c r="I162" i="11"/>
  <c r="H163" i="11"/>
  <c r="H164" i="11"/>
  <c r="D165" i="11"/>
  <c r="D166" i="11"/>
  <c r="D167" i="11"/>
  <c r="D168" i="11"/>
  <c r="D169" i="11"/>
  <c r="H171" i="11"/>
  <c r="H172" i="11"/>
  <c r="D173" i="11"/>
  <c r="I174" i="11"/>
  <c r="I175" i="11"/>
  <c r="D176" i="11"/>
  <c r="I177" i="11"/>
  <c r="I178" i="11"/>
  <c r="I179" i="11"/>
  <c r="D180" i="11"/>
  <c r="H181" i="11"/>
  <c r="I182" i="11"/>
  <c r="D183" i="11"/>
  <c r="D184" i="11"/>
  <c r="I185" i="11"/>
  <c r="I186" i="11"/>
  <c r="D187" i="11"/>
  <c r="H188" i="11"/>
  <c r="D189" i="11"/>
  <c r="D190" i="11"/>
  <c r="I191" i="11"/>
  <c r="D192" i="11"/>
  <c r="H193" i="11"/>
  <c r="D194" i="11"/>
  <c r="I195" i="11"/>
  <c r="I196" i="11"/>
  <c r="I197" i="11"/>
  <c r="H198" i="11"/>
  <c r="I199" i="11"/>
  <c r="I200" i="11"/>
  <c r="I201" i="11"/>
  <c r="I202" i="11"/>
  <c r="D203" i="11"/>
  <c r="D204" i="11"/>
  <c r="I205" i="11"/>
  <c r="I206" i="11"/>
  <c r="D207" i="11"/>
  <c r="I208" i="11"/>
  <c r="D209" i="11"/>
  <c r="H210" i="11"/>
  <c r="I211" i="11"/>
  <c r="I212" i="11"/>
  <c r="I213" i="11"/>
  <c r="I214" i="11"/>
  <c r="I215" i="11"/>
  <c r="I216" i="11"/>
  <c r="I217" i="11"/>
  <c r="I218" i="11"/>
  <c r="D219" i="11"/>
  <c r="H220" i="11"/>
  <c r="I221" i="11"/>
  <c r="D125" i="11"/>
  <c r="T125" i="11"/>
  <c r="T126" i="11"/>
  <c r="T127" i="11"/>
  <c r="T128" i="11"/>
  <c r="T129" i="11"/>
  <c r="T131" i="11"/>
  <c r="T132" i="11"/>
  <c r="T133" i="11"/>
  <c r="T134" i="11"/>
  <c r="T135" i="11"/>
  <c r="T136" i="11"/>
  <c r="T137" i="11"/>
  <c r="T138" i="11"/>
  <c r="T139" i="11"/>
  <c r="T140" i="11"/>
  <c r="T141" i="11"/>
  <c r="T142" i="11"/>
  <c r="T143" i="11"/>
  <c r="T144" i="11"/>
  <c r="T145" i="11"/>
  <c r="T147" i="11"/>
  <c r="T148" i="11"/>
  <c r="T149" i="11"/>
  <c r="T150" i="11"/>
  <c r="T151" i="11"/>
  <c r="T152" i="11"/>
  <c r="T153" i="11"/>
  <c r="T154" i="11"/>
  <c r="T155" i="11"/>
  <c r="T156" i="11"/>
  <c r="T157" i="11"/>
  <c r="T158" i="11"/>
  <c r="T159" i="11"/>
  <c r="T160" i="11"/>
  <c r="T161" i="11"/>
  <c r="T163" i="11"/>
  <c r="T164" i="11"/>
  <c r="T165" i="11"/>
  <c r="T166" i="11"/>
  <c r="T167" i="11"/>
  <c r="T168" i="11"/>
  <c r="T169" i="11"/>
  <c r="T171" i="11"/>
  <c r="T172" i="11"/>
  <c r="T173" i="11"/>
  <c r="T174" i="11"/>
  <c r="T175" i="11"/>
  <c r="T176" i="11"/>
  <c r="T177" i="11"/>
  <c r="T179" i="11"/>
  <c r="T180" i="11"/>
  <c r="T181" i="11"/>
  <c r="T182" i="11"/>
  <c r="T183" i="11"/>
  <c r="T184" i="11"/>
  <c r="T185" i="11"/>
  <c r="T186" i="11"/>
  <c r="T187" i="11"/>
  <c r="T188" i="11"/>
  <c r="T189" i="11"/>
  <c r="T190" i="11"/>
  <c r="T191" i="11"/>
  <c r="T193" i="11"/>
  <c r="T195" i="11"/>
  <c r="T197" i="11"/>
  <c r="T199" i="11"/>
  <c r="T200" i="11"/>
  <c r="T201" i="11"/>
  <c r="T202" i="11"/>
  <c r="T203" i="11"/>
  <c r="T205" i="11"/>
  <c r="T206" i="11"/>
  <c r="T207" i="11"/>
  <c r="T209" i="11"/>
  <c r="T213" i="11"/>
  <c r="T215" i="11"/>
  <c r="T216" i="11"/>
  <c r="T217" i="11"/>
  <c r="T218" i="11"/>
  <c r="T219" i="11"/>
  <c r="T115" i="11"/>
  <c r="T116" i="11"/>
  <c r="T117" i="11"/>
  <c r="T118" i="11"/>
  <c r="T119" i="11"/>
  <c r="T120" i="11"/>
  <c r="T121" i="11"/>
  <c r="T122" i="11"/>
  <c r="T123" i="11"/>
  <c r="T124" i="11"/>
  <c r="I114" i="11"/>
  <c r="I115" i="11"/>
  <c r="I116" i="11"/>
  <c r="I117" i="11"/>
  <c r="I118" i="11"/>
  <c r="I119" i="11"/>
  <c r="I120" i="11"/>
  <c r="I121" i="11"/>
  <c r="I122" i="11"/>
  <c r="I123" i="11"/>
  <c r="I124" i="11"/>
  <c r="H114" i="11"/>
  <c r="H115" i="11"/>
  <c r="H116" i="11"/>
  <c r="H117" i="11"/>
  <c r="H118" i="11"/>
  <c r="H119" i="11"/>
  <c r="H120" i="11"/>
  <c r="H121" i="11"/>
  <c r="H122" i="11"/>
  <c r="H123" i="11"/>
  <c r="H124" i="11"/>
  <c r="D114" i="11"/>
  <c r="D115" i="11"/>
  <c r="D116" i="11"/>
  <c r="D117" i="11"/>
  <c r="D118" i="11"/>
  <c r="D119" i="11"/>
  <c r="D120" i="11"/>
  <c r="D121" i="11"/>
  <c r="D122" i="11"/>
  <c r="D123" i="11"/>
  <c r="D124" i="11"/>
  <c r="T8" i="11"/>
  <c r="T11" i="11"/>
  <c r="T21" i="11"/>
  <c r="T43" i="11"/>
  <c r="T75" i="11"/>
  <c r="T88" i="11"/>
  <c r="T107" i="11"/>
  <c r="F5" i="11"/>
  <c r="T5" i="11" s="1"/>
  <c r="F6" i="11"/>
  <c r="T6" i="11" s="1"/>
  <c r="F7" i="11"/>
  <c r="T7" i="11" s="1"/>
  <c r="F8" i="11"/>
  <c r="F9" i="11"/>
  <c r="T9" i="11" s="1"/>
  <c r="F10" i="11"/>
  <c r="T10" i="11" s="1"/>
  <c r="F11" i="11"/>
  <c r="F12" i="11"/>
  <c r="T12" i="11" s="1"/>
  <c r="F13" i="11"/>
  <c r="T13" i="11" s="1"/>
  <c r="F14" i="11"/>
  <c r="T14" i="11" s="1"/>
  <c r="F15" i="11"/>
  <c r="T15" i="11" s="1"/>
  <c r="F16" i="11"/>
  <c r="T16" i="11" s="1"/>
  <c r="F17" i="11"/>
  <c r="T17" i="11" s="1"/>
  <c r="F18" i="11"/>
  <c r="T18" i="11" s="1"/>
  <c r="F19" i="11"/>
  <c r="T19" i="11" s="1"/>
  <c r="F20" i="11"/>
  <c r="T20" i="11" s="1"/>
  <c r="F21" i="11"/>
  <c r="F22" i="11"/>
  <c r="T22" i="11" s="1"/>
  <c r="F23" i="11"/>
  <c r="T23" i="11" s="1"/>
  <c r="F24" i="11"/>
  <c r="T24" i="11" s="1"/>
  <c r="F25" i="11"/>
  <c r="T25" i="11" s="1"/>
  <c r="F26" i="11"/>
  <c r="T26" i="11" s="1"/>
  <c r="F27" i="11"/>
  <c r="T27" i="11" s="1"/>
  <c r="F28" i="11"/>
  <c r="T28" i="11" s="1"/>
  <c r="F29" i="11"/>
  <c r="T29" i="11" s="1"/>
  <c r="F30" i="11"/>
  <c r="T30" i="11" s="1"/>
  <c r="F31" i="11"/>
  <c r="T31" i="11" s="1"/>
  <c r="F32" i="11"/>
  <c r="T32" i="11" s="1"/>
  <c r="F33" i="11"/>
  <c r="T33" i="11" s="1"/>
  <c r="F34" i="11"/>
  <c r="T34" i="11" s="1"/>
  <c r="F35" i="11"/>
  <c r="T35" i="11" s="1"/>
  <c r="F36" i="11"/>
  <c r="T36" i="11" s="1"/>
  <c r="F37" i="11"/>
  <c r="T37" i="11" s="1"/>
  <c r="F38" i="11"/>
  <c r="T38" i="11" s="1"/>
  <c r="F39" i="11"/>
  <c r="T39" i="11" s="1"/>
  <c r="F40" i="11"/>
  <c r="T40" i="11" s="1"/>
  <c r="F41" i="11"/>
  <c r="T41" i="11" s="1"/>
  <c r="F42" i="11"/>
  <c r="T42" i="11" s="1"/>
  <c r="F43" i="11"/>
  <c r="F44" i="11"/>
  <c r="T44" i="11" s="1"/>
  <c r="F45" i="11"/>
  <c r="T45" i="11" s="1"/>
  <c r="F46" i="11"/>
  <c r="T46" i="11" s="1"/>
  <c r="F47" i="11"/>
  <c r="T47" i="11" s="1"/>
  <c r="F48" i="11"/>
  <c r="T48" i="11" s="1"/>
  <c r="F49" i="11"/>
  <c r="T49" i="11" s="1"/>
  <c r="F50" i="11"/>
  <c r="T50" i="11" s="1"/>
  <c r="F51" i="11"/>
  <c r="T51" i="11" s="1"/>
  <c r="F52" i="11"/>
  <c r="T52" i="11" s="1"/>
  <c r="F53" i="11"/>
  <c r="T53" i="11" s="1"/>
  <c r="F54" i="11"/>
  <c r="T54" i="11" s="1"/>
  <c r="F55" i="11"/>
  <c r="T55" i="11" s="1"/>
  <c r="F56" i="11"/>
  <c r="T56" i="11" s="1"/>
  <c r="F57" i="11"/>
  <c r="T57" i="11" s="1"/>
  <c r="F58" i="11"/>
  <c r="T58" i="11" s="1"/>
  <c r="F59" i="11"/>
  <c r="T59" i="11" s="1"/>
  <c r="F60" i="11"/>
  <c r="T60" i="11" s="1"/>
  <c r="F61" i="11"/>
  <c r="T61" i="11" s="1"/>
  <c r="F62" i="11"/>
  <c r="T62" i="11" s="1"/>
  <c r="F63" i="11"/>
  <c r="T63" i="11" s="1"/>
  <c r="F64" i="11"/>
  <c r="T64" i="11" s="1"/>
  <c r="F65" i="11"/>
  <c r="T65" i="11" s="1"/>
  <c r="F66" i="11"/>
  <c r="T66" i="11" s="1"/>
  <c r="F67" i="11"/>
  <c r="T67" i="11" s="1"/>
  <c r="F68" i="11"/>
  <c r="T68" i="11" s="1"/>
  <c r="F69" i="11"/>
  <c r="T69" i="11" s="1"/>
  <c r="F70" i="11"/>
  <c r="T70" i="11" s="1"/>
  <c r="F71" i="11"/>
  <c r="T71" i="11" s="1"/>
  <c r="F72" i="11"/>
  <c r="T72" i="11" s="1"/>
  <c r="F73" i="11"/>
  <c r="T73" i="11" s="1"/>
  <c r="F74" i="11"/>
  <c r="T74" i="11" s="1"/>
  <c r="F75" i="11"/>
  <c r="F76" i="11"/>
  <c r="T76" i="11" s="1"/>
  <c r="F77" i="11"/>
  <c r="T77" i="11" s="1"/>
  <c r="F78" i="11"/>
  <c r="T78" i="11" s="1"/>
  <c r="F79" i="11"/>
  <c r="T79" i="11" s="1"/>
  <c r="F80" i="11"/>
  <c r="T80" i="11" s="1"/>
  <c r="F81" i="11"/>
  <c r="T81" i="11" s="1"/>
  <c r="F82" i="11"/>
  <c r="T82" i="11" s="1"/>
  <c r="F83" i="11"/>
  <c r="T83" i="11" s="1"/>
  <c r="F84" i="11"/>
  <c r="T84" i="11" s="1"/>
  <c r="F85" i="11"/>
  <c r="T85" i="11" s="1"/>
  <c r="F86" i="11"/>
  <c r="T86" i="11" s="1"/>
  <c r="F87" i="11"/>
  <c r="T87" i="11" s="1"/>
  <c r="F88" i="11"/>
  <c r="F89" i="11"/>
  <c r="T89" i="11" s="1"/>
  <c r="F90" i="11"/>
  <c r="T90" i="11" s="1"/>
  <c r="F91" i="11"/>
  <c r="T91" i="11" s="1"/>
  <c r="F92" i="11"/>
  <c r="T92" i="11" s="1"/>
  <c r="F93" i="11"/>
  <c r="T93" i="11" s="1"/>
  <c r="F94" i="11"/>
  <c r="T94" i="11" s="1"/>
  <c r="F95" i="11"/>
  <c r="T95" i="11" s="1"/>
  <c r="F96" i="11"/>
  <c r="T96" i="11" s="1"/>
  <c r="F97" i="11"/>
  <c r="T97" i="11" s="1"/>
  <c r="F98" i="11"/>
  <c r="T98" i="11" s="1"/>
  <c r="T99" i="11"/>
  <c r="T100" i="11"/>
  <c r="T101" i="11"/>
  <c r="T102" i="11"/>
  <c r="T103" i="11"/>
  <c r="T104" i="11"/>
  <c r="T105" i="11"/>
  <c r="T106" i="11"/>
  <c r="T108" i="11"/>
  <c r="T109" i="11"/>
  <c r="T110" i="11"/>
  <c r="T111" i="11"/>
  <c r="T112" i="11"/>
  <c r="T113" i="11"/>
  <c r="F4" i="11"/>
  <c r="T4" i="11" s="1"/>
  <c r="D220" i="11" l="1"/>
  <c r="D217" i="11"/>
  <c r="D215" i="11"/>
  <c r="D214" i="11"/>
  <c r="H214" i="11"/>
  <c r="D213" i="11"/>
  <c r="H213" i="11"/>
  <c r="D212" i="11"/>
  <c r="H212" i="11"/>
  <c r="D211" i="11"/>
  <c r="H211" i="11"/>
  <c r="I210" i="11"/>
  <c r="D210" i="11"/>
  <c r="H209" i="11"/>
  <c r="I209" i="11"/>
  <c r="H203" i="11"/>
  <c r="I203" i="11"/>
  <c r="D202" i="11"/>
  <c r="H201" i="11"/>
  <c r="D201" i="11"/>
  <c r="H200" i="11"/>
  <c r="D200" i="11"/>
  <c r="H199" i="11"/>
  <c r="D199" i="11"/>
  <c r="D198" i="11"/>
  <c r="I198" i="11"/>
  <c r="H197" i="11"/>
  <c r="D197" i="11"/>
  <c r="H196" i="11"/>
  <c r="D196" i="11"/>
  <c r="D195" i="11"/>
  <c r="H195" i="11"/>
  <c r="H194" i="11"/>
  <c r="I194" i="11"/>
  <c r="D193" i="11"/>
  <c r="I193" i="11"/>
  <c r="H190" i="11"/>
  <c r="H187" i="11"/>
  <c r="I187" i="11"/>
  <c r="D185" i="11"/>
  <c r="H185" i="11"/>
  <c r="H184" i="11"/>
  <c r="I184" i="11"/>
  <c r="H183" i="11"/>
  <c r="I183" i="11"/>
  <c r="D182" i="11"/>
  <c r="H182" i="11"/>
  <c r="I181" i="11"/>
  <c r="D181" i="11"/>
  <c r="H180" i="11"/>
  <c r="I180" i="11"/>
  <c r="H179" i="11"/>
  <c r="D179" i="11"/>
  <c r="H178" i="11"/>
  <c r="D178" i="11"/>
  <c r="H177" i="11"/>
  <c r="D177" i="11"/>
  <c r="D174" i="11"/>
  <c r="D172" i="11"/>
  <c r="D171" i="11"/>
  <c r="I171" i="11"/>
  <c r="D216" i="11"/>
  <c r="H204" i="11"/>
  <c r="D188" i="11"/>
  <c r="D206" i="11"/>
  <c r="H219" i="11"/>
  <c r="I219" i="11"/>
  <c r="D205" i="11"/>
  <c r="H217" i="11"/>
  <c r="H216" i="11"/>
  <c r="H215" i="11"/>
  <c r="H186" i="11"/>
  <c r="I169" i="11"/>
  <c r="H169" i="11"/>
  <c r="H168" i="11"/>
  <c r="I168" i="11"/>
  <c r="H167" i="11"/>
  <c r="I167" i="11"/>
  <c r="H166" i="11"/>
  <c r="I166" i="11"/>
  <c r="H165" i="11"/>
  <c r="I165" i="11"/>
  <c r="D164" i="11"/>
  <c r="I164" i="11"/>
  <c r="D163" i="11"/>
  <c r="I163" i="11"/>
  <c r="H162" i="11"/>
  <c r="D162" i="11"/>
  <c r="I161" i="11"/>
  <c r="H161" i="11"/>
  <c r="D158" i="11"/>
  <c r="D156" i="11"/>
  <c r="I155" i="11"/>
  <c r="H155" i="11"/>
  <c r="I153" i="11"/>
  <c r="H153" i="11"/>
  <c r="I152" i="11"/>
  <c r="D152" i="11"/>
  <c r="D151" i="11"/>
  <c r="I151" i="11"/>
  <c r="D150" i="11"/>
  <c r="I150" i="11"/>
  <c r="D149" i="11"/>
  <c r="I149" i="11"/>
  <c r="D148" i="11"/>
  <c r="H148" i="11"/>
  <c r="H147" i="11"/>
  <c r="I147" i="11"/>
  <c r="H146" i="11"/>
  <c r="I146" i="11"/>
  <c r="H145" i="11"/>
  <c r="I145" i="11"/>
  <c r="D142" i="11"/>
  <c r="D140" i="11"/>
  <c r="I139" i="11"/>
  <c r="D139" i="11"/>
  <c r="I137" i="11"/>
  <c r="D137" i="11"/>
  <c r="D136" i="11"/>
  <c r="I136" i="11"/>
  <c r="D135" i="11"/>
  <c r="I135" i="11"/>
  <c r="I134" i="11"/>
  <c r="H134" i="11"/>
  <c r="I133" i="11"/>
  <c r="H133" i="11"/>
  <c r="I132" i="11"/>
  <c r="H132" i="11"/>
  <c r="I131" i="11"/>
  <c r="H131" i="11"/>
  <c r="I130" i="11"/>
  <c r="I129" i="11"/>
  <c r="D129" i="11"/>
  <c r="D186" i="11"/>
  <c r="I173" i="11"/>
  <c r="H138" i="11"/>
  <c r="I143" i="11"/>
  <c r="D221" i="11"/>
  <c r="I138" i="11"/>
  <c r="I157" i="11"/>
  <c r="D141" i="11"/>
  <c r="H202" i="11"/>
  <c r="D218" i="11"/>
  <c r="H154" i="11"/>
  <c r="I154" i="11"/>
  <c r="H218" i="11"/>
  <c r="H189" i="11"/>
  <c r="I192" i="11"/>
  <c r="I190" i="11"/>
  <c r="H207" i="11"/>
  <c r="H191" i="11"/>
  <c r="H175" i="11"/>
  <c r="H159" i="11"/>
  <c r="H143" i="11"/>
  <c r="I220" i="11"/>
  <c r="I204" i="11"/>
  <c r="I188" i="11"/>
  <c r="I172" i="11"/>
  <c r="I156" i="11"/>
  <c r="I140" i="11"/>
  <c r="I176" i="11"/>
  <c r="I158" i="11"/>
  <c r="H206" i="11"/>
  <c r="H174" i="11"/>
  <c r="H142" i="11"/>
  <c r="H176" i="11"/>
  <c r="I189" i="11"/>
  <c r="H221" i="11"/>
  <c r="H205" i="11"/>
  <c r="H173" i="11"/>
  <c r="H157" i="11"/>
  <c r="H141" i="11"/>
  <c r="H192" i="11"/>
  <c r="I207" i="11"/>
  <c r="H208" i="11"/>
  <c r="H144" i="11"/>
  <c r="I144" i="11"/>
  <c r="H160" i="11"/>
  <c r="D208" i="11"/>
  <c r="D160" i="11"/>
  <c r="D191" i="11"/>
  <c r="D175" i="11"/>
  <c r="D159" i="11"/>
  <c r="I128" i="11"/>
  <c r="H128" i="11"/>
  <c r="I127" i="11"/>
  <c r="H127" i="11"/>
  <c r="H126" i="11"/>
  <c r="I126" i="11"/>
  <c r="H125" i="11"/>
  <c r="I125" i="11"/>
  <c r="D5" i="11" l="1"/>
  <c r="D6" i="11"/>
  <c r="D7" i="11"/>
  <c r="D8"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4" i="11"/>
  <c r="B75" i="6"/>
  <c r="B76" i="6"/>
  <c r="B77" i="6"/>
  <c r="E76" i="6"/>
  <c r="E77" i="6"/>
  <c r="F77" i="6"/>
  <c r="K76" i="6"/>
  <c r="K77" i="6"/>
  <c r="K75" i="6"/>
  <c r="K74" i="6"/>
  <c r="K73" i="6"/>
  <c r="E73" i="6"/>
  <c r="E74" i="6"/>
  <c r="E75" i="6"/>
  <c r="F71" i="6"/>
  <c r="F72" i="6"/>
  <c r="F73" i="6"/>
  <c r="F74" i="6"/>
  <c r="F75" i="6"/>
  <c r="F76" i="6"/>
  <c r="B61" i="6"/>
  <c r="B62" i="6"/>
  <c r="B63" i="6"/>
  <c r="B64" i="6"/>
  <c r="B65" i="6"/>
  <c r="B66" i="6"/>
  <c r="B67" i="6"/>
  <c r="B68" i="6"/>
  <c r="B69" i="6"/>
  <c r="B70" i="6"/>
  <c r="B71" i="6"/>
  <c r="B72" i="6"/>
  <c r="B73" i="6"/>
  <c r="B74" i="6"/>
  <c r="E60" i="6"/>
  <c r="E61" i="6"/>
  <c r="E62" i="6"/>
  <c r="E63" i="6"/>
  <c r="E64" i="6"/>
  <c r="E65" i="6"/>
  <c r="E66" i="6"/>
  <c r="E67" i="6"/>
  <c r="E68" i="6"/>
  <c r="E69" i="6"/>
  <c r="E70" i="6"/>
  <c r="E71" i="6"/>
  <c r="E72" i="6"/>
  <c r="F61" i="6"/>
  <c r="F62" i="6"/>
  <c r="F63" i="6"/>
  <c r="F64" i="6"/>
  <c r="F65" i="6"/>
  <c r="F66" i="6"/>
  <c r="F67" i="6"/>
  <c r="F68" i="6"/>
  <c r="F69" i="6"/>
  <c r="F70" i="6"/>
  <c r="K59" i="6"/>
  <c r="K61" i="6"/>
  <c r="K62" i="6"/>
  <c r="K63" i="6"/>
  <c r="K64" i="6"/>
  <c r="K65" i="6"/>
  <c r="K66" i="6"/>
  <c r="K67" i="6"/>
  <c r="K68" i="6"/>
  <c r="K69" i="6"/>
  <c r="K70" i="6"/>
  <c r="K71" i="6"/>
  <c r="K72" i="6"/>
  <c r="K50" i="6"/>
  <c r="F42"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3" i="6"/>
  <c r="K39" i="6"/>
  <c r="K40" i="6"/>
  <c r="K41" i="6"/>
  <c r="K42" i="6"/>
  <c r="K43" i="6"/>
  <c r="K44" i="6"/>
  <c r="K45" i="6"/>
  <c r="K46" i="6"/>
  <c r="K47" i="6"/>
  <c r="K48" i="6"/>
  <c r="K51" i="6"/>
  <c r="K54" i="6"/>
  <c r="K55" i="6"/>
  <c r="K57" i="6"/>
  <c r="F39" i="6"/>
  <c r="F40" i="6"/>
  <c r="F41" i="6"/>
  <c r="F43" i="6"/>
  <c r="F44" i="6"/>
  <c r="F45" i="6"/>
  <c r="F46" i="6"/>
  <c r="F47" i="6"/>
  <c r="F48" i="6"/>
  <c r="F49" i="6"/>
  <c r="F50" i="6"/>
  <c r="F51" i="6"/>
  <c r="F52" i="6"/>
  <c r="F53" i="6"/>
  <c r="F54" i="6"/>
  <c r="F55" i="6"/>
  <c r="F56" i="6"/>
  <c r="F57" i="6"/>
  <c r="F58" i="6"/>
  <c r="F59" i="6"/>
  <c r="F60" i="6"/>
  <c r="E39" i="6"/>
  <c r="E40" i="6"/>
  <c r="E41" i="6"/>
  <c r="E42" i="6"/>
  <c r="E43" i="6"/>
  <c r="E44" i="6"/>
  <c r="E45" i="6"/>
  <c r="E46" i="6"/>
  <c r="E47" i="6"/>
  <c r="E48" i="6"/>
  <c r="E49" i="6"/>
  <c r="E50" i="6"/>
  <c r="E51" i="6"/>
  <c r="E52" i="6"/>
  <c r="E53" i="6"/>
  <c r="E54" i="6"/>
  <c r="E55" i="6"/>
  <c r="E56" i="6"/>
  <c r="E57" i="6"/>
  <c r="E58" i="6"/>
  <c r="E59" i="6"/>
  <c r="K32" i="6"/>
  <c r="K33" i="6"/>
  <c r="K34" i="6"/>
  <c r="K35" i="6"/>
  <c r="K36" i="6"/>
  <c r="K37" i="6"/>
  <c r="K38" i="6"/>
  <c r="K31"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 i="6"/>
  <c r="F4" i="6"/>
  <c r="E4" i="6"/>
  <c r="G23" i="6"/>
  <c r="B440" i="10"/>
  <c r="A440" i="10"/>
  <c r="B439" i="10"/>
  <c r="A439" i="10"/>
  <c r="B438" i="10"/>
  <c r="A438" i="10"/>
  <c r="B437" i="10"/>
  <c r="A437" i="10"/>
  <c r="B436" i="10"/>
  <c r="A436" i="10"/>
  <c r="B435" i="10"/>
  <c r="A435" i="10"/>
  <c r="B434" i="10"/>
  <c r="A434" i="10"/>
  <c r="B433" i="10"/>
  <c r="A433" i="10"/>
  <c r="B432" i="10"/>
  <c r="A432" i="10"/>
  <c r="B431" i="10"/>
  <c r="A431" i="10"/>
  <c r="B430" i="10"/>
  <c r="A430" i="10"/>
  <c r="B429" i="10"/>
  <c r="A429" i="10"/>
  <c r="B428" i="10"/>
  <c r="A428" i="10"/>
  <c r="B427" i="10"/>
  <c r="A427" i="10"/>
  <c r="B426" i="10"/>
  <c r="A426" i="10"/>
  <c r="B425" i="10"/>
  <c r="A425" i="10"/>
  <c r="B424" i="10"/>
  <c r="A424" i="10"/>
  <c r="B423" i="10"/>
  <c r="A423" i="10"/>
  <c r="B422" i="10"/>
  <c r="A422" i="10"/>
  <c r="B421" i="10"/>
  <c r="A421" i="10"/>
  <c r="B420" i="10"/>
  <c r="A420" i="10"/>
  <c r="B419" i="10"/>
  <c r="A419" i="10"/>
  <c r="B418" i="10"/>
  <c r="A418" i="10"/>
  <c r="B417" i="10"/>
  <c r="A417" i="10"/>
  <c r="B416" i="10"/>
  <c r="A416" i="10"/>
  <c r="B415" i="10"/>
  <c r="A415" i="10"/>
  <c r="B414" i="10"/>
  <c r="A414" i="10"/>
  <c r="B413" i="10"/>
  <c r="A413" i="10"/>
  <c r="B412" i="10"/>
  <c r="A412" i="10"/>
  <c r="B411" i="10"/>
  <c r="A411" i="10"/>
  <c r="B410" i="10"/>
  <c r="A410" i="10"/>
  <c r="B409" i="10"/>
  <c r="A409" i="10"/>
  <c r="B408" i="10"/>
  <c r="A408" i="10"/>
  <c r="B407" i="10"/>
  <c r="A407" i="10"/>
  <c r="B406" i="10"/>
  <c r="A406" i="10"/>
  <c r="B405" i="10"/>
  <c r="A405" i="10"/>
  <c r="B404" i="10"/>
  <c r="A404" i="10"/>
  <c r="B403" i="10"/>
  <c r="A403" i="10"/>
  <c r="B402" i="10"/>
  <c r="A402" i="10"/>
  <c r="B401" i="10"/>
  <c r="A401" i="10"/>
  <c r="B400" i="10"/>
  <c r="A400" i="10"/>
  <c r="B399" i="10"/>
  <c r="A399" i="10"/>
  <c r="B398" i="10"/>
  <c r="A398" i="10"/>
  <c r="B397" i="10"/>
  <c r="A397" i="10"/>
  <c r="B396" i="10"/>
  <c r="A396" i="10"/>
  <c r="B395" i="10"/>
  <c r="A395" i="10"/>
  <c r="B394" i="10"/>
  <c r="A394" i="10"/>
  <c r="B393" i="10"/>
  <c r="A393" i="10"/>
  <c r="B392" i="10"/>
  <c r="A392" i="10"/>
  <c r="B391" i="10"/>
  <c r="A391" i="10"/>
  <c r="B390" i="10"/>
  <c r="A390" i="10"/>
  <c r="B389" i="10"/>
  <c r="A389" i="10"/>
  <c r="B388" i="10"/>
  <c r="A388" i="10"/>
  <c r="B387" i="10"/>
  <c r="A387" i="10"/>
  <c r="B386" i="10"/>
  <c r="A386" i="10"/>
  <c r="B385" i="10"/>
  <c r="A385" i="10"/>
  <c r="B384" i="10"/>
  <c r="A384" i="10"/>
  <c r="B383" i="10"/>
  <c r="A383" i="10"/>
  <c r="B382" i="10"/>
  <c r="A382" i="10"/>
  <c r="B381" i="10"/>
  <c r="A381" i="10"/>
  <c r="B380" i="10"/>
  <c r="A380" i="10"/>
  <c r="B379" i="10"/>
  <c r="A379" i="10"/>
  <c r="B378" i="10"/>
  <c r="A378" i="10"/>
  <c r="B377" i="10"/>
  <c r="A377" i="10"/>
  <c r="B376" i="10"/>
  <c r="A376" i="10"/>
  <c r="B375" i="10"/>
  <c r="A375" i="10"/>
  <c r="B374" i="10"/>
  <c r="A374" i="10"/>
  <c r="B373" i="10"/>
  <c r="A373" i="10"/>
  <c r="B372" i="10"/>
  <c r="A372" i="10"/>
  <c r="B371" i="10"/>
  <c r="A371" i="10"/>
  <c r="B370" i="10"/>
  <c r="A370" i="10"/>
  <c r="B369" i="10"/>
  <c r="A369" i="10"/>
  <c r="B368" i="10"/>
  <c r="A368" i="10"/>
  <c r="B367" i="10"/>
  <c r="A367" i="10"/>
  <c r="B366" i="10"/>
  <c r="A366" i="10"/>
  <c r="B365" i="10"/>
  <c r="A365" i="10"/>
  <c r="B364" i="10"/>
  <c r="A364" i="10"/>
  <c r="B363" i="10"/>
  <c r="A363" i="10"/>
  <c r="B362" i="10"/>
  <c r="A362" i="10"/>
  <c r="B361" i="10"/>
  <c r="A361" i="10"/>
  <c r="B360" i="10"/>
  <c r="A360" i="10"/>
  <c r="B359" i="10"/>
  <c r="A359" i="10"/>
  <c r="B358" i="10"/>
  <c r="A358" i="10"/>
  <c r="B357" i="10"/>
  <c r="A357" i="10"/>
  <c r="B356" i="10"/>
  <c r="A356" i="10"/>
  <c r="B355" i="10"/>
  <c r="A355" i="10"/>
  <c r="B354" i="10"/>
  <c r="A354" i="10"/>
  <c r="B353" i="10"/>
  <c r="A353" i="10"/>
  <c r="B352" i="10"/>
  <c r="A352" i="10"/>
  <c r="B351" i="10"/>
  <c r="A351" i="10"/>
  <c r="B350" i="10"/>
  <c r="A350" i="10"/>
  <c r="B349" i="10"/>
  <c r="A349" i="10"/>
  <c r="B348" i="10"/>
  <c r="A348" i="10"/>
  <c r="B347" i="10"/>
  <c r="A347" i="10"/>
  <c r="B346" i="10"/>
  <c r="A346" i="10"/>
  <c r="B345" i="10"/>
  <c r="A345" i="10"/>
  <c r="B344" i="10"/>
  <c r="A344" i="10"/>
  <c r="B343" i="10"/>
  <c r="A343" i="10"/>
  <c r="B342" i="10"/>
  <c r="A342" i="10"/>
  <c r="B341" i="10"/>
  <c r="A341" i="10"/>
  <c r="B340" i="10"/>
  <c r="A340" i="10"/>
  <c r="B339" i="10"/>
  <c r="A339" i="10"/>
  <c r="B338" i="10"/>
  <c r="A338" i="10"/>
  <c r="B337" i="10"/>
  <c r="A337" i="10"/>
  <c r="B336" i="10"/>
  <c r="A336" i="10"/>
  <c r="B335" i="10"/>
  <c r="A335" i="10"/>
  <c r="B334" i="10"/>
  <c r="A334" i="10"/>
  <c r="B333" i="10"/>
  <c r="A333" i="10"/>
  <c r="B332" i="10"/>
  <c r="A332" i="10"/>
  <c r="B331" i="10"/>
  <c r="A331" i="10"/>
  <c r="B330" i="10"/>
  <c r="A330" i="10"/>
  <c r="B329" i="10"/>
  <c r="A329" i="10"/>
  <c r="B328" i="10"/>
  <c r="A328" i="10"/>
  <c r="B327" i="10"/>
  <c r="A327" i="10"/>
  <c r="B326" i="10"/>
  <c r="A326" i="10"/>
  <c r="B325" i="10"/>
  <c r="A325" i="10"/>
  <c r="B324" i="10"/>
  <c r="A324" i="10"/>
  <c r="B323" i="10"/>
  <c r="A323" i="10"/>
  <c r="B322" i="10"/>
  <c r="A322" i="10"/>
  <c r="B321" i="10"/>
  <c r="A321" i="10"/>
  <c r="B320" i="10"/>
  <c r="A320" i="10"/>
  <c r="B319" i="10"/>
  <c r="A319" i="10"/>
  <c r="B318" i="10"/>
  <c r="A318" i="10"/>
  <c r="B317" i="10"/>
  <c r="A317" i="10"/>
  <c r="B316" i="10"/>
  <c r="A316" i="10"/>
  <c r="B315" i="10"/>
  <c r="A315" i="10"/>
  <c r="B314" i="10"/>
  <c r="A314" i="10"/>
  <c r="B313" i="10"/>
  <c r="A313" i="10"/>
  <c r="B312" i="10"/>
  <c r="A312" i="10"/>
  <c r="B311" i="10"/>
  <c r="A311" i="10"/>
  <c r="B310" i="10"/>
  <c r="A310" i="10"/>
  <c r="B309" i="10"/>
  <c r="A309" i="10"/>
  <c r="B308" i="10"/>
  <c r="A308" i="10"/>
  <c r="B307" i="10"/>
  <c r="A307" i="10"/>
  <c r="B306" i="10"/>
  <c r="A306" i="10"/>
  <c r="B305" i="10"/>
  <c r="A305" i="10"/>
  <c r="B304" i="10"/>
  <c r="A304" i="10"/>
  <c r="B303" i="10"/>
  <c r="A303" i="10"/>
  <c r="B302" i="10"/>
  <c r="A302" i="10"/>
  <c r="B301" i="10"/>
  <c r="A301" i="10"/>
  <c r="B300" i="10"/>
  <c r="A300" i="10"/>
  <c r="B299" i="10"/>
  <c r="A299" i="10"/>
  <c r="B298" i="10"/>
  <c r="A298" i="10"/>
  <c r="B297" i="10"/>
  <c r="A297" i="10"/>
  <c r="B296" i="10"/>
  <c r="A296" i="10"/>
  <c r="B295" i="10"/>
  <c r="A295" i="10"/>
  <c r="B294" i="10"/>
  <c r="A294" i="10"/>
  <c r="B293" i="10"/>
  <c r="A293" i="10"/>
  <c r="B292" i="10"/>
  <c r="A292" i="10"/>
  <c r="B291" i="10"/>
  <c r="A291" i="10"/>
  <c r="B290" i="10"/>
  <c r="A290" i="10"/>
  <c r="B289" i="10"/>
  <c r="A289" i="10"/>
  <c r="B288" i="10"/>
  <c r="A288" i="10"/>
  <c r="B287" i="10"/>
  <c r="A287" i="10"/>
  <c r="B286" i="10"/>
  <c r="A286" i="10"/>
  <c r="B285" i="10"/>
  <c r="A285" i="10"/>
  <c r="B284" i="10"/>
  <c r="A284" i="10"/>
  <c r="B283" i="10"/>
  <c r="A283" i="10"/>
  <c r="B282" i="10"/>
  <c r="A282" i="10"/>
  <c r="B281" i="10"/>
  <c r="A281" i="10"/>
  <c r="B280" i="10"/>
  <c r="A280" i="10"/>
  <c r="B279" i="10"/>
  <c r="A279" i="10"/>
  <c r="B278" i="10"/>
  <c r="A278" i="10"/>
  <c r="B277" i="10"/>
  <c r="A277" i="10"/>
  <c r="B276" i="10"/>
  <c r="A276" i="10"/>
  <c r="B275" i="10"/>
  <c r="A275" i="10"/>
  <c r="B274" i="10"/>
  <c r="A274" i="10"/>
  <c r="B273" i="10"/>
  <c r="A273" i="10"/>
  <c r="B272" i="10"/>
  <c r="A272" i="10"/>
  <c r="B271" i="10"/>
  <c r="A271" i="10"/>
  <c r="B270" i="10"/>
  <c r="A270" i="10"/>
  <c r="B269" i="10"/>
  <c r="A269" i="10"/>
  <c r="B268" i="10"/>
  <c r="A268" i="10"/>
  <c r="B267" i="10"/>
  <c r="A267" i="10"/>
  <c r="B266" i="10"/>
  <c r="A266" i="10"/>
  <c r="B265" i="10"/>
  <c r="A265" i="10"/>
  <c r="B264" i="10"/>
  <c r="A264" i="10"/>
  <c r="B263" i="10"/>
  <c r="A263" i="10"/>
  <c r="B262" i="10"/>
  <c r="A262" i="10"/>
  <c r="B261" i="10"/>
  <c r="A261" i="10"/>
  <c r="B260" i="10"/>
  <c r="A260" i="10"/>
  <c r="B259" i="10"/>
  <c r="A259" i="10"/>
  <c r="B258" i="10"/>
  <c r="A258" i="10"/>
  <c r="B257" i="10"/>
  <c r="A257" i="10"/>
  <c r="B256" i="10"/>
  <c r="A256" i="10"/>
  <c r="B255" i="10"/>
  <c r="A255" i="10"/>
  <c r="B254" i="10"/>
  <c r="A254" i="10"/>
  <c r="B253" i="10"/>
  <c r="A253" i="10"/>
  <c r="B252" i="10"/>
  <c r="A252" i="10"/>
  <c r="B251" i="10"/>
  <c r="A251" i="10"/>
  <c r="B250" i="10"/>
  <c r="A250" i="10"/>
  <c r="B249" i="10"/>
  <c r="A249" i="10"/>
  <c r="B248" i="10"/>
  <c r="A248" i="10"/>
  <c r="B247" i="10"/>
  <c r="A247" i="10"/>
  <c r="B246" i="10"/>
  <c r="A246" i="10"/>
  <c r="B245" i="10"/>
  <c r="A245" i="10"/>
  <c r="B244" i="10"/>
  <c r="A244" i="10"/>
  <c r="B243" i="10"/>
  <c r="A243" i="10"/>
  <c r="B242" i="10"/>
  <c r="A242" i="10"/>
  <c r="B241" i="10"/>
  <c r="A241" i="10"/>
  <c r="B240" i="10"/>
  <c r="A240" i="10"/>
  <c r="B239" i="10"/>
  <c r="A239" i="10"/>
  <c r="B238" i="10"/>
  <c r="A238" i="10"/>
  <c r="B237" i="10"/>
  <c r="A237" i="10"/>
  <c r="B236" i="10"/>
  <c r="A236" i="10"/>
  <c r="B235" i="10"/>
  <c r="A235" i="10"/>
  <c r="B234" i="10"/>
  <c r="A234" i="10"/>
  <c r="B233" i="10"/>
  <c r="A233" i="10"/>
  <c r="B232" i="10"/>
  <c r="A232" i="10"/>
  <c r="B231" i="10"/>
  <c r="A231" i="10"/>
  <c r="B230" i="10"/>
  <c r="A230" i="10"/>
  <c r="B229" i="10"/>
  <c r="A229" i="10"/>
  <c r="B228" i="10"/>
  <c r="A228" i="10"/>
  <c r="B227" i="10"/>
  <c r="A227" i="10"/>
  <c r="B226" i="10"/>
  <c r="A226" i="10"/>
  <c r="B225" i="10"/>
  <c r="A225" i="10"/>
  <c r="B224" i="10"/>
  <c r="A224" i="10"/>
  <c r="B223" i="10"/>
  <c r="A223" i="10"/>
  <c r="B222" i="10"/>
  <c r="A222" i="10"/>
  <c r="B221" i="10"/>
  <c r="A221" i="10"/>
  <c r="B220" i="10"/>
  <c r="A220" i="10"/>
  <c r="B219" i="10"/>
  <c r="A219" i="10"/>
  <c r="B218" i="10"/>
  <c r="A218" i="10"/>
  <c r="B217" i="10"/>
  <c r="A217" i="10"/>
  <c r="B216" i="10"/>
  <c r="A216" i="10"/>
  <c r="B215" i="10"/>
  <c r="A215" i="10"/>
  <c r="B214" i="10"/>
  <c r="A214" i="10"/>
  <c r="B213" i="10"/>
  <c r="A213" i="10"/>
  <c r="B212" i="10"/>
  <c r="A212" i="10"/>
  <c r="B211" i="10"/>
  <c r="A211" i="10"/>
  <c r="B210" i="10"/>
  <c r="A210" i="10"/>
  <c r="B209" i="10"/>
  <c r="A209" i="10"/>
  <c r="B208" i="10"/>
  <c r="A208" i="10"/>
  <c r="B207" i="10"/>
  <c r="A207" i="10"/>
  <c r="B206" i="10"/>
  <c r="A206" i="10"/>
  <c r="B205" i="10"/>
  <c r="A205" i="10"/>
  <c r="B204" i="10"/>
  <c r="A204" i="10"/>
  <c r="B203" i="10"/>
  <c r="A203" i="10"/>
  <c r="B202" i="10"/>
  <c r="A202" i="10"/>
  <c r="B201" i="10"/>
  <c r="A201" i="10"/>
  <c r="B200" i="10"/>
  <c r="A200" i="10"/>
  <c r="B199" i="10"/>
  <c r="A199" i="10"/>
  <c r="B198" i="10"/>
  <c r="A198" i="10"/>
  <c r="B197" i="10"/>
  <c r="A197" i="10"/>
  <c r="B196" i="10"/>
  <c r="A196" i="10"/>
  <c r="B195" i="10"/>
  <c r="A195" i="10"/>
  <c r="B194" i="10"/>
  <c r="A194" i="10"/>
  <c r="B193" i="10"/>
  <c r="A193" i="10"/>
  <c r="B192" i="10"/>
  <c r="A192" i="10"/>
  <c r="B191" i="10"/>
  <c r="A191" i="10"/>
  <c r="B190" i="10"/>
  <c r="A190" i="10"/>
  <c r="B189" i="10"/>
  <c r="A189" i="10"/>
  <c r="B188" i="10"/>
  <c r="A188" i="10"/>
  <c r="B187" i="10"/>
  <c r="A187" i="10"/>
  <c r="B186" i="10"/>
  <c r="A186" i="10"/>
  <c r="B185" i="10"/>
  <c r="A185" i="10"/>
  <c r="B184" i="10"/>
  <c r="A184" i="10"/>
  <c r="B183" i="10"/>
  <c r="A183" i="10"/>
  <c r="B182" i="10"/>
  <c r="A182" i="10"/>
  <c r="B181" i="10"/>
  <c r="A181" i="10"/>
  <c r="B180" i="10"/>
  <c r="A180" i="10"/>
  <c r="B179" i="10"/>
  <c r="A179" i="10"/>
  <c r="B178" i="10"/>
  <c r="A178" i="10"/>
  <c r="B177" i="10"/>
  <c r="A177" i="10"/>
  <c r="B176" i="10"/>
  <c r="A176" i="10"/>
  <c r="B175" i="10"/>
  <c r="A175" i="10"/>
  <c r="B174" i="10"/>
  <c r="A174" i="10"/>
  <c r="B173" i="10"/>
  <c r="A173" i="10"/>
  <c r="B172" i="10"/>
  <c r="A172" i="10"/>
  <c r="B171" i="10"/>
  <c r="A171" i="10"/>
  <c r="B170" i="10"/>
  <c r="A170" i="10"/>
  <c r="B169" i="10"/>
  <c r="A169" i="10"/>
  <c r="B168" i="10"/>
  <c r="A168" i="10"/>
  <c r="B167" i="10"/>
  <c r="A167" i="10"/>
  <c r="B166" i="10"/>
  <c r="A166" i="10"/>
  <c r="B165" i="10"/>
  <c r="A165" i="10"/>
  <c r="B164" i="10"/>
  <c r="A164" i="10"/>
  <c r="B163" i="10"/>
  <c r="A163" i="10"/>
  <c r="B162" i="10"/>
  <c r="A162" i="10"/>
  <c r="B161" i="10"/>
  <c r="A161" i="10"/>
  <c r="B160" i="10"/>
  <c r="A160" i="10"/>
  <c r="B159" i="10"/>
  <c r="A159" i="10"/>
  <c r="B158" i="10"/>
  <c r="A158" i="10"/>
  <c r="B157" i="10"/>
  <c r="A157" i="10"/>
  <c r="B156" i="10"/>
  <c r="A156" i="10"/>
  <c r="B155" i="10"/>
  <c r="A155" i="10"/>
  <c r="B154" i="10"/>
  <c r="A154" i="10"/>
  <c r="B153" i="10"/>
  <c r="A153" i="10"/>
  <c r="B152" i="10"/>
  <c r="A152" i="10"/>
  <c r="B151" i="10"/>
  <c r="A151" i="10"/>
  <c r="B150" i="10"/>
  <c r="A150" i="10"/>
  <c r="B149" i="10"/>
  <c r="A149" i="10"/>
  <c r="B148" i="10"/>
  <c r="A148" i="10"/>
  <c r="B147" i="10"/>
  <c r="A147" i="10"/>
  <c r="B146" i="10"/>
  <c r="A146" i="10"/>
  <c r="B145" i="10"/>
  <c r="A145" i="10"/>
  <c r="B144" i="10"/>
  <c r="A144" i="10"/>
  <c r="B143" i="10"/>
  <c r="A143" i="10"/>
  <c r="B142" i="10"/>
  <c r="A142" i="10"/>
  <c r="B141" i="10"/>
  <c r="A141" i="10"/>
  <c r="B140" i="10"/>
  <c r="A140" i="10"/>
  <c r="B139" i="10"/>
  <c r="A139" i="10"/>
  <c r="B138" i="10"/>
  <c r="A138" i="10"/>
  <c r="B137" i="10"/>
  <c r="A137" i="10"/>
  <c r="B136" i="10"/>
  <c r="A136" i="10"/>
  <c r="B135" i="10"/>
  <c r="A135" i="10"/>
  <c r="B134" i="10"/>
  <c r="A134" i="10"/>
  <c r="B133" i="10"/>
  <c r="A133" i="10"/>
  <c r="B132" i="10"/>
  <c r="A132" i="10"/>
  <c r="B131" i="10"/>
  <c r="A131" i="10"/>
  <c r="B130" i="10"/>
  <c r="A130" i="10"/>
  <c r="B129" i="10"/>
  <c r="A129" i="10"/>
  <c r="B128" i="10"/>
  <c r="A128" i="10"/>
  <c r="B127" i="10"/>
  <c r="A127" i="10"/>
  <c r="B126" i="10"/>
  <c r="A126" i="10"/>
  <c r="B125" i="10"/>
  <c r="A125" i="10"/>
  <c r="B124" i="10"/>
  <c r="A124" i="10"/>
  <c r="B123" i="10"/>
  <c r="A123" i="10"/>
  <c r="B122" i="10"/>
  <c r="A122" i="10"/>
  <c r="B121" i="10"/>
  <c r="A121" i="10"/>
  <c r="B120" i="10"/>
  <c r="A120" i="10"/>
  <c r="B119" i="10"/>
  <c r="A119" i="10"/>
  <c r="B118" i="10"/>
  <c r="A118" i="10"/>
  <c r="B117" i="10"/>
  <c r="A117" i="10"/>
  <c r="B116" i="10"/>
  <c r="A116" i="10"/>
  <c r="B115" i="10"/>
  <c r="A115" i="10"/>
  <c r="B114" i="10"/>
  <c r="A114" i="10"/>
  <c r="B113" i="10"/>
  <c r="A113" i="10"/>
  <c r="B112" i="10"/>
  <c r="A112" i="10"/>
  <c r="B111" i="10"/>
  <c r="A111" i="10"/>
  <c r="B110" i="10"/>
  <c r="A110" i="10"/>
  <c r="B109" i="10"/>
  <c r="A109" i="10"/>
  <c r="B108" i="10"/>
  <c r="A108" i="10"/>
  <c r="B107" i="10"/>
  <c r="A107" i="10"/>
  <c r="B106" i="10"/>
  <c r="A106" i="10"/>
  <c r="B105" i="10"/>
  <c r="A105" i="10"/>
  <c r="B104" i="10"/>
  <c r="A104" i="10"/>
  <c r="B103" i="10"/>
  <c r="A103" i="10"/>
  <c r="B102" i="10"/>
  <c r="A102" i="10"/>
  <c r="B101" i="10"/>
  <c r="A101" i="10"/>
  <c r="B100" i="10"/>
  <c r="A100" i="10"/>
  <c r="B99" i="10"/>
  <c r="A99" i="10"/>
  <c r="B98" i="10"/>
  <c r="A98" i="10"/>
  <c r="B97" i="10"/>
  <c r="A97" i="10"/>
  <c r="B96" i="10"/>
  <c r="A96" i="10"/>
  <c r="B95" i="10"/>
  <c r="A95" i="10"/>
  <c r="B94" i="10"/>
  <c r="A94" i="10"/>
  <c r="B93" i="10"/>
  <c r="A93" i="10"/>
  <c r="B92" i="10"/>
  <c r="A92" i="10"/>
  <c r="B91" i="10"/>
  <c r="A91" i="10"/>
  <c r="B90" i="10"/>
  <c r="A90" i="10"/>
  <c r="B89" i="10"/>
  <c r="A89" i="10"/>
  <c r="B88" i="10"/>
  <c r="A88" i="10"/>
  <c r="B87" i="10"/>
  <c r="A87" i="10"/>
  <c r="B86" i="10"/>
  <c r="A86" i="10"/>
  <c r="B85" i="10"/>
  <c r="A85" i="10"/>
  <c r="B84" i="10"/>
  <c r="A84" i="10"/>
  <c r="B83" i="10"/>
  <c r="A83" i="10"/>
  <c r="B82" i="10"/>
  <c r="A82" i="10"/>
  <c r="B81" i="10"/>
  <c r="A81" i="10"/>
  <c r="B80" i="10"/>
  <c r="A80" i="10"/>
  <c r="B79" i="10"/>
  <c r="A79" i="10"/>
  <c r="B78" i="10"/>
  <c r="A78" i="10"/>
  <c r="B77" i="10"/>
  <c r="A77" i="10"/>
  <c r="B76" i="10"/>
  <c r="A76" i="10"/>
  <c r="B75" i="10"/>
  <c r="A75" i="10"/>
  <c r="B74" i="10"/>
  <c r="A74" i="10"/>
  <c r="B73" i="10"/>
  <c r="A73" i="10"/>
  <c r="B72" i="10"/>
  <c r="A72" i="10"/>
  <c r="B71" i="10"/>
  <c r="A71" i="10"/>
  <c r="B70" i="10"/>
  <c r="A70" i="10"/>
  <c r="B69" i="10"/>
  <c r="A69" i="10"/>
  <c r="B68" i="10"/>
  <c r="A68" i="10"/>
  <c r="B67" i="10"/>
  <c r="A67" i="10"/>
  <c r="B66" i="10"/>
  <c r="A66" i="10"/>
  <c r="B65" i="10"/>
  <c r="A65" i="10"/>
  <c r="B64" i="10"/>
  <c r="A64" i="10"/>
  <c r="B63" i="10"/>
  <c r="A63" i="10"/>
  <c r="B62" i="10"/>
  <c r="A62" i="10"/>
  <c r="B61" i="10"/>
  <c r="A61" i="10"/>
  <c r="B60" i="10"/>
  <c r="A60" i="10"/>
  <c r="B59" i="10"/>
  <c r="A59" i="10"/>
  <c r="B58" i="10"/>
  <c r="A58" i="10"/>
  <c r="B57" i="10"/>
  <c r="A57" i="10"/>
  <c r="B56" i="10"/>
  <c r="A56" i="10"/>
  <c r="B55" i="10"/>
  <c r="A55" i="10"/>
  <c r="B54" i="10"/>
  <c r="A54" i="10"/>
  <c r="B53" i="10"/>
  <c r="A53"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B6" i="10"/>
  <c r="A6" i="10"/>
  <c r="B5" i="10"/>
  <c r="A5" i="10"/>
  <c r="B4" i="10"/>
  <c r="A4" i="10"/>
  <c r="B3" i="10"/>
  <c r="A3" i="10"/>
  <c r="J2" i="10"/>
  <c r="B2" i="10"/>
  <c r="A2" i="10"/>
  <c r="J1" i="10"/>
  <c r="G157" i="9"/>
  <c r="F157" i="9"/>
  <c r="E157" i="9"/>
  <c r="G156" i="9"/>
  <c r="F156" i="9"/>
  <c r="E156" i="9"/>
  <c r="G155" i="9"/>
  <c r="F155" i="9"/>
  <c r="E155" i="9"/>
  <c r="G154" i="9"/>
  <c r="F154" i="9"/>
  <c r="E154" i="9"/>
  <c r="G153" i="9"/>
  <c r="F153" i="9"/>
  <c r="E153" i="9"/>
  <c r="G152" i="9"/>
  <c r="F152" i="9"/>
  <c r="E152" i="9"/>
  <c r="G151" i="9"/>
  <c r="F151" i="9"/>
  <c r="E151" i="9"/>
  <c r="G150" i="9"/>
  <c r="F150" i="9"/>
  <c r="E150" i="9"/>
  <c r="G149" i="9"/>
  <c r="F149" i="9"/>
  <c r="E149" i="9"/>
  <c r="G148" i="9"/>
  <c r="F148" i="9"/>
  <c r="E148" i="9"/>
  <c r="G147" i="9"/>
  <c r="F147" i="9"/>
  <c r="E147" i="9"/>
  <c r="G146" i="9"/>
  <c r="F146" i="9"/>
  <c r="E146" i="9"/>
  <c r="G145" i="9"/>
  <c r="F145" i="9"/>
  <c r="E145" i="9"/>
  <c r="G144" i="9"/>
  <c r="F144" i="9"/>
  <c r="E144" i="9"/>
  <c r="G143" i="9"/>
  <c r="F143" i="9"/>
  <c r="E143" i="9"/>
  <c r="G142" i="9"/>
  <c r="F142" i="9"/>
  <c r="E142" i="9"/>
  <c r="G141" i="9"/>
  <c r="F141" i="9"/>
  <c r="E141" i="9"/>
  <c r="G140" i="9"/>
  <c r="F140" i="9"/>
  <c r="E140" i="9"/>
  <c r="G139" i="9"/>
  <c r="F139" i="9"/>
  <c r="E139" i="9"/>
  <c r="G138" i="9"/>
  <c r="F138" i="9"/>
  <c r="E138" i="9"/>
  <c r="G137" i="9"/>
  <c r="F137" i="9"/>
  <c r="E137" i="9"/>
  <c r="G136" i="9"/>
  <c r="F136" i="9"/>
  <c r="E136" i="9"/>
  <c r="G135" i="9"/>
  <c r="F135" i="9"/>
  <c r="E135" i="9"/>
  <c r="G134" i="9"/>
  <c r="F134" i="9"/>
  <c r="E134" i="9"/>
  <c r="G133" i="9"/>
  <c r="F133" i="9"/>
  <c r="E133" i="9"/>
  <c r="G132" i="9"/>
  <c r="F132" i="9"/>
  <c r="E132" i="9"/>
  <c r="G131" i="9"/>
  <c r="F131" i="9"/>
  <c r="E131" i="9"/>
  <c r="G130" i="9"/>
  <c r="F130" i="9"/>
  <c r="E130" i="9"/>
  <c r="G129" i="9"/>
  <c r="F129" i="9"/>
  <c r="E129" i="9"/>
  <c r="G128" i="9"/>
  <c r="F128" i="9"/>
  <c r="E128" i="9"/>
  <c r="G127" i="9"/>
  <c r="F127" i="9"/>
  <c r="E127" i="9"/>
  <c r="G126" i="9"/>
  <c r="F126" i="9"/>
  <c r="E126" i="9"/>
  <c r="G125" i="9"/>
  <c r="F125" i="9"/>
  <c r="E125" i="9"/>
  <c r="G124" i="9"/>
  <c r="F124" i="9"/>
  <c r="E124" i="9"/>
  <c r="G123" i="9"/>
  <c r="F123" i="9"/>
  <c r="E123" i="9"/>
  <c r="G122" i="9"/>
  <c r="F122" i="9"/>
  <c r="E122" i="9"/>
  <c r="G121" i="9"/>
  <c r="F121" i="9"/>
  <c r="E121" i="9"/>
  <c r="G120" i="9"/>
  <c r="F120" i="9"/>
  <c r="E120" i="9"/>
  <c r="G119" i="9"/>
  <c r="F119" i="9"/>
  <c r="E119" i="9"/>
  <c r="G118" i="9"/>
  <c r="F118" i="9"/>
  <c r="E118" i="9"/>
  <c r="G117" i="9"/>
  <c r="F117" i="9"/>
  <c r="E117" i="9"/>
  <c r="G116" i="9"/>
  <c r="F116" i="9"/>
  <c r="E116" i="9"/>
  <c r="G115" i="9"/>
  <c r="F115" i="9"/>
  <c r="E115" i="9"/>
  <c r="G114" i="9"/>
  <c r="F114" i="9"/>
  <c r="E114" i="9"/>
  <c r="G113" i="9"/>
  <c r="F113" i="9"/>
  <c r="E113" i="9"/>
  <c r="G112" i="9"/>
  <c r="F112" i="9"/>
  <c r="E112" i="9"/>
  <c r="G111" i="9"/>
  <c r="F111" i="9"/>
  <c r="E111" i="9"/>
  <c r="G110" i="9"/>
  <c r="F110" i="9"/>
  <c r="E110" i="9"/>
  <c r="G109" i="9"/>
  <c r="F109" i="9"/>
  <c r="E109" i="9"/>
  <c r="G108" i="9"/>
  <c r="F108" i="9"/>
  <c r="E108" i="9"/>
  <c r="G107" i="9"/>
  <c r="F107" i="9"/>
  <c r="E107" i="9"/>
  <c r="G106" i="9"/>
  <c r="F106" i="9"/>
  <c r="E106" i="9"/>
  <c r="G105" i="9"/>
  <c r="F105" i="9"/>
  <c r="E105" i="9"/>
  <c r="G104" i="9"/>
  <c r="F104" i="9"/>
  <c r="E104" i="9"/>
  <c r="G103" i="9"/>
  <c r="F103" i="9"/>
  <c r="E103" i="9"/>
  <c r="G102" i="9"/>
  <c r="F102" i="9"/>
  <c r="E102" i="9"/>
  <c r="G101" i="9"/>
  <c r="F101" i="9"/>
  <c r="E101" i="9"/>
  <c r="G100" i="9"/>
  <c r="F100" i="9"/>
  <c r="E100" i="9"/>
  <c r="G99" i="9"/>
  <c r="F99" i="9"/>
  <c r="E99" i="9"/>
  <c r="G98" i="9"/>
  <c r="F98" i="9"/>
  <c r="E98" i="9"/>
  <c r="G97" i="9"/>
  <c r="F97" i="9"/>
  <c r="E97" i="9"/>
  <c r="G96" i="9"/>
  <c r="F96" i="9"/>
  <c r="E96" i="9"/>
  <c r="G95" i="9"/>
  <c r="F95" i="9"/>
  <c r="E95" i="9"/>
  <c r="G94" i="9"/>
  <c r="F94" i="9"/>
  <c r="E94" i="9"/>
  <c r="G93" i="9"/>
  <c r="F93" i="9"/>
  <c r="E93" i="9"/>
  <c r="G92" i="9"/>
  <c r="F92" i="9"/>
  <c r="E92" i="9"/>
  <c r="G91" i="9"/>
  <c r="F91" i="9"/>
  <c r="E91" i="9"/>
  <c r="G90" i="9"/>
  <c r="F90" i="9"/>
  <c r="E90" i="9"/>
  <c r="G89" i="9"/>
  <c r="F89" i="9"/>
  <c r="E89" i="9"/>
  <c r="G88" i="9"/>
  <c r="F88" i="9"/>
  <c r="E88" i="9"/>
  <c r="G87" i="9"/>
  <c r="F87" i="9"/>
  <c r="E87" i="9"/>
  <c r="G86" i="9"/>
  <c r="F86" i="9"/>
  <c r="E86" i="9"/>
  <c r="G85" i="9"/>
  <c r="F85" i="9"/>
  <c r="E85" i="9"/>
  <c r="G84" i="9"/>
  <c r="F84" i="9"/>
  <c r="E84" i="9"/>
  <c r="G83" i="9"/>
  <c r="F83" i="9"/>
  <c r="E83" i="9"/>
  <c r="G82" i="9"/>
  <c r="F82" i="9"/>
  <c r="E82" i="9"/>
  <c r="G81" i="9"/>
  <c r="F81" i="9"/>
  <c r="E81" i="9"/>
  <c r="G80" i="9"/>
  <c r="F80" i="9"/>
  <c r="E80" i="9"/>
  <c r="G79" i="9"/>
  <c r="F79" i="9"/>
  <c r="E79" i="9"/>
  <c r="G78" i="9"/>
  <c r="F78" i="9"/>
  <c r="E78" i="9"/>
  <c r="G77" i="9"/>
  <c r="F77" i="9"/>
  <c r="E77" i="9"/>
  <c r="G76" i="9"/>
  <c r="F76" i="9"/>
  <c r="E76" i="9"/>
  <c r="G75" i="9"/>
  <c r="F75" i="9"/>
  <c r="E75" i="9"/>
  <c r="G74" i="9"/>
  <c r="F74" i="9"/>
  <c r="E74" i="9"/>
  <c r="G73" i="9"/>
  <c r="F73" i="9"/>
  <c r="E73" i="9"/>
  <c r="G72" i="9"/>
  <c r="F72" i="9"/>
  <c r="E72" i="9"/>
  <c r="G71" i="9"/>
  <c r="F71" i="9"/>
  <c r="E71" i="9"/>
  <c r="G70" i="9"/>
  <c r="F70" i="9"/>
  <c r="E70" i="9"/>
  <c r="G69" i="9"/>
  <c r="F69" i="9"/>
  <c r="E69" i="9"/>
  <c r="G68" i="9"/>
  <c r="F68" i="9"/>
  <c r="E68" i="9"/>
  <c r="G67" i="9"/>
  <c r="F67" i="9"/>
  <c r="E67" i="9"/>
  <c r="G66" i="9"/>
  <c r="F66" i="9"/>
  <c r="E66" i="9"/>
  <c r="G65" i="9"/>
  <c r="F65" i="9"/>
  <c r="E65" i="9"/>
  <c r="G64" i="9"/>
  <c r="F64" i="9"/>
  <c r="E64" i="9"/>
  <c r="G63" i="9"/>
  <c r="F63" i="9"/>
  <c r="E63" i="9"/>
  <c r="G62" i="9"/>
  <c r="F62" i="9"/>
  <c r="E62" i="9"/>
  <c r="G61" i="9"/>
  <c r="F61" i="9"/>
  <c r="E61" i="9"/>
  <c r="G60" i="9"/>
  <c r="F60" i="9"/>
  <c r="E60" i="9"/>
  <c r="G59" i="9"/>
  <c r="F59" i="9"/>
  <c r="E59" i="9"/>
  <c r="G58" i="9"/>
  <c r="F58" i="9"/>
  <c r="E58" i="9"/>
  <c r="G57" i="9"/>
  <c r="F57" i="9"/>
  <c r="E57" i="9"/>
  <c r="G56" i="9"/>
  <c r="F56" i="9"/>
  <c r="E56" i="9"/>
  <c r="G55" i="9"/>
  <c r="F55" i="9"/>
  <c r="E55" i="9"/>
  <c r="G54" i="9"/>
  <c r="F54" i="9"/>
  <c r="E54" i="9"/>
  <c r="G53" i="9"/>
  <c r="F53" i="9"/>
  <c r="E53" i="9"/>
  <c r="G52" i="9"/>
  <c r="F52" i="9"/>
  <c r="E52" i="9"/>
  <c r="G51" i="9"/>
  <c r="F51" i="9"/>
  <c r="E51" i="9"/>
  <c r="G50" i="9"/>
  <c r="F50" i="9"/>
  <c r="E50" i="9"/>
  <c r="G49" i="9"/>
  <c r="F49" i="9"/>
  <c r="E49" i="9"/>
  <c r="G48" i="9"/>
  <c r="F48" i="9"/>
  <c r="E48" i="9"/>
  <c r="G47" i="9"/>
  <c r="F47" i="9"/>
  <c r="E47" i="9"/>
  <c r="G46" i="9"/>
  <c r="F46" i="9"/>
  <c r="E46" i="9"/>
  <c r="G45" i="9"/>
  <c r="F45" i="9"/>
  <c r="E45" i="9"/>
  <c r="G44" i="9"/>
  <c r="F44" i="9"/>
  <c r="E44" i="9"/>
  <c r="G43" i="9"/>
  <c r="F43" i="9"/>
  <c r="E43" i="9"/>
  <c r="G42" i="9"/>
  <c r="F42" i="9"/>
  <c r="E42" i="9"/>
  <c r="G41" i="9"/>
  <c r="F41" i="9"/>
  <c r="E41" i="9"/>
  <c r="G40" i="9"/>
  <c r="F40" i="9"/>
  <c r="E40" i="9"/>
  <c r="G39" i="9"/>
  <c r="F39" i="9"/>
  <c r="E39" i="9"/>
  <c r="G38" i="9"/>
  <c r="F38" i="9"/>
  <c r="E38" i="9"/>
  <c r="G37" i="9"/>
  <c r="F37" i="9"/>
  <c r="E37" i="9"/>
  <c r="G36" i="9"/>
  <c r="F36" i="9"/>
  <c r="E36" i="9"/>
  <c r="G35" i="9"/>
  <c r="F35" i="9"/>
  <c r="E35" i="9"/>
  <c r="G34" i="9"/>
  <c r="F34" i="9"/>
  <c r="E34" i="9"/>
  <c r="G33" i="9"/>
  <c r="F33" i="9"/>
  <c r="E33" i="9"/>
  <c r="G32" i="9"/>
  <c r="F32" i="9"/>
  <c r="E32" i="9"/>
  <c r="G31" i="9"/>
  <c r="F31" i="9"/>
  <c r="E31" i="9"/>
  <c r="G30" i="9"/>
  <c r="F30" i="9"/>
  <c r="E30" i="9"/>
  <c r="G29" i="9"/>
  <c r="F29" i="9"/>
  <c r="E29" i="9"/>
  <c r="G28" i="9"/>
  <c r="F28" i="9"/>
  <c r="E28" i="9"/>
  <c r="G27" i="9"/>
  <c r="F27" i="9"/>
  <c r="E27" i="9"/>
  <c r="G26" i="9"/>
  <c r="F26" i="9"/>
  <c r="E26" i="9"/>
  <c r="G25" i="9"/>
  <c r="F25" i="9"/>
  <c r="E25" i="9"/>
  <c r="G24" i="9"/>
  <c r="F24" i="9"/>
  <c r="E24" i="9"/>
  <c r="G23" i="9"/>
  <c r="F23" i="9"/>
  <c r="E23" i="9"/>
  <c r="G22" i="9"/>
  <c r="F22" i="9"/>
  <c r="E22" i="9"/>
  <c r="G21" i="9"/>
  <c r="F21" i="9"/>
  <c r="E21" i="9"/>
  <c r="G20" i="9"/>
  <c r="F20" i="9"/>
  <c r="E20" i="9"/>
  <c r="G19" i="9"/>
  <c r="F19" i="9"/>
  <c r="E19" i="9"/>
  <c r="G18" i="9"/>
  <c r="F18" i="9"/>
  <c r="E18" i="9"/>
  <c r="G17" i="9"/>
  <c r="F17" i="9"/>
  <c r="E17" i="9"/>
  <c r="G16" i="9"/>
  <c r="F16" i="9"/>
  <c r="E16" i="9"/>
  <c r="G15" i="9"/>
  <c r="F15" i="9"/>
  <c r="E15" i="9"/>
  <c r="G14" i="9"/>
  <c r="F14" i="9"/>
  <c r="E14" i="9"/>
  <c r="G13" i="9"/>
  <c r="F13" i="9"/>
  <c r="E13" i="9"/>
  <c r="G12" i="9"/>
  <c r="F12" i="9"/>
  <c r="E12" i="9"/>
  <c r="G11" i="9"/>
  <c r="F11" i="9"/>
  <c r="E11" i="9"/>
  <c r="G10" i="9"/>
  <c r="F10" i="9"/>
  <c r="E10" i="9"/>
  <c r="G9" i="9"/>
  <c r="F9" i="9"/>
  <c r="E9" i="9"/>
  <c r="G8" i="9"/>
  <c r="F8" i="9"/>
  <c r="E8" i="9"/>
  <c r="G7" i="9"/>
  <c r="F7" i="9"/>
  <c r="E7" i="9"/>
  <c r="G6" i="9"/>
  <c r="F6" i="9"/>
  <c r="E6" i="9"/>
  <c r="G5" i="9"/>
  <c r="F5" i="9"/>
  <c r="E5" i="9"/>
  <c r="G4" i="9"/>
  <c r="F4" i="9"/>
  <c r="E4" i="9"/>
  <c r="G3" i="9"/>
  <c r="F3" i="9"/>
  <c r="E3" i="9"/>
  <c r="O2" i="9"/>
  <c r="G2" i="9"/>
  <c r="F2" i="9"/>
  <c r="E2" i="9"/>
  <c r="O1" i="9"/>
  <c r="J77" i="8"/>
  <c r="J73" i="8"/>
  <c r="F72" i="8"/>
  <c r="J69" i="8"/>
  <c r="F68" i="8"/>
  <c r="J65" i="8"/>
  <c r="F64" i="8"/>
  <c r="J61" i="8"/>
  <c r="F60" i="8"/>
  <c r="F27" i="8"/>
  <c r="F25" i="8"/>
  <c r="F20" i="8"/>
  <c r="F18" i="8"/>
  <c r="F16" i="8"/>
  <c r="G13" i="8"/>
  <c r="F11" i="8"/>
  <c r="E11" i="8"/>
  <c r="D9" i="8"/>
  <c r="C9" i="8"/>
  <c r="F8" i="8"/>
  <c r="F7" i="8"/>
  <c r="K735" i="7"/>
  <c r="K734" i="7"/>
  <c r="K733" i="7"/>
  <c r="K732" i="7"/>
  <c r="K731" i="7"/>
  <c r="K730" i="7"/>
  <c r="K729" i="7"/>
  <c r="K728" i="7"/>
  <c r="K727" i="7"/>
  <c r="K726" i="7"/>
  <c r="K725" i="7"/>
  <c r="K724" i="7"/>
  <c r="K723" i="7"/>
  <c r="K722" i="7"/>
  <c r="K721" i="7"/>
  <c r="K720" i="7"/>
  <c r="K719" i="7"/>
  <c r="K718" i="7"/>
  <c r="K717" i="7"/>
  <c r="K716" i="7"/>
  <c r="K715" i="7"/>
  <c r="K714" i="7"/>
  <c r="K713" i="7"/>
  <c r="K712" i="7"/>
  <c r="K711" i="7"/>
  <c r="K710" i="7"/>
  <c r="K709" i="7"/>
  <c r="K708" i="7"/>
  <c r="K707" i="7"/>
  <c r="K706" i="7"/>
  <c r="K705" i="7"/>
  <c r="K704" i="7"/>
  <c r="K703" i="7"/>
  <c r="K702" i="7"/>
  <c r="K701" i="7"/>
  <c r="K700" i="7"/>
  <c r="K699" i="7"/>
  <c r="K698" i="7"/>
  <c r="K697" i="7"/>
  <c r="K696" i="7"/>
  <c r="K695" i="7"/>
  <c r="K694" i="7"/>
  <c r="K693" i="7"/>
  <c r="K692" i="7"/>
  <c r="K691" i="7"/>
  <c r="K690" i="7"/>
  <c r="K689" i="7"/>
  <c r="K688" i="7"/>
  <c r="K687" i="7"/>
  <c r="K686" i="7"/>
  <c r="K685" i="7"/>
  <c r="K684" i="7"/>
  <c r="K683" i="7"/>
  <c r="K682" i="7"/>
  <c r="K681" i="7"/>
  <c r="K680" i="7"/>
  <c r="K679" i="7"/>
  <c r="K678" i="7"/>
  <c r="K677" i="7"/>
  <c r="K676" i="7"/>
  <c r="K675" i="7"/>
  <c r="K674" i="7"/>
  <c r="K673" i="7"/>
  <c r="K672" i="7"/>
  <c r="K671" i="7"/>
  <c r="K670" i="7"/>
  <c r="K669" i="7"/>
  <c r="K668" i="7"/>
  <c r="K667" i="7"/>
  <c r="K666" i="7"/>
  <c r="K665" i="7"/>
  <c r="K664" i="7"/>
  <c r="K663" i="7"/>
  <c r="K662" i="7"/>
  <c r="K661" i="7"/>
  <c r="K660" i="7"/>
  <c r="K659" i="7"/>
  <c r="K658" i="7"/>
  <c r="K657" i="7"/>
  <c r="K656" i="7"/>
  <c r="K655" i="7"/>
  <c r="K654" i="7"/>
  <c r="K653" i="7"/>
  <c r="K652" i="7"/>
  <c r="F23" i="8" s="1"/>
  <c r="K651" i="7"/>
  <c r="K650" i="7"/>
  <c r="K649" i="7"/>
  <c r="K648" i="7"/>
  <c r="K647" i="7"/>
  <c r="K646" i="7"/>
  <c r="K645" i="7"/>
  <c r="K644" i="7"/>
  <c r="K643" i="7"/>
  <c r="K642" i="7"/>
  <c r="K641" i="7"/>
  <c r="K640" i="7"/>
  <c r="K639" i="7"/>
  <c r="K638" i="7"/>
  <c r="K637" i="7"/>
  <c r="K636" i="7"/>
  <c r="K635" i="7"/>
  <c r="K634" i="7"/>
  <c r="K633" i="7"/>
  <c r="K632" i="7"/>
  <c r="K631" i="7"/>
  <c r="K630" i="7"/>
  <c r="K629" i="7"/>
  <c r="K628" i="7"/>
  <c r="K627" i="7"/>
  <c r="K626" i="7"/>
  <c r="K625" i="7"/>
  <c r="K624" i="7"/>
  <c r="K623" i="7"/>
  <c r="K622" i="7"/>
  <c r="K621" i="7"/>
  <c r="K620" i="7"/>
  <c r="K619" i="7"/>
  <c r="K618" i="7"/>
  <c r="K617" i="7"/>
  <c r="K616" i="7"/>
  <c r="K615" i="7"/>
  <c r="K614" i="7"/>
  <c r="K613" i="7"/>
  <c r="K612" i="7"/>
  <c r="K611" i="7"/>
  <c r="K610" i="7"/>
  <c r="K609" i="7"/>
  <c r="K608" i="7"/>
  <c r="K607" i="7"/>
  <c r="K606" i="7"/>
  <c r="K605" i="7"/>
  <c r="K604" i="7"/>
  <c r="K603" i="7"/>
  <c r="K602" i="7"/>
  <c r="K601" i="7"/>
  <c r="K600" i="7"/>
  <c r="K599" i="7"/>
  <c r="K598" i="7"/>
  <c r="K597" i="7"/>
  <c r="K596" i="7"/>
  <c r="K595" i="7"/>
  <c r="K594" i="7"/>
  <c r="K593" i="7"/>
  <c r="K592" i="7"/>
  <c r="K591" i="7"/>
  <c r="K590" i="7"/>
  <c r="K589" i="7"/>
  <c r="K588" i="7"/>
  <c r="K587" i="7"/>
  <c r="K586" i="7"/>
  <c r="K585" i="7"/>
  <c r="K584" i="7"/>
  <c r="K583" i="7"/>
  <c r="K582" i="7"/>
  <c r="K581" i="7"/>
  <c r="F26" i="8" s="1"/>
  <c r="K580" i="7"/>
  <c r="K579" i="7"/>
  <c r="K578" i="7"/>
  <c r="K577" i="7"/>
  <c r="K576" i="7"/>
  <c r="K575" i="7"/>
  <c r="K574" i="7"/>
  <c r="K573" i="7"/>
  <c r="K572" i="7"/>
  <c r="K571" i="7"/>
  <c r="K570" i="7"/>
  <c r="K569" i="7"/>
  <c r="K568" i="7"/>
  <c r="K567" i="7"/>
  <c r="K566" i="7"/>
  <c r="K565" i="7"/>
  <c r="K564" i="7"/>
  <c r="K563" i="7"/>
  <c r="K562" i="7"/>
  <c r="K561" i="7"/>
  <c r="K560" i="7"/>
  <c r="K559" i="7"/>
  <c r="K558" i="7"/>
  <c r="K557" i="7"/>
  <c r="K556" i="7"/>
  <c r="K555" i="7"/>
  <c r="K554" i="7"/>
  <c r="K553" i="7"/>
  <c r="K552" i="7"/>
  <c r="K551" i="7"/>
  <c r="K550" i="7"/>
  <c r="K549" i="7"/>
  <c r="K548" i="7"/>
  <c r="K547" i="7"/>
  <c r="E109" i="8" s="1"/>
  <c r="K546" i="7"/>
  <c r="K545" i="7"/>
  <c r="K544" i="7"/>
  <c r="K543" i="7"/>
  <c r="K542" i="7"/>
  <c r="K541" i="7"/>
  <c r="K540" i="7"/>
  <c r="K539" i="7"/>
  <c r="K538" i="7"/>
  <c r="K537" i="7"/>
  <c r="K536" i="7"/>
  <c r="K535" i="7"/>
  <c r="K534" i="7"/>
  <c r="K533" i="7"/>
  <c r="K532" i="7"/>
  <c r="K531" i="7"/>
  <c r="K530" i="7"/>
  <c r="K529" i="7"/>
  <c r="K528" i="7"/>
  <c r="K527" i="7"/>
  <c r="K526" i="7"/>
  <c r="K525" i="7"/>
  <c r="K524" i="7"/>
  <c r="K523" i="7"/>
  <c r="K522" i="7"/>
  <c r="K521" i="7"/>
  <c r="K520" i="7"/>
  <c r="K519" i="7"/>
  <c r="K518" i="7"/>
  <c r="K517" i="7"/>
  <c r="K516" i="7"/>
  <c r="K515" i="7"/>
  <c r="K514" i="7"/>
  <c r="K513" i="7"/>
  <c r="K512" i="7"/>
  <c r="K511" i="7"/>
  <c r="K510" i="7"/>
  <c r="K509" i="7"/>
  <c r="K508" i="7"/>
  <c r="K507" i="7"/>
  <c r="K506" i="7"/>
  <c r="K505" i="7"/>
  <c r="K504" i="7"/>
  <c r="K503" i="7"/>
  <c r="K502" i="7"/>
  <c r="K501" i="7"/>
  <c r="K500" i="7"/>
  <c r="K499" i="7"/>
  <c r="K498" i="7"/>
  <c r="K497" i="7"/>
  <c r="K496" i="7"/>
  <c r="K495" i="7"/>
  <c r="K494" i="7"/>
  <c r="K493" i="7"/>
  <c r="K492" i="7"/>
  <c r="K491" i="7"/>
  <c r="K490" i="7"/>
  <c r="K489" i="7"/>
  <c r="K488" i="7"/>
  <c r="K487" i="7"/>
  <c r="K486" i="7"/>
  <c r="K485" i="7"/>
  <c r="K484" i="7"/>
  <c r="K483" i="7"/>
  <c r="K482" i="7"/>
  <c r="K481" i="7"/>
  <c r="K480" i="7"/>
  <c r="K479" i="7"/>
  <c r="K478" i="7"/>
  <c r="K477" i="7"/>
  <c r="K476" i="7"/>
  <c r="K475" i="7"/>
  <c r="K474" i="7"/>
  <c r="K473" i="7"/>
  <c r="K472" i="7"/>
  <c r="K471" i="7"/>
  <c r="K470" i="7"/>
  <c r="K469" i="7"/>
  <c r="K468" i="7"/>
  <c r="K467" i="7"/>
  <c r="K466" i="7"/>
  <c r="K465" i="7"/>
  <c r="K464" i="7"/>
  <c r="K463" i="7"/>
  <c r="F34" i="8" s="1"/>
  <c r="K462" i="7"/>
  <c r="K461" i="7"/>
  <c r="K460" i="7"/>
  <c r="K459" i="7"/>
  <c r="K458" i="7"/>
  <c r="K457" i="7"/>
  <c r="K456" i="7"/>
  <c r="K455" i="7"/>
  <c r="K454" i="7"/>
  <c r="K453" i="7"/>
  <c r="K452" i="7"/>
  <c r="K451" i="7"/>
  <c r="K450" i="7"/>
  <c r="K449" i="7"/>
  <c r="K448" i="7"/>
  <c r="K447" i="7"/>
  <c r="K446" i="7"/>
  <c r="K445" i="7"/>
  <c r="K444" i="7"/>
  <c r="K443" i="7"/>
  <c r="K442" i="7"/>
  <c r="K441" i="7"/>
  <c r="K440" i="7"/>
  <c r="K439" i="7"/>
  <c r="K438" i="7"/>
  <c r="K437" i="7"/>
  <c r="K436" i="7"/>
  <c r="K435" i="7"/>
  <c r="K434" i="7"/>
  <c r="K433" i="7"/>
  <c r="K432" i="7"/>
  <c r="K431" i="7"/>
  <c r="K430" i="7"/>
  <c r="K429" i="7"/>
  <c r="K428" i="7"/>
  <c r="K427" i="7"/>
  <c r="K426" i="7"/>
  <c r="K425" i="7"/>
  <c r="K424" i="7"/>
  <c r="K423" i="7"/>
  <c r="K422" i="7"/>
  <c r="K421" i="7"/>
  <c r="K420" i="7"/>
  <c r="K419" i="7"/>
  <c r="K418" i="7"/>
  <c r="K417" i="7"/>
  <c r="K416" i="7"/>
  <c r="K415" i="7"/>
  <c r="K414" i="7"/>
  <c r="K413" i="7"/>
  <c r="K412" i="7"/>
  <c r="K411" i="7"/>
  <c r="K410" i="7"/>
  <c r="K409" i="7"/>
  <c r="K408" i="7"/>
  <c r="K407" i="7"/>
  <c r="K406" i="7"/>
  <c r="K405" i="7"/>
  <c r="K404" i="7"/>
  <c r="K403" i="7"/>
  <c r="K402" i="7"/>
  <c r="K401" i="7"/>
  <c r="K400" i="7"/>
  <c r="K399" i="7"/>
  <c r="K398" i="7"/>
  <c r="K397" i="7"/>
  <c r="K396" i="7"/>
  <c r="K395" i="7"/>
  <c r="K394" i="7"/>
  <c r="K393" i="7"/>
  <c r="K392" i="7"/>
  <c r="K391" i="7"/>
  <c r="K390" i="7"/>
  <c r="K389" i="7"/>
  <c r="K388" i="7"/>
  <c r="K387" i="7"/>
  <c r="K386" i="7"/>
  <c r="K385" i="7"/>
  <c r="K384" i="7"/>
  <c r="K383" i="7"/>
  <c r="K382" i="7"/>
  <c r="K381" i="7"/>
  <c r="K380" i="7"/>
  <c r="K379" i="7"/>
  <c r="K378" i="7"/>
  <c r="K377" i="7"/>
  <c r="K376" i="7"/>
  <c r="K375" i="7"/>
  <c r="K374" i="7"/>
  <c r="K373" i="7"/>
  <c r="K372" i="7"/>
  <c r="K371" i="7"/>
  <c r="K370" i="7"/>
  <c r="K369" i="7"/>
  <c r="K368" i="7"/>
  <c r="K367" i="7"/>
  <c r="K366" i="7"/>
  <c r="K365" i="7"/>
  <c r="K364" i="7"/>
  <c r="K363" i="7"/>
  <c r="K362" i="7"/>
  <c r="K361" i="7"/>
  <c r="K360" i="7"/>
  <c r="K359" i="7"/>
  <c r="K358" i="7"/>
  <c r="K357" i="7"/>
  <c r="K356" i="7"/>
  <c r="K355" i="7"/>
  <c r="K354" i="7"/>
  <c r="K353" i="7"/>
  <c r="K352" i="7"/>
  <c r="K351" i="7"/>
  <c r="C34" i="8" s="1"/>
  <c r="K350" i="7"/>
  <c r="K349" i="7"/>
  <c r="K348" i="7"/>
  <c r="K347" i="7"/>
  <c r="B100" i="8" s="1"/>
  <c r="K346" i="7"/>
  <c r="K345" i="7"/>
  <c r="K344" i="7"/>
  <c r="K343" i="7"/>
  <c r="K342" i="7"/>
  <c r="K341" i="7"/>
  <c r="K340" i="7"/>
  <c r="K339" i="7"/>
  <c r="K338" i="7"/>
  <c r="K337" i="7"/>
  <c r="K336" i="7"/>
  <c r="K335" i="7"/>
  <c r="K334" i="7"/>
  <c r="K333" i="7"/>
  <c r="K332" i="7"/>
  <c r="F44" i="8" s="1"/>
  <c r="K331" i="7"/>
  <c r="K330" i="7"/>
  <c r="K329" i="7"/>
  <c r="K328" i="7"/>
  <c r="K327" i="7"/>
  <c r="K326" i="7"/>
  <c r="K325" i="7"/>
  <c r="K324" i="7"/>
  <c r="K323" i="7"/>
  <c r="K322" i="7"/>
  <c r="K321" i="7"/>
  <c r="K320" i="7"/>
  <c r="K319" i="7"/>
  <c r="K318" i="7"/>
  <c r="K317" i="7"/>
  <c r="K316" i="7"/>
  <c r="K315" i="7"/>
  <c r="K314" i="7"/>
  <c r="K313" i="7"/>
  <c r="K312" i="7"/>
  <c r="K311" i="7"/>
  <c r="K310" i="7"/>
  <c r="K309" i="7"/>
  <c r="K308" i="7"/>
  <c r="K307" i="7"/>
  <c r="K306" i="7"/>
  <c r="K305" i="7"/>
  <c r="K304" i="7"/>
  <c r="K303" i="7"/>
  <c r="K302" i="7"/>
  <c r="K301" i="7"/>
  <c r="K300" i="7"/>
  <c r="K299" i="7"/>
  <c r="K298" i="7"/>
  <c r="K297" i="7"/>
  <c r="K296" i="7"/>
  <c r="K295" i="7"/>
  <c r="K294" i="7"/>
  <c r="K293" i="7"/>
  <c r="K291" i="7"/>
  <c r="K290" i="7"/>
  <c r="K289" i="7"/>
  <c r="K288" i="7"/>
  <c r="D82" i="8" s="1"/>
  <c r="K287" i="7"/>
  <c r="K286" i="7"/>
  <c r="K285" i="7"/>
  <c r="K284" i="7"/>
  <c r="K283" i="7"/>
  <c r="K282" i="7"/>
  <c r="L80" i="8" s="1"/>
  <c r="K281" i="7"/>
  <c r="K280" i="7"/>
  <c r="K279" i="7"/>
  <c r="K278" i="7"/>
  <c r="K277" i="7"/>
  <c r="K276" i="7"/>
  <c r="K275" i="7"/>
  <c r="K274" i="7"/>
  <c r="K273" i="7"/>
  <c r="K272" i="7"/>
  <c r="K271" i="7"/>
  <c r="K270" i="7"/>
  <c r="K269" i="7"/>
  <c r="K268" i="7"/>
  <c r="K267" i="7"/>
  <c r="K266" i="7"/>
  <c r="K265" i="7"/>
  <c r="K264" i="7"/>
  <c r="K263" i="7"/>
  <c r="K262" i="7"/>
  <c r="K260" i="7"/>
  <c r="K259" i="7"/>
  <c r="K258" i="7"/>
  <c r="K257" i="7"/>
  <c r="K256" i="7"/>
  <c r="K255" i="7"/>
  <c r="K254" i="7"/>
  <c r="K253" i="7"/>
  <c r="K252" i="7"/>
  <c r="K251" i="7"/>
  <c r="K250" i="7"/>
  <c r="K249" i="7"/>
  <c r="K248" i="7"/>
  <c r="K247" i="7"/>
  <c r="K246" i="7"/>
  <c r="K245" i="7"/>
  <c r="K244" i="7"/>
  <c r="K243" i="7"/>
  <c r="K242" i="7"/>
  <c r="K241" i="7"/>
  <c r="K240" i="7"/>
  <c r="K239" i="7"/>
  <c r="G82" i="8" s="1"/>
  <c r="K238" i="7"/>
  <c r="E36" i="8" s="1"/>
  <c r="K237" i="7"/>
  <c r="K236" i="7"/>
  <c r="K235" i="7"/>
  <c r="K234" i="7"/>
  <c r="K233" i="7"/>
  <c r="K232" i="7"/>
  <c r="K231" i="7"/>
  <c r="K230" i="7"/>
  <c r="K229" i="7"/>
  <c r="K228" i="7"/>
  <c r="K227" i="7"/>
  <c r="K226" i="7"/>
  <c r="K225" i="7"/>
  <c r="E50" i="8" s="1"/>
  <c r="K224" i="7"/>
  <c r="K223" i="7"/>
  <c r="K222" i="7"/>
  <c r="K221" i="7"/>
  <c r="K220" i="7"/>
  <c r="K219" i="7"/>
  <c r="K218" i="7"/>
  <c r="K217" i="7"/>
  <c r="K216" i="7"/>
  <c r="E35" i="8" s="1"/>
  <c r="K215" i="7"/>
  <c r="K214" i="7"/>
  <c r="E51" i="8" s="1"/>
  <c r="K213" i="7"/>
  <c r="K212" i="7"/>
  <c r="K211" i="7"/>
  <c r="K210" i="7"/>
  <c r="K209" i="7"/>
  <c r="K208" i="7"/>
  <c r="K207" i="7"/>
  <c r="K206" i="7"/>
  <c r="K205" i="7"/>
  <c r="K204" i="7"/>
  <c r="K203" i="7"/>
  <c r="J83" i="8" s="1"/>
  <c r="K202" i="7"/>
  <c r="K201" i="7"/>
  <c r="K200" i="7"/>
  <c r="K199" i="7"/>
  <c r="K198" i="7"/>
  <c r="K197" i="7"/>
  <c r="K196" i="7"/>
  <c r="K195" i="7"/>
  <c r="K194" i="7"/>
  <c r="K193" i="7"/>
  <c r="F82" i="8" s="1"/>
  <c r="K192" i="7"/>
  <c r="K191" i="7"/>
  <c r="K190" i="7"/>
  <c r="K189" i="7"/>
  <c r="K188" i="7"/>
  <c r="K187" i="7"/>
  <c r="K186" i="7"/>
  <c r="K185" i="7"/>
  <c r="K184" i="7"/>
  <c r="K183" i="7"/>
  <c r="K182" i="7"/>
  <c r="K181" i="7"/>
  <c r="K180" i="7"/>
  <c r="K179" i="7"/>
  <c r="K178" i="7"/>
  <c r="K177" i="7"/>
  <c r="K176" i="7"/>
  <c r="K175" i="7"/>
  <c r="K174" i="7"/>
  <c r="D24" i="8" s="1"/>
  <c r="K173" i="7"/>
  <c r="C16" i="8" s="1"/>
  <c r="K172" i="7"/>
  <c r="K171" i="7"/>
  <c r="K170" i="7"/>
  <c r="K169" i="7"/>
  <c r="K168" i="7"/>
  <c r="K167" i="7"/>
  <c r="K166" i="7"/>
  <c r="K165" i="7"/>
  <c r="K164" i="7"/>
  <c r="K163" i="7"/>
  <c r="K162" i="7"/>
  <c r="K161" i="7"/>
  <c r="K160" i="7"/>
  <c r="K159" i="7"/>
  <c r="K158" i="7"/>
  <c r="K157" i="7"/>
  <c r="K156" i="7"/>
  <c r="K155" i="7"/>
  <c r="K154" i="7"/>
  <c r="K153" i="7"/>
  <c r="K152" i="7"/>
  <c r="K151" i="7"/>
  <c r="C103" i="8" s="1"/>
  <c r="K150" i="7"/>
  <c r="K149" i="7"/>
  <c r="K148" i="7"/>
  <c r="K147" i="7"/>
  <c r="K146" i="7"/>
  <c r="K145" i="7"/>
  <c r="C49" i="8" s="1"/>
  <c r="K144" i="7"/>
  <c r="K143" i="7"/>
  <c r="K142" i="7"/>
  <c r="K141" i="7"/>
  <c r="G38" i="8" s="1"/>
  <c r="K140" i="7"/>
  <c r="K139" i="7"/>
  <c r="K138" i="7"/>
  <c r="K137" i="7"/>
  <c r="G53" i="8" s="1"/>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C7" i="8" s="1"/>
  <c r="K61" i="7"/>
  <c r="D32" i="8" s="1"/>
  <c r="K60" i="7"/>
  <c r="K59" i="7"/>
  <c r="D42" i="8" s="1"/>
  <c r="K58" i="7"/>
  <c r="K57" i="7"/>
  <c r="K56" i="7"/>
  <c r="K55" i="7"/>
  <c r="K54" i="7"/>
  <c r="K53" i="7"/>
  <c r="K52" i="7"/>
  <c r="K51" i="7"/>
  <c r="K50" i="7"/>
  <c r="B40" i="8" s="1"/>
  <c r="K49" i="7"/>
  <c r="K83" i="8" s="1"/>
  <c r="K48" i="7"/>
  <c r="K47" i="7"/>
  <c r="K46" i="7"/>
  <c r="K45" i="7"/>
  <c r="B71" i="8" s="1"/>
  <c r="K44" i="7"/>
  <c r="K43" i="7"/>
  <c r="K42" i="7"/>
  <c r="K41" i="7"/>
  <c r="K40" i="7"/>
  <c r="K39" i="7"/>
  <c r="K38" i="7"/>
  <c r="K37" i="7"/>
  <c r="K36" i="7"/>
  <c r="K35" i="7"/>
  <c r="K34" i="7"/>
  <c r="K33" i="7"/>
  <c r="K32" i="7"/>
  <c r="K31" i="7"/>
  <c r="K30" i="7"/>
  <c r="K29" i="7"/>
  <c r="E8" i="8" s="1"/>
  <c r="K28" i="7"/>
  <c r="K27" i="7"/>
  <c r="E21" i="8" s="1"/>
  <c r="K26" i="7"/>
  <c r="K25" i="7"/>
  <c r="K24" i="7"/>
  <c r="E82" i="8" s="1"/>
  <c r="K23" i="7"/>
  <c r="B83" i="8" s="1"/>
  <c r="K22" i="7"/>
  <c r="C81" i="8" s="1"/>
  <c r="K21" i="7"/>
  <c r="K20" i="7"/>
  <c r="K19" i="7"/>
  <c r="K18" i="7"/>
  <c r="K17" i="7"/>
  <c r="D106" i="8" s="1"/>
  <c r="K16" i="7"/>
  <c r="K15" i="7"/>
  <c r="C21" i="8" s="1"/>
  <c r="K14" i="7"/>
  <c r="B3" i="8" s="1"/>
  <c r="K13" i="7"/>
  <c r="G16" i="8" s="1"/>
  <c r="K12" i="7"/>
  <c r="E26" i="8" s="1"/>
  <c r="K11" i="7"/>
  <c r="K10" i="7"/>
  <c r="K9" i="7"/>
  <c r="B13" i="8" s="1"/>
  <c r="K8" i="7"/>
  <c r="G10" i="8" s="1"/>
  <c r="K7" i="7"/>
  <c r="B6" i="8" s="1"/>
  <c r="K6" i="7"/>
  <c r="B81" i="8" s="1"/>
  <c r="K5" i="7"/>
  <c r="G19" i="8" s="1"/>
  <c r="K4" i="7"/>
  <c r="B22" i="8" s="1"/>
  <c r="K3" i="7"/>
  <c r="K2" i="7"/>
  <c r="C6" i="8" s="1"/>
  <c r="K30" i="6"/>
  <c r="K29" i="6"/>
  <c r="K28" i="6"/>
  <c r="K27" i="6"/>
  <c r="K26" i="6"/>
  <c r="K25" i="6"/>
  <c r="K24" i="6"/>
  <c r="K23" i="6"/>
  <c r="K22" i="6"/>
  <c r="K21" i="6"/>
  <c r="K20" i="6"/>
  <c r="K19" i="6"/>
  <c r="K18" i="6"/>
  <c r="K17" i="6"/>
  <c r="K16" i="6"/>
  <c r="K15" i="6"/>
  <c r="K14" i="6"/>
  <c r="K13" i="6"/>
  <c r="K12" i="6"/>
  <c r="K11" i="6"/>
  <c r="K10" i="6"/>
  <c r="K9" i="6"/>
  <c r="K8" i="6"/>
  <c r="K7" i="6"/>
  <c r="K6" i="6"/>
  <c r="K5" i="6"/>
  <c r="K4" i="6"/>
  <c r="K3" i="6"/>
  <c r="Z171" i="4"/>
  <c r="Y171" i="4"/>
  <c r="Z170" i="4"/>
  <c r="Y170" i="4"/>
  <c r="Z169" i="4"/>
  <c r="Y169" i="4"/>
  <c r="Z168" i="4"/>
  <c r="Y168" i="4"/>
  <c r="Z167" i="4"/>
  <c r="Y167" i="4"/>
  <c r="Z166" i="4"/>
  <c r="Y166" i="4"/>
  <c r="Z165" i="4"/>
  <c r="Y165" i="4"/>
  <c r="Z164" i="4"/>
  <c r="Y164" i="4"/>
  <c r="Z163" i="4"/>
  <c r="Y163" i="4"/>
  <c r="Z162" i="4"/>
  <c r="Y162" i="4"/>
  <c r="Z161" i="4"/>
  <c r="Y161" i="4"/>
  <c r="Z160" i="4"/>
  <c r="Y160" i="4"/>
  <c r="Z159" i="4"/>
  <c r="Y159" i="4"/>
  <c r="Z158" i="4"/>
  <c r="Y158" i="4"/>
  <c r="Z157" i="4"/>
  <c r="Y157" i="4"/>
  <c r="Z156" i="4"/>
  <c r="Y156" i="4"/>
  <c r="Z155" i="4"/>
  <c r="Y155" i="4"/>
  <c r="Z154" i="4"/>
  <c r="Y154" i="4"/>
  <c r="Z153" i="4"/>
  <c r="Y153" i="4"/>
  <c r="Z152" i="4"/>
  <c r="Y152" i="4"/>
  <c r="Z151" i="4"/>
  <c r="Y151" i="4"/>
  <c r="Z150" i="4"/>
  <c r="Y150" i="4"/>
  <c r="Z149" i="4"/>
  <c r="Y149" i="4"/>
  <c r="Z148" i="4"/>
  <c r="Y148" i="4"/>
  <c r="Z147" i="4"/>
  <c r="Y147" i="4"/>
  <c r="Z146" i="4"/>
  <c r="Y146" i="4"/>
  <c r="Z145" i="4"/>
  <c r="Y145" i="4"/>
  <c r="Z144" i="4"/>
  <c r="Y144" i="4"/>
  <c r="Z143" i="4"/>
  <c r="Y143" i="4"/>
  <c r="Z142" i="4"/>
  <c r="Z141" i="4"/>
  <c r="Y141" i="4"/>
  <c r="Z140" i="4"/>
  <c r="Y140" i="4"/>
  <c r="Z139" i="4"/>
  <c r="Y139" i="4"/>
  <c r="Z138" i="4"/>
  <c r="Y138" i="4"/>
  <c r="Z137" i="4"/>
  <c r="Y137" i="4"/>
  <c r="Z136" i="4"/>
  <c r="Y136" i="4"/>
  <c r="Z135" i="4"/>
  <c r="Z134" i="4"/>
  <c r="Y134" i="4"/>
  <c r="Z133" i="4"/>
  <c r="Z132" i="4"/>
  <c r="Y132" i="4"/>
  <c r="Z131" i="4"/>
  <c r="Z130" i="4"/>
  <c r="Y130" i="4"/>
  <c r="Z129" i="4"/>
  <c r="Z128" i="4"/>
  <c r="Y128" i="4"/>
  <c r="Z127" i="4"/>
  <c r="Y127" i="4"/>
  <c r="Z126" i="4"/>
  <c r="Y126" i="4"/>
  <c r="Z125" i="4"/>
  <c r="Y125" i="4"/>
  <c r="Z124" i="4"/>
  <c r="Z123" i="4"/>
  <c r="Y123" i="4"/>
  <c r="Z122" i="4"/>
  <c r="Y122" i="4"/>
  <c r="Z121" i="4"/>
  <c r="Y121" i="4"/>
  <c r="Z120" i="4"/>
  <c r="Y120" i="4"/>
  <c r="Z119" i="4"/>
  <c r="Y119" i="4"/>
  <c r="Z118" i="4"/>
  <c r="Z117" i="4"/>
  <c r="Y117" i="4"/>
  <c r="Z116" i="4"/>
  <c r="Y116" i="4"/>
  <c r="Z115" i="4"/>
  <c r="Y115" i="4"/>
  <c r="Z114" i="4"/>
  <c r="Y114" i="4"/>
  <c r="Z113" i="4"/>
  <c r="Y113" i="4"/>
  <c r="Z112" i="4"/>
  <c r="Y112" i="4"/>
  <c r="Z111" i="4"/>
  <c r="Y111" i="4"/>
  <c r="Z110" i="4"/>
  <c r="Y110" i="4"/>
  <c r="Z109" i="4"/>
  <c r="Y109" i="4"/>
  <c r="Z108" i="4"/>
  <c r="Y108" i="4"/>
  <c r="Z107" i="4"/>
  <c r="Y107" i="4"/>
  <c r="Z106" i="4"/>
  <c r="Y106" i="4"/>
  <c r="Z105" i="4"/>
  <c r="Y105" i="4"/>
  <c r="Z104" i="4"/>
  <c r="Y104" i="4"/>
  <c r="Z103" i="4"/>
  <c r="Y103" i="4"/>
  <c r="Z102" i="4"/>
  <c r="Y102" i="4"/>
  <c r="Z101" i="4"/>
  <c r="Y101" i="4"/>
  <c r="Z100" i="4"/>
  <c r="Y100" i="4"/>
  <c r="Z99" i="4"/>
  <c r="Y99" i="4"/>
  <c r="Z98" i="4"/>
  <c r="Y98" i="4"/>
  <c r="Z97" i="4"/>
  <c r="Y97" i="4"/>
  <c r="Z96" i="4"/>
  <c r="Y96" i="4"/>
  <c r="Z95" i="4"/>
  <c r="Y95" i="4"/>
  <c r="Z94" i="4"/>
  <c r="Y94" i="4"/>
  <c r="Z93" i="4"/>
  <c r="Y93" i="4"/>
  <c r="Z92" i="4"/>
  <c r="Y92" i="4"/>
  <c r="Z91" i="4"/>
  <c r="Y91" i="4"/>
  <c r="Z90" i="4"/>
  <c r="Y90" i="4"/>
  <c r="Z89" i="4"/>
  <c r="Y89" i="4"/>
  <c r="Z88" i="4"/>
  <c r="Y88" i="4"/>
  <c r="Z87" i="4"/>
  <c r="Y87" i="4"/>
  <c r="Z86" i="4"/>
  <c r="Y86" i="4"/>
  <c r="Z85" i="4"/>
  <c r="Y85" i="4"/>
  <c r="Z84" i="4"/>
  <c r="Y84" i="4"/>
  <c r="Z83" i="4"/>
  <c r="Y83" i="4"/>
  <c r="Z82" i="4"/>
  <c r="Y82" i="4"/>
  <c r="Z81" i="4"/>
  <c r="Y81" i="4"/>
  <c r="Z80" i="4"/>
  <c r="Y80" i="4"/>
  <c r="Z79" i="4"/>
  <c r="Y79" i="4"/>
  <c r="Z78" i="4"/>
  <c r="Y78" i="4"/>
  <c r="Z77" i="4"/>
  <c r="Y77" i="4"/>
  <c r="Z76" i="4"/>
  <c r="Y76" i="4"/>
  <c r="Z75" i="4"/>
  <c r="Y75" i="4"/>
  <c r="Z74" i="4"/>
  <c r="Y74" i="4"/>
  <c r="Z73" i="4"/>
  <c r="Y73" i="4"/>
  <c r="Z72" i="4"/>
  <c r="Y72" i="4"/>
  <c r="Z71" i="4"/>
  <c r="Y71" i="4"/>
  <c r="Z70" i="4"/>
  <c r="Y70" i="4"/>
  <c r="Z69" i="4"/>
  <c r="Y69" i="4"/>
  <c r="Z68" i="4"/>
  <c r="Y68" i="4"/>
  <c r="Z67" i="4"/>
  <c r="Y67" i="4"/>
  <c r="Z66" i="4"/>
  <c r="Y66" i="4"/>
  <c r="Z65" i="4"/>
  <c r="Y65" i="4"/>
  <c r="Z64" i="4"/>
  <c r="Y64" i="4"/>
  <c r="Z63" i="4"/>
  <c r="Y63" i="4"/>
  <c r="Z62" i="4"/>
  <c r="Y62" i="4"/>
  <c r="Z61" i="4"/>
  <c r="Y61" i="4"/>
  <c r="Z60" i="4"/>
  <c r="Y60" i="4"/>
  <c r="Z59" i="4"/>
  <c r="Y59" i="4"/>
  <c r="Z58" i="4"/>
  <c r="Y58" i="4"/>
  <c r="Z57" i="4"/>
  <c r="Y57" i="4"/>
  <c r="Z56" i="4"/>
  <c r="Y56" i="4"/>
  <c r="Z55" i="4"/>
  <c r="Y55" i="4"/>
  <c r="Z54" i="4"/>
  <c r="Y54" i="4"/>
  <c r="Z53" i="4"/>
  <c r="Y53" i="4"/>
  <c r="Z52" i="4"/>
  <c r="Z51" i="4"/>
  <c r="Z50" i="4"/>
  <c r="Y50" i="4"/>
  <c r="Z49" i="4"/>
  <c r="Y49" i="4"/>
  <c r="Z48" i="4"/>
  <c r="Y48" i="4"/>
  <c r="Z47" i="4"/>
  <c r="Y47" i="4"/>
  <c r="Z46" i="4"/>
  <c r="Y46" i="4"/>
  <c r="Z45" i="4"/>
  <c r="Y45" i="4"/>
  <c r="Z44" i="4"/>
  <c r="Y44" i="4"/>
  <c r="Z43" i="4"/>
  <c r="Y43" i="4"/>
  <c r="Z42" i="4"/>
  <c r="Y42" i="4"/>
  <c r="O42" i="4"/>
  <c r="Z41" i="4"/>
  <c r="Y41" i="4"/>
  <c r="O41" i="4"/>
  <c r="Z40" i="4"/>
  <c r="Y40" i="4"/>
  <c r="O40" i="4"/>
  <c r="Z39" i="4"/>
  <c r="Y39" i="4"/>
  <c r="Z38" i="4"/>
  <c r="Y38" i="4"/>
  <c r="Z37" i="4"/>
  <c r="Y37" i="4"/>
  <c r="O37" i="4"/>
  <c r="Z36" i="4"/>
  <c r="Y36" i="4"/>
  <c r="O36" i="4"/>
  <c r="Z35" i="4"/>
  <c r="Y35" i="4"/>
  <c r="O35" i="4"/>
  <c r="Z34" i="4"/>
  <c r="Y34" i="4"/>
  <c r="O34" i="4"/>
  <c r="Z33" i="4"/>
  <c r="Y33" i="4"/>
  <c r="O33" i="4"/>
  <c r="Z32" i="4"/>
  <c r="Y32" i="4"/>
  <c r="O32" i="4"/>
  <c r="Z31" i="4"/>
  <c r="Y31" i="4"/>
  <c r="O31" i="4"/>
  <c r="Z30" i="4"/>
  <c r="Y30" i="4"/>
  <c r="O30" i="4"/>
  <c r="Z29" i="4"/>
  <c r="Y29" i="4"/>
  <c r="O29" i="4"/>
  <c r="Z28" i="4"/>
  <c r="Y28" i="4"/>
  <c r="O28" i="4"/>
  <c r="Z27" i="4"/>
  <c r="Y27" i="4"/>
  <c r="O27" i="4"/>
  <c r="Z26" i="4"/>
  <c r="Y26" i="4"/>
  <c r="O26" i="4"/>
  <c r="Z25" i="4"/>
  <c r="Y25" i="4"/>
  <c r="O25" i="4"/>
  <c r="Z24" i="4"/>
  <c r="Y24" i="4"/>
  <c r="O24" i="4"/>
  <c r="AI23" i="4"/>
  <c r="Z23" i="4"/>
  <c r="Y23" i="4"/>
  <c r="O23" i="4"/>
  <c r="AI22" i="4"/>
  <c r="Z22" i="4"/>
  <c r="Y22" i="4"/>
  <c r="O22" i="4"/>
  <c r="AI21" i="4"/>
  <c r="Z21" i="4"/>
  <c r="Y21" i="4"/>
  <c r="O21" i="4"/>
  <c r="AI20" i="4"/>
  <c r="Z20" i="4"/>
  <c r="Y20" i="4"/>
  <c r="O20" i="4"/>
  <c r="AI19" i="4"/>
  <c r="Z19" i="4"/>
  <c r="Y19" i="4"/>
  <c r="O19" i="4"/>
  <c r="AI18" i="4"/>
  <c r="Z18" i="4"/>
  <c r="Y18" i="4"/>
  <c r="O18" i="4"/>
  <c r="AI17" i="4"/>
  <c r="Z17" i="4"/>
  <c r="Y17" i="4"/>
  <c r="O17" i="4"/>
  <c r="AI16" i="4"/>
  <c r="Z16" i="4"/>
  <c r="Y16" i="4"/>
  <c r="O16" i="4"/>
  <c r="AI15" i="4"/>
  <c r="Z15" i="4"/>
  <c r="Y15" i="4"/>
  <c r="O15" i="4"/>
  <c r="AI14" i="4"/>
  <c r="Z14" i="4"/>
  <c r="Y14" i="4"/>
  <c r="O14" i="4"/>
  <c r="AI13" i="4"/>
  <c r="Z13" i="4"/>
  <c r="Y13" i="4"/>
  <c r="O13" i="4"/>
  <c r="AI12" i="4"/>
  <c r="Z12" i="4"/>
  <c r="Y12" i="4"/>
  <c r="O12" i="4"/>
  <c r="AI11" i="4"/>
  <c r="Z11" i="4"/>
  <c r="Y11" i="4"/>
  <c r="O11" i="4"/>
  <c r="AI10" i="4"/>
  <c r="Z10" i="4"/>
  <c r="Y10" i="4"/>
  <c r="O10" i="4"/>
  <c r="AI9" i="4"/>
  <c r="Z9" i="4"/>
  <c r="Y9" i="4"/>
  <c r="O9" i="4"/>
  <c r="AI8" i="4"/>
  <c r="Z8" i="4"/>
  <c r="Y8" i="4"/>
  <c r="O8" i="4"/>
  <c r="AI7" i="4"/>
  <c r="Z7" i="4"/>
  <c r="Y7" i="4"/>
  <c r="O7" i="4"/>
  <c r="AI6" i="4"/>
  <c r="Z6" i="4"/>
  <c r="Y6" i="4"/>
  <c r="O6" i="4"/>
  <c r="AI5" i="4"/>
  <c r="Z5" i="4"/>
  <c r="Y5" i="4"/>
  <c r="O5" i="4"/>
  <c r="AI4" i="4"/>
  <c r="Z4" i="4"/>
  <c r="Y4" i="4"/>
  <c r="O4" i="4"/>
  <c r="AI3" i="4"/>
  <c r="Z3" i="4"/>
  <c r="Y3" i="4"/>
  <c r="O3" i="4"/>
  <c r="L659" i="3"/>
  <c r="B659" i="3"/>
  <c r="L658" i="3"/>
  <c r="B658" i="3"/>
  <c r="L657" i="3"/>
  <c r="B657" i="3"/>
  <c r="L656" i="3"/>
  <c r="B656" i="3"/>
  <c r="L655" i="3"/>
  <c r="B655" i="3"/>
  <c r="L654" i="3"/>
  <c r="B654" i="3"/>
  <c r="L653" i="3"/>
  <c r="B653" i="3"/>
  <c r="L652" i="3"/>
  <c r="B652" i="3"/>
  <c r="L651" i="3"/>
  <c r="B651" i="3"/>
  <c r="L650" i="3"/>
  <c r="B650" i="3"/>
  <c r="L649" i="3"/>
  <c r="B649" i="3"/>
  <c r="L648" i="3"/>
  <c r="B648" i="3"/>
  <c r="L647" i="3"/>
  <c r="B647" i="3"/>
  <c r="L646" i="3"/>
  <c r="B646" i="3"/>
  <c r="L645" i="3"/>
  <c r="B645" i="3"/>
  <c r="L644" i="3"/>
  <c r="B644" i="3"/>
  <c r="L643" i="3"/>
  <c r="B643" i="3"/>
  <c r="L642" i="3"/>
  <c r="B642" i="3"/>
  <c r="L641" i="3"/>
  <c r="B641" i="3"/>
  <c r="L640" i="3"/>
  <c r="B640" i="3"/>
  <c r="L639" i="3"/>
  <c r="B639" i="3"/>
  <c r="L638" i="3"/>
  <c r="B638" i="3"/>
  <c r="L637" i="3"/>
  <c r="B637" i="3"/>
  <c r="L636" i="3"/>
  <c r="B636" i="3"/>
  <c r="L635" i="3"/>
  <c r="B635" i="3"/>
  <c r="L634" i="3"/>
  <c r="B634" i="3"/>
  <c r="L633" i="3"/>
  <c r="B633" i="3"/>
  <c r="L632" i="3"/>
  <c r="B632" i="3"/>
  <c r="L631" i="3"/>
  <c r="B631" i="3"/>
  <c r="L630" i="3"/>
  <c r="B630" i="3"/>
  <c r="L629" i="3"/>
  <c r="B629" i="3"/>
  <c r="L628" i="3"/>
  <c r="B628" i="3"/>
  <c r="L627" i="3"/>
  <c r="B627" i="3"/>
  <c r="L626" i="3"/>
  <c r="B626" i="3"/>
  <c r="L625" i="3"/>
  <c r="B625" i="3"/>
  <c r="L624" i="3"/>
  <c r="B624" i="3"/>
  <c r="L623" i="3"/>
  <c r="B623" i="3"/>
  <c r="L622" i="3"/>
  <c r="B622" i="3"/>
  <c r="L621" i="3"/>
  <c r="B621" i="3"/>
  <c r="L620" i="3"/>
  <c r="B620" i="3"/>
  <c r="L619" i="3"/>
  <c r="B619" i="3"/>
  <c r="L618" i="3"/>
  <c r="B618" i="3"/>
  <c r="L617" i="3"/>
  <c r="B617" i="3"/>
  <c r="L616" i="3"/>
  <c r="B616" i="3"/>
  <c r="L615" i="3"/>
  <c r="B615" i="3"/>
  <c r="L614" i="3"/>
  <c r="B614" i="3"/>
  <c r="L613" i="3"/>
  <c r="B613" i="3"/>
  <c r="L612" i="3"/>
  <c r="B612" i="3"/>
  <c r="L611" i="3"/>
  <c r="B611" i="3"/>
  <c r="L610" i="3"/>
  <c r="B610" i="3"/>
  <c r="L609" i="3"/>
  <c r="B609" i="3"/>
  <c r="L608" i="3"/>
  <c r="B608" i="3"/>
  <c r="L607" i="3"/>
  <c r="B607" i="3"/>
  <c r="L606" i="3"/>
  <c r="B606" i="3"/>
  <c r="L605" i="3"/>
  <c r="B605" i="3"/>
  <c r="L604" i="3"/>
  <c r="B604" i="3"/>
  <c r="L603" i="3"/>
  <c r="B603" i="3"/>
  <c r="L602" i="3"/>
  <c r="B602" i="3"/>
  <c r="L601" i="3"/>
  <c r="B601" i="3"/>
  <c r="L600" i="3"/>
  <c r="B600" i="3"/>
  <c r="L599" i="3"/>
  <c r="B599" i="3"/>
  <c r="L598" i="3"/>
  <c r="B598" i="3"/>
  <c r="L597" i="3"/>
  <c r="B597" i="3"/>
  <c r="L596" i="3"/>
  <c r="B596" i="3"/>
  <c r="L595" i="3"/>
  <c r="B595" i="3"/>
  <c r="L593" i="3"/>
  <c r="B593" i="3"/>
  <c r="L592" i="3"/>
  <c r="B592" i="3"/>
  <c r="L591" i="3"/>
  <c r="B591" i="3"/>
  <c r="L590" i="3"/>
  <c r="B590" i="3"/>
  <c r="L589" i="3"/>
  <c r="B589" i="3"/>
  <c r="L588" i="3"/>
  <c r="B588" i="3"/>
  <c r="L587" i="3"/>
  <c r="B587" i="3"/>
  <c r="L586" i="3"/>
  <c r="B586" i="3"/>
  <c r="L585" i="3"/>
  <c r="B585" i="3"/>
  <c r="L584" i="3"/>
  <c r="B584" i="3"/>
  <c r="L583" i="3"/>
  <c r="B583" i="3"/>
  <c r="L582" i="3"/>
  <c r="B582" i="3"/>
  <c r="L581" i="3"/>
  <c r="B581" i="3"/>
  <c r="L580" i="3"/>
  <c r="B580" i="3"/>
  <c r="L579" i="3"/>
  <c r="B579" i="3"/>
  <c r="L578" i="3"/>
  <c r="B578" i="3"/>
  <c r="L577" i="3"/>
  <c r="B577" i="3"/>
  <c r="L576" i="3"/>
  <c r="B576" i="3"/>
  <c r="L575" i="3"/>
  <c r="B575" i="3"/>
  <c r="L574" i="3"/>
  <c r="B574" i="3"/>
  <c r="L573" i="3"/>
  <c r="B573" i="3"/>
  <c r="L572" i="3"/>
  <c r="B572" i="3"/>
  <c r="L571" i="3"/>
  <c r="B571" i="3"/>
  <c r="L570" i="3"/>
  <c r="B570" i="3"/>
  <c r="L569" i="3"/>
  <c r="B569" i="3"/>
  <c r="L568" i="3"/>
  <c r="B568" i="3"/>
  <c r="L567" i="3"/>
  <c r="B567" i="3"/>
  <c r="L566" i="3"/>
  <c r="B566" i="3"/>
  <c r="L565" i="3"/>
  <c r="B565" i="3"/>
  <c r="L564" i="3"/>
  <c r="B564" i="3"/>
  <c r="L563" i="3"/>
  <c r="B563" i="3"/>
  <c r="L562" i="3"/>
  <c r="B562" i="3"/>
  <c r="L561" i="3"/>
  <c r="B561" i="3"/>
  <c r="L560" i="3"/>
  <c r="B560" i="3"/>
  <c r="L559" i="3"/>
  <c r="B559" i="3"/>
  <c r="L558" i="3"/>
  <c r="B558" i="3"/>
  <c r="L557" i="3"/>
  <c r="B557" i="3"/>
  <c r="L556" i="3"/>
  <c r="B556" i="3"/>
  <c r="L555" i="3"/>
  <c r="B555" i="3"/>
  <c r="L554" i="3"/>
  <c r="B554" i="3"/>
  <c r="L553" i="3"/>
  <c r="B553" i="3"/>
  <c r="L552" i="3"/>
  <c r="B552" i="3"/>
  <c r="L551" i="3"/>
  <c r="B551" i="3"/>
  <c r="L550" i="3"/>
  <c r="B550" i="3"/>
  <c r="L549" i="3"/>
  <c r="B549" i="3"/>
  <c r="L548" i="3"/>
  <c r="B548" i="3"/>
  <c r="L547" i="3"/>
  <c r="B547" i="3"/>
  <c r="L546" i="3"/>
  <c r="B546" i="3"/>
  <c r="L545" i="3"/>
  <c r="B545" i="3"/>
  <c r="L544" i="3"/>
  <c r="B544" i="3"/>
  <c r="L543" i="3"/>
  <c r="B543" i="3"/>
  <c r="L542" i="3"/>
  <c r="B542" i="3"/>
  <c r="L541" i="3"/>
  <c r="B541" i="3"/>
  <c r="L540" i="3"/>
  <c r="B540" i="3"/>
  <c r="L539" i="3"/>
  <c r="B539" i="3"/>
  <c r="L538" i="3"/>
  <c r="B538" i="3"/>
  <c r="L537" i="3"/>
  <c r="B537" i="3"/>
  <c r="L536" i="3"/>
  <c r="B536" i="3"/>
  <c r="L535" i="3"/>
  <c r="B535" i="3"/>
  <c r="L534" i="3"/>
  <c r="B534" i="3"/>
  <c r="L533" i="3"/>
  <c r="B533" i="3"/>
  <c r="L532" i="3"/>
  <c r="B532" i="3"/>
  <c r="L531" i="3"/>
  <c r="B531" i="3"/>
  <c r="L530" i="3"/>
  <c r="B530" i="3"/>
  <c r="L529" i="3"/>
  <c r="B529" i="3"/>
  <c r="L528" i="3"/>
  <c r="B528" i="3"/>
  <c r="L527" i="3"/>
  <c r="B527" i="3"/>
  <c r="L526" i="3"/>
  <c r="B526" i="3"/>
  <c r="L525" i="3"/>
  <c r="B525" i="3"/>
  <c r="L524" i="3"/>
  <c r="B524" i="3"/>
  <c r="L523" i="3"/>
  <c r="B523" i="3"/>
  <c r="L522" i="3"/>
  <c r="B522" i="3"/>
  <c r="L521" i="3"/>
  <c r="B521" i="3"/>
  <c r="L520" i="3"/>
  <c r="B520" i="3"/>
  <c r="L519" i="3"/>
  <c r="B519" i="3"/>
  <c r="L518" i="3"/>
  <c r="B518" i="3"/>
  <c r="L517" i="3"/>
  <c r="B517" i="3"/>
  <c r="L516" i="3"/>
  <c r="B516" i="3"/>
  <c r="L515" i="3"/>
  <c r="B515" i="3"/>
  <c r="L514" i="3"/>
  <c r="B514" i="3"/>
  <c r="L513" i="3"/>
  <c r="B513" i="3"/>
  <c r="L512" i="3"/>
  <c r="B512" i="3"/>
  <c r="L511" i="3"/>
  <c r="B511" i="3"/>
  <c r="L510" i="3"/>
  <c r="B510" i="3"/>
  <c r="L509" i="3"/>
  <c r="B509" i="3"/>
  <c r="L508" i="3"/>
  <c r="B508" i="3"/>
  <c r="L507" i="3"/>
  <c r="B507" i="3"/>
  <c r="L506" i="3"/>
  <c r="B506" i="3"/>
  <c r="L505" i="3"/>
  <c r="B505" i="3"/>
  <c r="L504" i="3"/>
  <c r="B504" i="3"/>
  <c r="L503" i="3"/>
  <c r="B503" i="3"/>
  <c r="L502" i="3"/>
  <c r="B502" i="3"/>
  <c r="L501" i="3"/>
  <c r="B501" i="3"/>
  <c r="L500" i="3"/>
  <c r="B500" i="3"/>
  <c r="L499" i="3"/>
  <c r="B499" i="3"/>
  <c r="L498" i="3"/>
  <c r="B498" i="3"/>
  <c r="L497" i="3"/>
  <c r="B497" i="3"/>
  <c r="L496" i="3"/>
  <c r="B496" i="3"/>
  <c r="L495" i="3"/>
  <c r="B495" i="3"/>
  <c r="L494" i="3"/>
  <c r="B494" i="3"/>
  <c r="L493" i="3"/>
  <c r="B493" i="3"/>
  <c r="L492" i="3"/>
  <c r="B492" i="3"/>
  <c r="L491" i="3"/>
  <c r="B491" i="3"/>
  <c r="L490" i="3"/>
  <c r="B490" i="3"/>
  <c r="L489" i="3"/>
  <c r="B489" i="3"/>
  <c r="L488" i="3"/>
  <c r="B488" i="3"/>
  <c r="L487" i="3"/>
  <c r="B487" i="3"/>
  <c r="L486" i="3"/>
  <c r="B486" i="3"/>
  <c r="L485" i="3"/>
  <c r="B485" i="3"/>
  <c r="L484" i="3"/>
  <c r="B484" i="3"/>
  <c r="L483" i="3"/>
  <c r="B483" i="3"/>
  <c r="L482" i="3"/>
  <c r="B482" i="3"/>
  <c r="L481" i="3"/>
  <c r="B481" i="3"/>
  <c r="L480" i="3"/>
  <c r="B480" i="3"/>
  <c r="L479" i="3"/>
  <c r="B479" i="3"/>
  <c r="L478" i="3"/>
  <c r="B478" i="3"/>
  <c r="L477" i="3"/>
  <c r="B477" i="3"/>
  <c r="L476" i="3"/>
  <c r="B476" i="3"/>
  <c r="L475" i="3"/>
  <c r="B475" i="3"/>
  <c r="L474" i="3"/>
  <c r="B474" i="3"/>
  <c r="L473" i="3"/>
  <c r="B473" i="3"/>
  <c r="L472" i="3"/>
  <c r="B472" i="3"/>
  <c r="L471" i="3"/>
  <c r="B471" i="3"/>
  <c r="L470" i="3"/>
  <c r="B470" i="3"/>
  <c r="L469" i="3"/>
  <c r="B469" i="3"/>
  <c r="L468" i="3"/>
  <c r="B468" i="3"/>
  <c r="L467" i="3"/>
  <c r="B467" i="3"/>
  <c r="L466" i="3"/>
  <c r="B466" i="3"/>
  <c r="L465" i="3"/>
  <c r="B465" i="3"/>
  <c r="L464" i="3"/>
  <c r="B464" i="3"/>
  <c r="L463" i="3"/>
  <c r="B463" i="3"/>
  <c r="L462" i="3"/>
  <c r="B462" i="3"/>
  <c r="L461" i="3"/>
  <c r="B461" i="3"/>
  <c r="L460" i="3"/>
  <c r="B460" i="3"/>
  <c r="L459" i="3"/>
  <c r="B459" i="3"/>
  <c r="L458" i="3"/>
  <c r="B458" i="3"/>
  <c r="L457" i="3"/>
  <c r="B457" i="3"/>
  <c r="L456" i="3"/>
  <c r="B456" i="3"/>
  <c r="L455" i="3"/>
  <c r="B455" i="3"/>
  <c r="L454" i="3"/>
  <c r="B454" i="3"/>
  <c r="L453" i="3"/>
  <c r="B453" i="3"/>
  <c r="L452" i="3"/>
  <c r="B452" i="3"/>
  <c r="L451" i="3"/>
  <c r="B451" i="3"/>
  <c r="L450" i="3"/>
  <c r="B450" i="3"/>
  <c r="L449" i="3"/>
  <c r="B449" i="3"/>
  <c r="L448" i="3"/>
  <c r="B448" i="3"/>
  <c r="L447" i="3"/>
  <c r="B447" i="3"/>
  <c r="L445" i="3"/>
  <c r="B445" i="3"/>
  <c r="L444" i="3"/>
  <c r="B444" i="3"/>
  <c r="L443" i="3"/>
  <c r="B443" i="3"/>
  <c r="L442" i="3"/>
  <c r="B442" i="3"/>
  <c r="L441" i="3"/>
  <c r="B441" i="3"/>
  <c r="L440" i="3"/>
  <c r="B440" i="3"/>
  <c r="L439" i="3"/>
  <c r="B439" i="3"/>
  <c r="L438" i="3"/>
  <c r="B438" i="3"/>
  <c r="L437" i="3"/>
  <c r="B437" i="3"/>
  <c r="L436" i="3"/>
  <c r="B436" i="3"/>
  <c r="L435" i="3"/>
  <c r="B435" i="3"/>
  <c r="L434" i="3"/>
  <c r="B434" i="3"/>
  <c r="L433" i="3"/>
  <c r="B433" i="3"/>
  <c r="L432" i="3"/>
  <c r="B432" i="3"/>
  <c r="L431" i="3"/>
  <c r="B431" i="3"/>
  <c r="L430" i="3"/>
  <c r="B430" i="3"/>
  <c r="L429" i="3"/>
  <c r="B429" i="3"/>
  <c r="L428" i="3"/>
  <c r="B428" i="3"/>
  <c r="L427" i="3"/>
  <c r="B427" i="3"/>
  <c r="L426" i="3"/>
  <c r="B426" i="3"/>
  <c r="L425" i="3"/>
  <c r="B425" i="3"/>
  <c r="L424" i="3"/>
  <c r="B424" i="3"/>
  <c r="L423" i="3"/>
  <c r="B423" i="3"/>
  <c r="L422" i="3"/>
  <c r="B422" i="3"/>
  <c r="L421" i="3"/>
  <c r="B421" i="3"/>
  <c r="L420" i="3"/>
  <c r="B420" i="3"/>
  <c r="L419" i="3"/>
  <c r="B419" i="3"/>
  <c r="L418" i="3"/>
  <c r="B418" i="3"/>
  <c r="L417" i="3"/>
  <c r="B417" i="3"/>
  <c r="L416" i="3"/>
  <c r="B416" i="3"/>
  <c r="L415" i="3"/>
  <c r="B415" i="3"/>
  <c r="L414" i="3"/>
  <c r="B414" i="3"/>
  <c r="L413" i="3"/>
  <c r="B413" i="3"/>
  <c r="L412" i="3"/>
  <c r="B412" i="3"/>
  <c r="L411" i="3"/>
  <c r="B411" i="3"/>
  <c r="L410" i="3"/>
  <c r="B410" i="3"/>
  <c r="L409" i="3"/>
  <c r="B409" i="3"/>
  <c r="L408" i="3"/>
  <c r="B408" i="3"/>
  <c r="L407" i="3"/>
  <c r="B407" i="3"/>
  <c r="L406" i="3"/>
  <c r="B406" i="3"/>
  <c r="L405" i="3"/>
  <c r="B405" i="3"/>
  <c r="L404" i="3"/>
  <c r="B404" i="3"/>
  <c r="L403" i="3"/>
  <c r="B403" i="3"/>
  <c r="L402" i="3"/>
  <c r="B402" i="3"/>
  <c r="L401" i="3"/>
  <c r="B401" i="3"/>
  <c r="L400" i="3"/>
  <c r="B400" i="3"/>
  <c r="L399" i="3"/>
  <c r="B399" i="3"/>
  <c r="L398" i="3"/>
  <c r="B398" i="3"/>
  <c r="L397" i="3"/>
  <c r="B397" i="3"/>
  <c r="L396" i="3"/>
  <c r="B396" i="3"/>
  <c r="L395" i="3"/>
  <c r="B395" i="3"/>
  <c r="L394" i="3"/>
  <c r="B394" i="3"/>
  <c r="L393" i="3"/>
  <c r="B393" i="3"/>
  <c r="L392" i="3"/>
  <c r="B392" i="3"/>
  <c r="L391" i="3"/>
  <c r="B391" i="3"/>
  <c r="L390" i="3"/>
  <c r="B390" i="3"/>
  <c r="L389" i="3"/>
  <c r="B389" i="3"/>
  <c r="L388" i="3"/>
  <c r="B388" i="3"/>
  <c r="L386" i="3"/>
  <c r="B386" i="3"/>
  <c r="L385" i="3"/>
  <c r="B385" i="3"/>
  <c r="L384" i="3"/>
  <c r="B384" i="3"/>
  <c r="L383" i="3"/>
  <c r="B383" i="3"/>
  <c r="L382" i="3"/>
  <c r="B382" i="3"/>
  <c r="L381" i="3"/>
  <c r="B381" i="3"/>
  <c r="L380" i="3"/>
  <c r="B380" i="3"/>
  <c r="L379" i="3"/>
  <c r="B379" i="3"/>
  <c r="L378" i="3"/>
  <c r="B378" i="3"/>
  <c r="L377" i="3"/>
  <c r="B377" i="3"/>
  <c r="L376" i="3"/>
  <c r="B376" i="3"/>
  <c r="L375" i="3"/>
  <c r="B375" i="3"/>
  <c r="L374" i="3"/>
  <c r="B374" i="3"/>
  <c r="L373" i="3"/>
  <c r="B373" i="3"/>
  <c r="L372" i="3"/>
  <c r="B372" i="3"/>
  <c r="L371" i="3"/>
  <c r="B371" i="3"/>
  <c r="L370" i="3"/>
  <c r="B370" i="3"/>
  <c r="L369" i="3"/>
  <c r="B369" i="3"/>
  <c r="L368" i="3"/>
  <c r="B368" i="3"/>
  <c r="L367" i="3"/>
  <c r="B367" i="3"/>
  <c r="L366" i="3"/>
  <c r="B366" i="3"/>
  <c r="L365" i="3"/>
  <c r="B365" i="3"/>
  <c r="L364" i="3"/>
  <c r="B364" i="3"/>
  <c r="L363" i="3"/>
  <c r="B363" i="3"/>
  <c r="L362" i="3"/>
  <c r="B362" i="3"/>
  <c r="L361" i="3"/>
  <c r="B361" i="3"/>
  <c r="L360" i="3"/>
  <c r="B360" i="3"/>
  <c r="L359" i="3"/>
  <c r="B359" i="3"/>
  <c r="L358" i="3"/>
  <c r="B358" i="3"/>
  <c r="L357" i="3"/>
  <c r="B357" i="3"/>
  <c r="L356" i="3"/>
  <c r="B356" i="3"/>
  <c r="L355" i="3"/>
  <c r="B355" i="3"/>
  <c r="L354" i="3"/>
  <c r="B354" i="3"/>
  <c r="L353" i="3"/>
  <c r="B353" i="3"/>
  <c r="L352" i="3"/>
  <c r="B352" i="3"/>
  <c r="L351" i="3"/>
  <c r="B351" i="3"/>
  <c r="L350" i="3"/>
  <c r="B350" i="3"/>
  <c r="L349" i="3"/>
  <c r="B349" i="3"/>
  <c r="L348" i="3"/>
  <c r="B348" i="3"/>
  <c r="L347" i="3"/>
  <c r="B347" i="3"/>
  <c r="L346" i="3"/>
  <c r="B346" i="3"/>
  <c r="L345" i="3"/>
  <c r="B345" i="3"/>
  <c r="L344" i="3"/>
  <c r="B344" i="3"/>
  <c r="L343" i="3"/>
  <c r="B343" i="3"/>
  <c r="L342" i="3"/>
  <c r="B342" i="3"/>
  <c r="L341" i="3"/>
  <c r="B341" i="3"/>
  <c r="L340" i="3"/>
  <c r="B340" i="3"/>
  <c r="L339" i="3"/>
  <c r="B339" i="3"/>
  <c r="L338" i="3"/>
  <c r="B338" i="3"/>
  <c r="L337" i="3"/>
  <c r="B337" i="3"/>
  <c r="L336" i="3"/>
  <c r="B336" i="3"/>
  <c r="L335" i="3"/>
  <c r="B335" i="3"/>
  <c r="L334" i="3"/>
  <c r="B334" i="3"/>
  <c r="L333" i="3"/>
  <c r="B333" i="3"/>
  <c r="L332" i="3"/>
  <c r="B332" i="3"/>
  <c r="L331" i="3"/>
  <c r="B331" i="3"/>
  <c r="L330" i="3"/>
  <c r="B330" i="3"/>
  <c r="L329" i="3"/>
  <c r="B329" i="3"/>
  <c r="L327" i="3"/>
  <c r="B327" i="3"/>
  <c r="L326" i="3"/>
  <c r="B326" i="3"/>
  <c r="L325" i="3"/>
  <c r="B325" i="3"/>
  <c r="L324" i="3"/>
  <c r="B324" i="3"/>
  <c r="L323" i="3"/>
  <c r="B323" i="3"/>
  <c r="L322" i="3"/>
  <c r="B322" i="3"/>
  <c r="L321" i="3"/>
  <c r="B321" i="3"/>
  <c r="L320" i="3"/>
  <c r="B320" i="3"/>
  <c r="L319" i="3"/>
  <c r="B319" i="3"/>
  <c r="L318" i="3"/>
  <c r="B318" i="3"/>
  <c r="L317" i="3"/>
  <c r="B317" i="3"/>
  <c r="L316" i="3"/>
  <c r="B316" i="3"/>
  <c r="L315" i="3"/>
  <c r="B315" i="3"/>
  <c r="L314" i="3"/>
  <c r="B314" i="3"/>
  <c r="L313" i="3"/>
  <c r="B313" i="3"/>
  <c r="L312" i="3"/>
  <c r="B312" i="3"/>
  <c r="L311" i="3"/>
  <c r="B311" i="3"/>
  <c r="L310" i="3"/>
  <c r="B310" i="3"/>
  <c r="L309" i="3"/>
  <c r="B309" i="3"/>
  <c r="L308" i="3"/>
  <c r="B308" i="3"/>
  <c r="L307" i="3"/>
  <c r="B307" i="3"/>
  <c r="L306" i="3"/>
  <c r="B306" i="3"/>
  <c r="L305" i="3"/>
  <c r="B305" i="3"/>
  <c r="L304" i="3"/>
  <c r="B304" i="3"/>
  <c r="L303" i="3"/>
  <c r="B303" i="3"/>
  <c r="L302" i="3"/>
  <c r="B302" i="3"/>
  <c r="L301" i="3"/>
  <c r="B301" i="3"/>
  <c r="L300" i="3"/>
  <c r="B300" i="3"/>
  <c r="L299" i="3"/>
  <c r="B299" i="3"/>
  <c r="L298" i="3"/>
  <c r="B298" i="3"/>
  <c r="L297" i="3"/>
  <c r="B297" i="3"/>
  <c r="L296" i="3"/>
  <c r="B296" i="3"/>
  <c r="L295" i="3"/>
  <c r="B295" i="3"/>
  <c r="L294" i="3"/>
  <c r="B294" i="3"/>
  <c r="L293" i="3"/>
  <c r="B293" i="3"/>
  <c r="L292" i="3"/>
  <c r="B292" i="3"/>
  <c r="L291" i="3"/>
  <c r="B291" i="3"/>
  <c r="L290" i="3"/>
  <c r="B290" i="3"/>
  <c r="L289" i="3"/>
  <c r="B289" i="3"/>
  <c r="L288" i="3"/>
  <c r="B288" i="3"/>
  <c r="L287" i="3"/>
  <c r="B287" i="3"/>
  <c r="L286" i="3"/>
  <c r="B286" i="3"/>
  <c r="L285" i="3"/>
  <c r="B285" i="3"/>
  <c r="L284" i="3"/>
  <c r="B284" i="3"/>
  <c r="L283" i="3"/>
  <c r="B283" i="3"/>
  <c r="L282" i="3"/>
  <c r="B282" i="3"/>
  <c r="L281" i="3"/>
  <c r="B281" i="3"/>
  <c r="L280" i="3"/>
  <c r="B280" i="3"/>
  <c r="L279" i="3"/>
  <c r="B279" i="3"/>
  <c r="L278" i="3"/>
  <c r="B278" i="3"/>
  <c r="L276" i="3"/>
  <c r="B276" i="3"/>
  <c r="L275" i="3"/>
  <c r="B275" i="3"/>
  <c r="L274" i="3"/>
  <c r="B274" i="3"/>
  <c r="L273" i="3"/>
  <c r="B273" i="3"/>
  <c r="L272" i="3"/>
  <c r="B272" i="3"/>
  <c r="L271" i="3"/>
  <c r="B271" i="3"/>
  <c r="L270" i="3"/>
  <c r="B270" i="3"/>
  <c r="L269" i="3"/>
  <c r="B269" i="3"/>
  <c r="L268" i="3"/>
  <c r="B268" i="3"/>
  <c r="L267" i="3"/>
  <c r="B267" i="3"/>
  <c r="L266" i="3"/>
  <c r="B266" i="3"/>
  <c r="L265" i="3"/>
  <c r="B265" i="3"/>
  <c r="L264" i="3"/>
  <c r="B264" i="3"/>
  <c r="L263" i="3"/>
  <c r="B263" i="3"/>
  <c r="L262" i="3"/>
  <c r="B262" i="3"/>
  <c r="L261" i="3"/>
  <c r="B261" i="3"/>
  <c r="L260" i="3"/>
  <c r="B260" i="3"/>
  <c r="L259" i="3"/>
  <c r="B259" i="3"/>
  <c r="L258" i="3"/>
  <c r="B258" i="3"/>
  <c r="L257" i="3"/>
  <c r="B257" i="3"/>
  <c r="L256" i="3"/>
  <c r="B256" i="3"/>
  <c r="L255" i="3"/>
  <c r="B255" i="3"/>
  <c r="L254" i="3"/>
  <c r="B254" i="3"/>
  <c r="L253" i="3"/>
  <c r="B253" i="3"/>
  <c r="L252" i="3"/>
  <c r="B252" i="3"/>
  <c r="L251" i="3"/>
  <c r="B251" i="3"/>
  <c r="L250" i="3"/>
  <c r="B250" i="3"/>
  <c r="L249" i="3"/>
  <c r="B249" i="3"/>
  <c r="L248" i="3"/>
  <c r="B248" i="3"/>
  <c r="L247" i="3"/>
  <c r="B247" i="3"/>
  <c r="L246" i="3"/>
  <c r="B246" i="3"/>
  <c r="L245" i="3"/>
  <c r="B245" i="3"/>
  <c r="L244" i="3"/>
  <c r="B244" i="3"/>
  <c r="L243" i="3"/>
  <c r="B243" i="3"/>
  <c r="L242" i="3"/>
  <c r="B242" i="3"/>
  <c r="L241" i="3"/>
  <c r="B241" i="3"/>
  <c r="L240" i="3"/>
  <c r="B240" i="3"/>
  <c r="L239" i="3"/>
  <c r="B239" i="3"/>
  <c r="L238" i="3"/>
  <c r="B238" i="3"/>
  <c r="L237" i="3"/>
  <c r="B237" i="3"/>
  <c r="L236" i="3"/>
  <c r="B236" i="3"/>
  <c r="L235" i="3"/>
  <c r="B235" i="3"/>
  <c r="L234" i="3"/>
  <c r="B234" i="3"/>
  <c r="L232" i="3"/>
  <c r="B232" i="3"/>
  <c r="L231" i="3"/>
  <c r="B231" i="3"/>
  <c r="L230" i="3"/>
  <c r="B230" i="3"/>
  <c r="L229" i="3"/>
  <c r="B229" i="3"/>
  <c r="L228" i="3"/>
  <c r="B228" i="3"/>
  <c r="L227" i="3"/>
  <c r="B227" i="3"/>
  <c r="L226" i="3"/>
  <c r="B226" i="3"/>
  <c r="L225" i="3"/>
  <c r="B225" i="3"/>
  <c r="L224" i="3"/>
  <c r="B224" i="3"/>
  <c r="L223" i="3"/>
  <c r="B223" i="3"/>
  <c r="L222" i="3"/>
  <c r="B222" i="3"/>
  <c r="L221" i="3"/>
  <c r="B221" i="3"/>
  <c r="L220" i="3"/>
  <c r="B220" i="3"/>
  <c r="L219" i="3"/>
  <c r="B219" i="3"/>
  <c r="L218" i="3"/>
  <c r="B218" i="3"/>
  <c r="L217" i="3"/>
  <c r="B217" i="3"/>
  <c r="L216" i="3"/>
  <c r="B216" i="3"/>
  <c r="L215" i="3"/>
  <c r="B215" i="3"/>
  <c r="L214" i="3"/>
  <c r="B214" i="3"/>
  <c r="L213" i="3"/>
  <c r="B213" i="3"/>
  <c r="L212" i="3"/>
  <c r="B212" i="3"/>
  <c r="L211" i="3"/>
  <c r="B211" i="3"/>
  <c r="L210" i="3"/>
  <c r="B210" i="3"/>
  <c r="L208" i="3"/>
  <c r="B208" i="3"/>
  <c r="L207" i="3"/>
  <c r="B207" i="3"/>
  <c r="L206" i="3"/>
  <c r="B206" i="3"/>
  <c r="L205" i="3"/>
  <c r="B205" i="3"/>
  <c r="L204" i="3"/>
  <c r="B204" i="3"/>
  <c r="L203" i="3"/>
  <c r="B203" i="3"/>
  <c r="L202" i="3"/>
  <c r="B202" i="3"/>
  <c r="L201" i="3"/>
  <c r="B201" i="3"/>
  <c r="L200" i="3"/>
  <c r="B200" i="3"/>
  <c r="L199" i="3"/>
  <c r="B199" i="3"/>
  <c r="L198" i="3"/>
  <c r="B198" i="3"/>
  <c r="L197" i="3"/>
  <c r="B197" i="3"/>
  <c r="L196" i="3"/>
  <c r="B196" i="3"/>
  <c r="L195" i="3"/>
  <c r="B195" i="3"/>
  <c r="L194" i="3"/>
  <c r="B194" i="3"/>
  <c r="L193" i="3"/>
  <c r="B193" i="3"/>
  <c r="L192" i="3"/>
  <c r="B192" i="3"/>
  <c r="L191" i="3"/>
  <c r="B191" i="3"/>
  <c r="L190" i="3"/>
  <c r="B190" i="3"/>
  <c r="L189" i="3"/>
  <c r="B189" i="3"/>
  <c r="L188" i="3"/>
  <c r="B188" i="3"/>
  <c r="L187" i="3"/>
  <c r="B187" i="3"/>
  <c r="L186" i="3"/>
  <c r="B186" i="3"/>
  <c r="L185" i="3"/>
  <c r="B185" i="3"/>
  <c r="L184" i="3"/>
  <c r="B184" i="3"/>
  <c r="L183" i="3"/>
  <c r="B183" i="3"/>
  <c r="L182" i="3"/>
  <c r="B182" i="3"/>
  <c r="L181" i="3"/>
  <c r="B181" i="3"/>
  <c r="L180" i="3"/>
  <c r="B180" i="3"/>
  <c r="L179" i="3"/>
  <c r="B179" i="3"/>
  <c r="L178" i="3"/>
  <c r="B178" i="3"/>
  <c r="L177" i="3"/>
  <c r="B177" i="3"/>
  <c r="L176" i="3"/>
  <c r="B176" i="3"/>
  <c r="L175" i="3"/>
  <c r="B175" i="3"/>
  <c r="L174" i="3"/>
  <c r="B174" i="3"/>
  <c r="L173" i="3"/>
  <c r="B173" i="3"/>
  <c r="L172" i="3"/>
  <c r="B172" i="3"/>
  <c r="L171" i="3"/>
  <c r="B171" i="3"/>
  <c r="L170" i="3"/>
  <c r="B170" i="3"/>
  <c r="L169" i="3"/>
  <c r="B169" i="3"/>
  <c r="L168" i="3"/>
  <c r="B168" i="3"/>
  <c r="L167" i="3"/>
  <c r="B167" i="3"/>
  <c r="L166" i="3"/>
  <c r="B166" i="3"/>
  <c r="L165" i="3"/>
  <c r="B165" i="3"/>
  <c r="L164" i="3"/>
  <c r="B164" i="3"/>
  <c r="L163" i="3"/>
  <c r="B163" i="3"/>
  <c r="L162" i="3"/>
  <c r="B162" i="3"/>
  <c r="L161" i="3"/>
  <c r="B161" i="3"/>
  <c r="L160" i="3"/>
  <c r="B160" i="3"/>
  <c r="L159" i="3"/>
  <c r="B159" i="3"/>
  <c r="L158" i="3"/>
  <c r="B158" i="3"/>
  <c r="L157" i="3"/>
  <c r="B157" i="3"/>
  <c r="L156" i="3"/>
  <c r="B156" i="3"/>
  <c r="L155" i="3"/>
  <c r="B155" i="3"/>
  <c r="L154" i="3"/>
  <c r="B154" i="3"/>
  <c r="L153" i="3"/>
  <c r="B153" i="3"/>
  <c r="L152" i="3"/>
  <c r="B152" i="3"/>
  <c r="L151" i="3"/>
  <c r="B151" i="3"/>
  <c r="L150" i="3"/>
  <c r="B150" i="3"/>
  <c r="L149" i="3"/>
  <c r="B149" i="3"/>
  <c r="L148" i="3"/>
  <c r="B148" i="3"/>
  <c r="L147" i="3"/>
  <c r="B147" i="3"/>
  <c r="L146" i="3"/>
  <c r="B146" i="3"/>
  <c r="L145" i="3"/>
  <c r="B145" i="3"/>
  <c r="L144" i="3"/>
  <c r="B144" i="3"/>
  <c r="L143" i="3"/>
  <c r="B143" i="3"/>
  <c r="L142" i="3"/>
  <c r="B142" i="3"/>
  <c r="L141" i="3"/>
  <c r="B141" i="3"/>
  <c r="L140" i="3"/>
  <c r="B140" i="3"/>
  <c r="L139" i="3"/>
  <c r="B139" i="3"/>
  <c r="L138" i="3"/>
  <c r="B138" i="3"/>
  <c r="L137" i="3"/>
  <c r="B137" i="3"/>
  <c r="L136" i="3"/>
  <c r="B136" i="3"/>
  <c r="L135" i="3"/>
  <c r="B135" i="3"/>
  <c r="L134" i="3"/>
  <c r="B134" i="3"/>
  <c r="L133" i="3"/>
  <c r="B133" i="3"/>
  <c r="L131" i="3"/>
  <c r="B131" i="3"/>
  <c r="L130" i="3"/>
  <c r="B130" i="3"/>
  <c r="L129" i="3"/>
  <c r="B129" i="3"/>
  <c r="L128" i="3"/>
  <c r="B128" i="3"/>
  <c r="L127" i="3"/>
  <c r="B127" i="3"/>
  <c r="L126" i="3"/>
  <c r="B126" i="3"/>
  <c r="L125" i="3"/>
  <c r="B125" i="3"/>
  <c r="L124" i="3"/>
  <c r="B124" i="3"/>
  <c r="L123" i="3"/>
  <c r="B123" i="3"/>
  <c r="L122" i="3"/>
  <c r="B122" i="3"/>
  <c r="L121" i="3"/>
  <c r="B121" i="3"/>
  <c r="L120" i="3"/>
  <c r="B120" i="3"/>
  <c r="L119" i="3"/>
  <c r="B119" i="3"/>
  <c r="L118" i="3"/>
  <c r="B118" i="3"/>
  <c r="L117" i="3"/>
  <c r="B117" i="3"/>
  <c r="L116" i="3"/>
  <c r="B116" i="3"/>
  <c r="L115" i="3"/>
  <c r="B115" i="3"/>
  <c r="L114" i="3"/>
  <c r="B114" i="3"/>
  <c r="L113" i="3"/>
  <c r="B113" i="3"/>
  <c r="L112" i="3"/>
  <c r="B112" i="3"/>
  <c r="L111" i="3"/>
  <c r="B111" i="3"/>
  <c r="L110" i="3"/>
  <c r="B110" i="3"/>
  <c r="L109" i="3"/>
  <c r="B109" i="3"/>
  <c r="L108" i="3"/>
  <c r="B108" i="3"/>
  <c r="L107" i="3"/>
  <c r="B107" i="3"/>
  <c r="L106" i="3"/>
  <c r="B106" i="3"/>
  <c r="L105" i="3"/>
  <c r="B105" i="3"/>
  <c r="L104" i="3"/>
  <c r="B104" i="3"/>
  <c r="L103" i="3"/>
  <c r="B103" i="3"/>
  <c r="L102" i="3"/>
  <c r="B102" i="3"/>
  <c r="L101" i="3"/>
  <c r="B101" i="3"/>
  <c r="L100" i="3"/>
  <c r="B100" i="3"/>
  <c r="L99" i="3"/>
  <c r="B99" i="3"/>
  <c r="L98" i="3"/>
  <c r="B98" i="3"/>
  <c r="L97" i="3"/>
  <c r="B97" i="3"/>
  <c r="L96" i="3"/>
  <c r="B96" i="3"/>
  <c r="L95" i="3"/>
  <c r="B95" i="3"/>
  <c r="L94" i="3"/>
  <c r="B94" i="3"/>
  <c r="L93" i="3"/>
  <c r="B93" i="3"/>
  <c r="L92" i="3"/>
  <c r="B92" i="3"/>
  <c r="L91" i="3"/>
  <c r="B91" i="3"/>
  <c r="L90" i="3"/>
  <c r="B90" i="3"/>
  <c r="L89" i="3"/>
  <c r="B89" i="3"/>
  <c r="L88" i="3"/>
  <c r="B88" i="3"/>
  <c r="L87" i="3"/>
  <c r="B87" i="3"/>
  <c r="L86" i="3"/>
  <c r="B86" i="3"/>
  <c r="L85" i="3"/>
  <c r="B85" i="3"/>
  <c r="L84" i="3"/>
  <c r="B84" i="3"/>
  <c r="L83" i="3"/>
  <c r="B83" i="3"/>
  <c r="L82" i="3"/>
  <c r="B82" i="3"/>
  <c r="L81" i="3"/>
  <c r="B81" i="3"/>
  <c r="L80" i="3"/>
  <c r="B80" i="3"/>
  <c r="L79" i="3"/>
  <c r="B79" i="3"/>
  <c r="L78" i="3"/>
  <c r="B78" i="3"/>
  <c r="L77" i="3"/>
  <c r="B77" i="3"/>
  <c r="L76" i="3"/>
  <c r="B76" i="3"/>
  <c r="L75" i="3"/>
  <c r="B75" i="3"/>
  <c r="L74" i="3"/>
  <c r="B74" i="3"/>
  <c r="L73" i="3"/>
  <c r="B73" i="3"/>
  <c r="L72" i="3"/>
  <c r="B72" i="3"/>
  <c r="L71" i="3"/>
  <c r="B71" i="3"/>
  <c r="L70" i="3"/>
  <c r="B70" i="3"/>
  <c r="L69" i="3"/>
  <c r="B69" i="3"/>
  <c r="L68" i="3"/>
  <c r="B68" i="3"/>
  <c r="L67" i="3"/>
  <c r="B67" i="3"/>
  <c r="L66" i="3"/>
  <c r="B66" i="3"/>
  <c r="L65" i="3"/>
  <c r="B65" i="3"/>
  <c r="L64" i="3"/>
  <c r="B64" i="3"/>
  <c r="L63" i="3"/>
  <c r="B63" i="3"/>
  <c r="L62" i="3"/>
  <c r="B62" i="3"/>
  <c r="L61" i="3"/>
  <c r="B61" i="3"/>
  <c r="L60" i="3"/>
  <c r="B60" i="3"/>
  <c r="L59" i="3"/>
  <c r="B59" i="3"/>
  <c r="L58" i="3"/>
  <c r="B58" i="3"/>
  <c r="L57" i="3"/>
  <c r="B57" i="3"/>
  <c r="L56" i="3"/>
  <c r="B56" i="3"/>
  <c r="L55" i="3"/>
  <c r="B55" i="3"/>
  <c r="L54" i="3"/>
  <c r="B54" i="3"/>
  <c r="L53" i="3"/>
  <c r="B53" i="3"/>
  <c r="L52" i="3"/>
  <c r="B52" i="3"/>
  <c r="L51" i="3"/>
  <c r="B51" i="3"/>
  <c r="L50" i="3"/>
  <c r="B50" i="3"/>
  <c r="L49" i="3"/>
  <c r="B49" i="3"/>
  <c r="L48" i="3"/>
  <c r="B48" i="3"/>
  <c r="T47" i="3"/>
  <c r="L47" i="3"/>
  <c r="B47" i="3"/>
  <c r="T46" i="3"/>
  <c r="L46" i="3"/>
  <c r="B46" i="3"/>
  <c r="T45" i="3"/>
  <c r="L45" i="3"/>
  <c r="B45" i="3"/>
  <c r="T44" i="3"/>
  <c r="L44" i="3"/>
  <c r="B44" i="3"/>
  <c r="T43" i="3"/>
  <c r="L43" i="3"/>
  <c r="B43" i="3"/>
  <c r="T42" i="3"/>
  <c r="L42" i="3"/>
  <c r="B42" i="3"/>
  <c r="T41" i="3"/>
  <c r="L41" i="3"/>
  <c r="B41" i="3"/>
  <c r="T40" i="3"/>
  <c r="L40" i="3"/>
  <c r="B40" i="3"/>
  <c r="T39" i="3"/>
  <c r="L39" i="3"/>
  <c r="B39" i="3"/>
  <c r="T38" i="3"/>
  <c r="L38" i="3"/>
  <c r="B38" i="3"/>
  <c r="T37" i="3"/>
  <c r="L37" i="3"/>
  <c r="B37" i="3"/>
  <c r="T36" i="3"/>
  <c r="L36" i="3"/>
  <c r="B36" i="3"/>
  <c r="T35" i="3"/>
  <c r="L35" i="3"/>
  <c r="B35" i="3"/>
  <c r="T34" i="3"/>
  <c r="L34" i="3"/>
  <c r="B34" i="3"/>
  <c r="T33" i="3"/>
  <c r="L33" i="3"/>
  <c r="B33" i="3"/>
  <c r="T32" i="3"/>
  <c r="L32" i="3"/>
  <c r="B32" i="3"/>
  <c r="T31" i="3"/>
  <c r="L31" i="3"/>
  <c r="B31" i="3"/>
  <c r="T30" i="3"/>
  <c r="L30" i="3"/>
  <c r="B30" i="3"/>
  <c r="T29" i="3"/>
  <c r="L29" i="3"/>
  <c r="B29" i="3"/>
  <c r="T28" i="3"/>
  <c r="L28" i="3"/>
  <c r="B28" i="3"/>
  <c r="T27" i="3"/>
  <c r="L27" i="3"/>
  <c r="B27" i="3"/>
  <c r="T26" i="3"/>
  <c r="L26" i="3"/>
  <c r="B26" i="3"/>
  <c r="T25" i="3"/>
  <c r="L25" i="3"/>
  <c r="B25" i="3"/>
  <c r="T24" i="3"/>
  <c r="L24" i="3"/>
  <c r="B24" i="3"/>
  <c r="T23" i="3"/>
  <c r="L23" i="3"/>
  <c r="B23" i="3"/>
  <c r="T22" i="3"/>
  <c r="L22" i="3"/>
  <c r="B22" i="3"/>
  <c r="T21" i="3"/>
  <c r="L21" i="3"/>
  <c r="B21" i="3"/>
  <c r="T20" i="3"/>
  <c r="L20" i="3"/>
  <c r="B20" i="3"/>
  <c r="T19" i="3"/>
  <c r="L19" i="3"/>
  <c r="B19" i="3"/>
  <c r="T18" i="3"/>
  <c r="L18" i="3"/>
  <c r="B18" i="3"/>
  <c r="T17" i="3"/>
  <c r="L17" i="3"/>
  <c r="B17" i="3"/>
  <c r="T16" i="3"/>
  <c r="L16" i="3"/>
  <c r="B16" i="3"/>
  <c r="T15" i="3"/>
  <c r="L15" i="3"/>
  <c r="B15" i="3"/>
  <c r="T14" i="3"/>
  <c r="L14" i="3"/>
  <c r="B14" i="3"/>
  <c r="T13" i="3"/>
  <c r="U10" i="3" s="1"/>
  <c r="L13" i="3"/>
  <c r="B13" i="3"/>
  <c r="T12" i="3"/>
  <c r="L12" i="3"/>
  <c r="B12" i="3"/>
  <c r="L11" i="3"/>
  <c r="B11" i="3"/>
  <c r="L10" i="3"/>
  <c r="B10" i="3"/>
  <c r="L9" i="3"/>
  <c r="B9" i="3"/>
  <c r="D95" i="2" s="1"/>
  <c r="L8" i="3"/>
  <c r="B8" i="3"/>
  <c r="L7" i="3"/>
  <c r="B7" i="3"/>
  <c r="L6" i="3"/>
  <c r="B6" i="3"/>
  <c r="L5" i="3"/>
  <c r="B5" i="3"/>
  <c r="L4" i="3"/>
  <c r="B4" i="3"/>
  <c r="U3" i="3"/>
  <c r="W3" i="3" s="1"/>
  <c r="L3" i="3"/>
  <c r="B3" i="3"/>
  <c r="U2" i="3"/>
  <c r="W2" i="3" s="1"/>
  <c r="L2" i="3"/>
  <c r="B2" i="3"/>
  <c r="AB51" i="4" s="1"/>
  <c r="Z1" i="3"/>
  <c r="U1" i="3"/>
  <c r="D219" i="2"/>
  <c r="B213" i="2"/>
  <c r="D205" i="2"/>
  <c r="D198" i="2"/>
  <c r="C192" i="2"/>
  <c r="B186" i="2"/>
  <c r="D179" i="2"/>
  <c r="C172" i="2"/>
  <c r="B166" i="2"/>
  <c r="D159" i="2"/>
  <c r="C153" i="2"/>
  <c r="C146" i="2"/>
  <c r="D139" i="2"/>
  <c r="C133" i="2"/>
  <c r="B127" i="2"/>
  <c r="B121" i="2"/>
  <c r="D114" i="2"/>
  <c r="C108" i="2"/>
  <c r="C102" i="2"/>
  <c r="C96" i="2"/>
  <c r="C90" i="2"/>
  <c r="C84" i="2"/>
  <c r="C78" i="2"/>
  <c r="B72" i="2"/>
  <c r="D65" i="2"/>
  <c r="D59" i="2"/>
  <c r="D53" i="2"/>
  <c r="D47" i="2"/>
  <c r="D41" i="2"/>
  <c r="B41" i="2"/>
  <c r="D35" i="2"/>
  <c r="C29" i="2"/>
  <c r="B23" i="2"/>
  <c r="B17" i="2"/>
  <c r="B11" i="2"/>
  <c r="B5" i="2"/>
  <c r="H11" i="11" l="1"/>
  <c r="D11" i="11"/>
  <c r="H10" i="11"/>
  <c r="D10" i="11"/>
  <c r="H9" i="11"/>
  <c r="D9" i="11"/>
  <c r="H8" i="11"/>
  <c r="I4" i="11"/>
  <c r="H7" i="11"/>
  <c r="H4" i="11"/>
  <c r="H6" i="11"/>
  <c r="H5" i="11"/>
  <c r="I8" i="11"/>
  <c r="I7" i="11"/>
  <c r="I6" i="11"/>
  <c r="I5" i="11"/>
  <c r="H113" i="11"/>
  <c r="I113" i="11"/>
  <c r="H112" i="11"/>
  <c r="H111" i="11"/>
  <c r="I112" i="11"/>
  <c r="I111" i="11"/>
  <c r="H110" i="11"/>
  <c r="I110" i="11"/>
  <c r="H109" i="11"/>
  <c r="I109" i="11"/>
  <c r="H108" i="11"/>
  <c r="I108" i="11"/>
  <c r="I107" i="11"/>
  <c r="H107" i="11"/>
  <c r="I106" i="11"/>
  <c r="H106" i="11"/>
  <c r="I105" i="11"/>
  <c r="H105" i="11"/>
  <c r="I104" i="11"/>
  <c r="H104" i="11"/>
  <c r="I103" i="11"/>
  <c r="H103" i="11"/>
  <c r="H102" i="11"/>
  <c r="I102" i="11"/>
  <c r="H101" i="11"/>
  <c r="I101" i="11"/>
  <c r="H100" i="11"/>
  <c r="I100" i="11"/>
  <c r="H99" i="11"/>
  <c r="I99" i="11"/>
  <c r="H98" i="11"/>
  <c r="I98" i="11"/>
  <c r="H97" i="11"/>
  <c r="I97" i="11"/>
  <c r="H96" i="11"/>
  <c r="I96" i="11"/>
  <c r="H95" i="11"/>
  <c r="I95" i="11"/>
  <c r="H94" i="11"/>
  <c r="I94" i="11"/>
  <c r="H93" i="11"/>
  <c r="I93" i="11"/>
  <c r="H92" i="11"/>
  <c r="I92" i="11"/>
  <c r="I91" i="11"/>
  <c r="H91" i="11"/>
  <c r="I90" i="11"/>
  <c r="H90" i="11"/>
  <c r="I89" i="11"/>
  <c r="H89" i="11"/>
  <c r="I88" i="11"/>
  <c r="H88" i="11"/>
  <c r="I87" i="11"/>
  <c r="H87" i="11"/>
  <c r="H86" i="11"/>
  <c r="I86" i="11"/>
  <c r="H85" i="11"/>
  <c r="I85" i="11"/>
  <c r="H84" i="11"/>
  <c r="I84" i="11"/>
  <c r="H83" i="11"/>
  <c r="I83" i="11"/>
  <c r="H82" i="11"/>
  <c r="I82" i="11"/>
  <c r="H81" i="11"/>
  <c r="I81" i="11"/>
  <c r="H80" i="11"/>
  <c r="I80" i="11"/>
  <c r="H79" i="11"/>
  <c r="I79" i="11"/>
  <c r="H78" i="11"/>
  <c r="I78" i="11"/>
  <c r="H77" i="11"/>
  <c r="I77" i="11"/>
  <c r="H76" i="11"/>
  <c r="I76" i="11"/>
  <c r="I75" i="11"/>
  <c r="H75" i="11"/>
  <c r="I74" i="11"/>
  <c r="H74" i="11"/>
  <c r="I73" i="11"/>
  <c r="H73" i="11"/>
  <c r="I72" i="11"/>
  <c r="H72" i="11"/>
  <c r="I71" i="11"/>
  <c r="H71" i="11"/>
  <c r="H70" i="11"/>
  <c r="I70" i="11"/>
  <c r="H69" i="11"/>
  <c r="I69" i="11"/>
  <c r="H68" i="11"/>
  <c r="I68" i="11"/>
  <c r="H67" i="11"/>
  <c r="I67" i="11"/>
  <c r="H66" i="11"/>
  <c r="I66" i="11"/>
  <c r="H65" i="11"/>
  <c r="I65" i="11"/>
  <c r="H64" i="11"/>
  <c r="I64" i="11"/>
  <c r="H63" i="11"/>
  <c r="I63" i="11"/>
  <c r="H62" i="11"/>
  <c r="I62" i="11"/>
  <c r="H61" i="11"/>
  <c r="I61" i="11"/>
  <c r="H60" i="11"/>
  <c r="I60" i="11"/>
  <c r="I59" i="11"/>
  <c r="H59" i="11"/>
  <c r="I58" i="11"/>
  <c r="H58" i="11"/>
  <c r="I57" i="11"/>
  <c r="H57" i="11"/>
  <c r="I56" i="11"/>
  <c r="H56" i="11"/>
  <c r="I55" i="11"/>
  <c r="H55" i="11"/>
  <c r="H54" i="11"/>
  <c r="I54" i="11"/>
  <c r="H53" i="11"/>
  <c r="I53" i="11"/>
  <c r="H52" i="11"/>
  <c r="I52" i="11"/>
  <c r="H51" i="11"/>
  <c r="I51" i="11"/>
  <c r="H50" i="11"/>
  <c r="I50" i="11"/>
  <c r="H49" i="11"/>
  <c r="I49" i="11"/>
  <c r="H48" i="11"/>
  <c r="I48" i="11"/>
  <c r="H47" i="11"/>
  <c r="I47" i="11"/>
  <c r="H46" i="11"/>
  <c r="I46" i="11"/>
  <c r="H45" i="11"/>
  <c r="I45" i="11"/>
  <c r="H44" i="11"/>
  <c r="I44" i="11"/>
  <c r="I43" i="11"/>
  <c r="H43" i="11"/>
  <c r="I42" i="11"/>
  <c r="H42" i="11"/>
  <c r="I41" i="11"/>
  <c r="H41" i="11"/>
  <c r="I40" i="11"/>
  <c r="H40" i="11"/>
  <c r="I39" i="11"/>
  <c r="H39" i="11"/>
  <c r="H38" i="11"/>
  <c r="I38" i="11"/>
  <c r="H37" i="11"/>
  <c r="I37" i="11"/>
  <c r="H36" i="11"/>
  <c r="I36" i="11"/>
  <c r="H35" i="11"/>
  <c r="I35" i="11"/>
  <c r="H34" i="11"/>
  <c r="I34" i="11"/>
  <c r="H33" i="11"/>
  <c r="I33" i="11"/>
  <c r="H32" i="11"/>
  <c r="I32" i="11"/>
  <c r="H31" i="11"/>
  <c r="I31" i="11"/>
  <c r="H30" i="11"/>
  <c r="I30" i="11"/>
  <c r="H29" i="11"/>
  <c r="I29" i="11"/>
  <c r="H28" i="11"/>
  <c r="I28" i="11"/>
  <c r="I27" i="11"/>
  <c r="H27" i="11"/>
  <c r="I26" i="11"/>
  <c r="H26" i="11"/>
  <c r="I25" i="11"/>
  <c r="H25" i="11"/>
  <c r="I24" i="11"/>
  <c r="H24" i="11"/>
  <c r="I23" i="11"/>
  <c r="H23" i="11"/>
  <c r="H22" i="11"/>
  <c r="I22" i="11"/>
  <c r="H21" i="11"/>
  <c r="I21" i="11"/>
  <c r="H20" i="11"/>
  <c r="I20" i="11"/>
  <c r="H19" i="11"/>
  <c r="I19" i="11"/>
  <c r="H18" i="11"/>
  <c r="I18" i="11"/>
  <c r="H17" i="11"/>
  <c r="I17" i="11"/>
  <c r="H16" i="11"/>
  <c r="I16" i="11"/>
  <c r="H15" i="11"/>
  <c r="I15" i="11"/>
  <c r="H14" i="11"/>
  <c r="I14" i="11"/>
  <c r="H13" i="11"/>
  <c r="I13" i="11"/>
  <c r="H12" i="11"/>
  <c r="I12" i="11"/>
  <c r="I11" i="11"/>
  <c r="I10" i="11"/>
  <c r="I9" i="11"/>
  <c r="B14" i="8"/>
  <c r="C50" i="8"/>
  <c r="D6" i="8"/>
  <c r="H6" i="8" s="1"/>
  <c r="B31" i="8"/>
  <c r="D33" i="8"/>
  <c r="F35" i="8"/>
  <c r="C40" i="8"/>
  <c r="H40" i="8" s="1"/>
  <c r="E42" i="8"/>
  <c r="G44" i="8"/>
  <c r="B47" i="8"/>
  <c r="D49" i="8"/>
  <c r="F51" i="8"/>
  <c r="L59" i="8"/>
  <c r="D61" i="8"/>
  <c r="H62" i="8"/>
  <c r="L63" i="8"/>
  <c r="D65" i="8"/>
  <c r="H66" i="8"/>
  <c r="L67" i="8"/>
  <c r="D69" i="8"/>
  <c r="H70" i="8"/>
  <c r="L71" i="8"/>
  <c r="D73" i="8"/>
  <c r="H74" i="8"/>
  <c r="L75" i="8"/>
  <c r="D77" i="8"/>
  <c r="H78" i="8"/>
  <c r="L79" i="8"/>
  <c r="D81" i="8"/>
  <c r="M81" i="8" s="1"/>
  <c r="H82" i="8"/>
  <c r="L83" i="8"/>
  <c r="D87" i="8"/>
  <c r="E90" i="8"/>
  <c r="B97" i="8"/>
  <c r="C100" i="8"/>
  <c r="F100" i="8" s="1"/>
  <c r="D103" i="8"/>
  <c r="E106" i="8"/>
  <c r="B41" i="8"/>
  <c r="D5" i="8"/>
  <c r="C13" i="8"/>
  <c r="H13" i="8" s="1"/>
  <c r="B20" i="8"/>
  <c r="E24" i="8"/>
  <c r="E4" i="8"/>
  <c r="G8" i="8"/>
  <c r="B11" i="8"/>
  <c r="C20" i="8"/>
  <c r="D22" i="8"/>
  <c r="F24" i="8"/>
  <c r="C31" i="8"/>
  <c r="E33" i="8"/>
  <c r="G35" i="8"/>
  <c r="B38" i="8"/>
  <c r="D40" i="8"/>
  <c r="F42" i="8"/>
  <c r="C47" i="8"/>
  <c r="E49" i="8"/>
  <c r="G51" i="8"/>
  <c r="B54" i="8"/>
  <c r="E61" i="8"/>
  <c r="I62" i="8"/>
  <c r="E65" i="8"/>
  <c r="I66" i="8"/>
  <c r="E69" i="8"/>
  <c r="I70" i="8"/>
  <c r="E73" i="8"/>
  <c r="I74" i="8"/>
  <c r="E77" i="8"/>
  <c r="I78" i="8"/>
  <c r="E81" i="8"/>
  <c r="I82" i="8"/>
  <c r="E87" i="8"/>
  <c r="B94" i="8"/>
  <c r="C97" i="8"/>
  <c r="D100" i="8"/>
  <c r="E103" i="8"/>
  <c r="B110" i="8"/>
  <c r="G20" i="8"/>
  <c r="D25" i="8"/>
  <c r="G54" i="8"/>
  <c r="D4" i="8"/>
  <c r="E15" i="8"/>
  <c r="C22" i="8"/>
  <c r="H22" i="8" s="1"/>
  <c r="F15" i="8"/>
  <c r="F6" i="8"/>
  <c r="C11" i="8"/>
  <c r="E13" i="8"/>
  <c r="G15" i="8"/>
  <c r="B18" i="8"/>
  <c r="D20" i="8"/>
  <c r="E22" i="8"/>
  <c r="G24" i="8"/>
  <c r="B27" i="8"/>
  <c r="D31" i="8"/>
  <c r="F33" i="8"/>
  <c r="C38" i="8"/>
  <c r="E40" i="8"/>
  <c r="G42" i="8"/>
  <c r="B45" i="8"/>
  <c r="D47" i="8"/>
  <c r="F49" i="8"/>
  <c r="C54" i="8"/>
  <c r="B60" i="8"/>
  <c r="F61" i="8"/>
  <c r="J62" i="8"/>
  <c r="B64" i="8"/>
  <c r="F65" i="8"/>
  <c r="J66" i="8"/>
  <c r="B68" i="8"/>
  <c r="F69" i="8"/>
  <c r="J70" i="8"/>
  <c r="B72" i="8"/>
  <c r="F73" i="8"/>
  <c r="J74" i="8"/>
  <c r="B76" i="8"/>
  <c r="F77" i="8"/>
  <c r="J78" i="8"/>
  <c r="B80" i="8"/>
  <c r="M80" i="8" s="1"/>
  <c r="F81" i="8"/>
  <c r="J82" i="8"/>
  <c r="B91" i="8"/>
  <c r="C94" i="8"/>
  <c r="D97" i="8"/>
  <c r="E100" i="8"/>
  <c r="B107" i="8"/>
  <c r="C110" i="8"/>
  <c r="E9" i="8"/>
  <c r="D43" i="8"/>
  <c r="D3" i="8"/>
  <c r="G17" i="8"/>
  <c r="G26" i="8"/>
  <c r="E6" i="8"/>
  <c r="D13" i="8"/>
  <c r="F4" i="8"/>
  <c r="G4" i="8"/>
  <c r="G6" i="8"/>
  <c r="B9" i="8"/>
  <c r="D11" i="8"/>
  <c r="F13" i="8"/>
  <c r="C18" i="8"/>
  <c r="E20" i="8"/>
  <c r="F22" i="8"/>
  <c r="C27" i="8"/>
  <c r="E31" i="8"/>
  <c r="G33" i="8"/>
  <c r="B36" i="8"/>
  <c r="D38" i="8"/>
  <c r="F40" i="8"/>
  <c r="C45" i="8"/>
  <c r="E47" i="8"/>
  <c r="G49" i="8"/>
  <c r="B52" i="8"/>
  <c r="D54" i="8"/>
  <c r="C60" i="8"/>
  <c r="G61" i="8"/>
  <c r="K62" i="8"/>
  <c r="C64" i="8"/>
  <c r="G65" i="8"/>
  <c r="K66" i="8"/>
  <c r="C68" i="8"/>
  <c r="G69" i="8"/>
  <c r="K70" i="8"/>
  <c r="C72" i="8"/>
  <c r="G73" i="8"/>
  <c r="K74" i="8"/>
  <c r="C76" i="8"/>
  <c r="G77" i="8"/>
  <c r="K78" i="8"/>
  <c r="C80" i="8"/>
  <c r="G81" i="8"/>
  <c r="K82" i="8"/>
  <c r="B88" i="8"/>
  <c r="C91" i="8"/>
  <c r="D94" i="8"/>
  <c r="E97" i="8"/>
  <c r="B104" i="8"/>
  <c r="C107" i="8"/>
  <c r="D110" i="8"/>
  <c r="B16" i="8"/>
  <c r="D18" i="8"/>
  <c r="G22" i="8"/>
  <c r="B25" i="8"/>
  <c r="H25" i="8" s="1"/>
  <c r="D27" i="8"/>
  <c r="F31" i="8"/>
  <c r="C36" i="8"/>
  <c r="E38" i="8"/>
  <c r="G40" i="8"/>
  <c r="B43" i="8"/>
  <c r="D45" i="8"/>
  <c r="F47" i="8"/>
  <c r="C52" i="8"/>
  <c r="E54" i="8"/>
  <c r="D60" i="8"/>
  <c r="H61" i="8"/>
  <c r="L62" i="8"/>
  <c r="D64" i="8"/>
  <c r="H65" i="8"/>
  <c r="L66" i="8"/>
  <c r="D68" i="8"/>
  <c r="H69" i="8"/>
  <c r="L70" i="8"/>
  <c r="D72" i="8"/>
  <c r="H73" i="8"/>
  <c r="L74" i="8"/>
  <c r="D76" i="8"/>
  <c r="H77" i="8"/>
  <c r="L78" i="8"/>
  <c r="D80" i="8"/>
  <c r="H81" i="8"/>
  <c r="L82" i="8"/>
  <c r="C88" i="8"/>
  <c r="D91" i="8"/>
  <c r="E94" i="8"/>
  <c r="B101" i="8"/>
  <c r="F101" i="8" s="1"/>
  <c r="C104" i="8"/>
  <c r="D107" i="8"/>
  <c r="E110" i="8"/>
  <c r="C25" i="8"/>
  <c r="E27" i="8"/>
  <c r="G31" i="8"/>
  <c r="B34" i="8"/>
  <c r="D36" i="8"/>
  <c r="F38" i="8"/>
  <c r="C43" i="8"/>
  <c r="E45" i="8"/>
  <c r="G47" i="8"/>
  <c r="B50" i="8"/>
  <c r="H50" i="8" s="1"/>
  <c r="D52" i="8"/>
  <c r="F54" i="8"/>
  <c r="E60" i="8"/>
  <c r="I61" i="8"/>
  <c r="E64" i="8"/>
  <c r="I65" i="8"/>
  <c r="E68" i="8"/>
  <c r="I69" i="8"/>
  <c r="E72" i="8"/>
  <c r="I73" i="8"/>
  <c r="E76" i="8"/>
  <c r="I77" i="8"/>
  <c r="E80" i="8"/>
  <c r="I81" i="8"/>
  <c r="D88" i="8"/>
  <c r="E91" i="8"/>
  <c r="B98" i="8"/>
  <c r="C101" i="8"/>
  <c r="D104" i="8"/>
  <c r="E107" i="8"/>
  <c r="B7" i="8"/>
  <c r="G11" i="8"/>
  <c r="B63" i="8"/>
  <c r="B79" i="8"/>
  <c r="F80" i="8"/>
  <c r="J81" i="8"/>
  <c r="E88" i="8"/>
  <c r="B95" i="8"/>
  <c r="C98" i="8"/>
  <c r="D101" i="8"/>
  <c r="E104" i="8"/>
  <c r="B111" i="8"/>
  <c r="B59" i="8"/>
  <c r="B75" i="8"/>
  <c r="F76" i="8"/>
  <c r="C3" i="8"/>
  <c r="H28" i="8" s="1"/>
  <c r="C5" i="8"/>
  <c r="D7" i="8"/>
  <c r="F9" i="8"/>
  <c r="C14" i="8"/>
  <c r="E16" i="8"/>
  <c r="G18" i="8"/>
  <c r="B21" i="8"/>
  <c r="C23" i="8"/>
  <c r="E25" i="8"/>
  <c r="G27" i="8"/>
  <c r="B32" i="8"/>
  <c r="D34" i="8"/>
  <c r="F36" i="8"/>
  <c r="C41" i="8"/>
  <c r="E43" i="8"/>
  <c r="G45" i="8"/>
  <c r="B48" i="8"/>
  <c r="D50" i="8"/>
  <c r="F52" i="8"/>
  <c r="C59" i="8"/>
  <c r="G60" i="8"/>
  <c r="K61" i="8"/>
  <c r="C63" i="8"/>
  <c r="G64" i="8"/>
  <c r="K65" i="8"/>
  <c r="C67" i="8"/>
  <c r="G68" i="8"/>
  <c r="K69" i="8"/>
  <c r="C71" i="8"/>
  <c r="M71" i="8" s="1"/>
  <c r="G72" i="8"/>
  <c r="K73" i="8"/>
  <c r="C75" i="8"/>
  <c r="G76" i="8"/>
  <c r="K77" i="8"/>
  <c r="C79" i="8"/>
  <c r="G80" i="8"/>
  <c r="K81" i="8"/>
  <c r="C83" i="8"/>
  <c r="M83" i="8" s="1"/>
  <c r="B92" i="8"/>
  <c r="C95" i="8"/>
  <c r="D98" i="8"/>
  <c r="E101" i="8"/>
  <c r="B108" i="8"/>
  <c r="C111" i="8"/>
  <c r="B5" i="8"/>
  <c r="B67" i="8"/>
  <c r="C32" i="8"/>
  <c r="G52" i="8"/>
  <c r="B55" i="8"/>
  <c r="D59" i="8"/>
  <c r="H60" i="8"/>
  <c r="L61" i="8"/>
  <c r="D63" i="8"/>
  <c r="H64" i="8"/>
  <c r="L65" i="8"/>
  <c r="D67" i="8"/>
  <c r="H68" i="8"/>
  <c r="L69" i="8"/>
  <c r="D71" i="8"/>
  <c r="H72" i="8"/>
  <c r="L73" i="8"/>
  <c r="D75" i="8"/>
  <c r="H76" i="8"/>
  <c r="L77" i="8"/>
  <c r="D79" i="8"/>
  <c r="H80" i="8"/>
  <c r="L81" i="8"/>
  <c r="D83" i="8"/>
  <c r="B89" i="8"/>
  <c r="C92" i="8"/>
  <c r="D95" i="8"/>
  <c r="E98" i="8"/>
  <c r="B105" i="8"/>
  <c r="C108" i="8"/>
  <c r="D111" i="8"/>
  <c r="E34" i="8"/>
  <c r="D41" i="8"/>
  <c r="E5" i="8"/>
  <c r="E14" i="8"/>
  <c r="B19" i="8"/>
  <c r="E23" i="8"/>
  <c r="G25" i="8"/>
  <c r="C39" i="8"/>
  <c r="E41" i="8"/>
  <c r="G43" i="8"/>
  <c r="B46" i="8"/>
  <c r="D48" i="8"/>
  <c r="F50" i="8"/>
  <c r="C55" i="8"/>
  <c r="E59" i="8"/>
  <c r="I60" i="8"/>
  <c r="E63" i="8"/>
  <c r="I64" i="8"/>
  <c r="E67" i="8"/>
  <c r="I68" i="8"/>
  <c r="E71" i="8"/>
  <c r="I72" i="8"/>
  <c r="E75" i="8"/>
  <c r="I76" i="8"/>
  <c r="E79" i="8"/>
  <c r="I80" i="8"/>
  <c r="E83" i="8"/>
  <c r="C89" i="8"/>
  <c r="D92" i="8"/>
  <c r="E95" i="8"/>
  <c r="B102" i="8"/>
  <c r="C105" i="8"/>
  <c r="D108" i="8"/>
  <c r="E111" i="8"/>
  <c r="F43" i="8"/>
  <c r="E3" i="8"/>
  <c r="F14" i="8"/>
  <c r="E32" i="8"/>
  <c r="G34" i="8"/>
  <c r="B37" i="8"/>
  <c r="D39" i="8"/>
  <c r="F41" i="8"/>
  <c r="C46" i="8"/>
  <c r="E48" i="8"/>
  <c r="G50" i="8"/>
  <c r="B53" i="8"/>
  <c r="D55" i="8"/>
  <c r="F59" i="8"/>
  <c r="J60" i="8"/>
  <c r="B62" i="8"/>
  <c r="F63" i="8"/>
  <c r="J64" i="8"/>
  <c r="B66" i="8"/>
  <c r="F67" i="8"/>
  <c r="J68" i="8"/>
  <c r="B70" i="8"/>
  <c r="F71" i="8"/>
  <c r="J72" i="8"/>
  <c r="B74" i="8"/>
  <c r="F75" i="8"/>
  <c r="J76" i="8"/>
  <c r="B78" i="8"/>
  <c r="F79" i="8"/>
  <c r="J80" i="8"/>
  <c r="B82" i="8"/>
  <c r="F83" i="8"/>
  <c r="D89" i="8"/>
  <c r="E92" i="8"/>
  <c r="B99" i="8"/>
  <c r="C102" i="8"/>
  <c r="D105" i="8"/>
  <c r="E108" i="8"/>
  <c r="D16" i="8"/>
  <c r="E52" i="8"/>
  <c r="B12" i="8"/>
  <c r="B39" i="8"/>
  <c r="F3" i="8"/>
  <c r="D12" i="8"/>
  <c r="C19" i="8"/>
  <c r="G5" i="8"/>
  <c r="G14" i="8"/>
  <c r="D19" i="8"/>
  <c r="F21" i="8"/>
  <c r="G23" i="8"/>
  <c r="B26" i="8"/>
  <c r="F32" i="8"/>
  <c r="C37" i="8"/>
  <c r="E39" i="8"/>
  <c r="G41" i="8"/>
  <c r="B44" i="8"/>
  <c r="D46" i="8"/>
  <c r="F48" i="8"/>
  <c r="C53" i="8"/>
  <c r="E55" i="8"/>
  <c r="G59" i="8"/>
  <c r="K60" i="8"/>
  <c r="C62" i="8"/>
  <c r="G63" i="8"/>
  <c r="K64" i="8"/>
  <c r="C66" i="8"/>
  <c r="G67" i="8"/>
  <c r="K68" i="8"/>
  <c r="C70" i="8"/>
  <c r="G71" i="8"/>
  <c r="K72" i="8"/>
  <c r="C74" i="8"/>
  <c r="G75" i="8"/>
  <c r="K76" i="8"/>
  <c r="C78" i="8"/>
  <c r="G79" i="8"/>
  <c r="K80" i="8"/>
  <c r="C82" i="8"/>
  <c r="G83" i="8"/>
  <c r="E89" i="8"/>
  <c r="B96" i="8"/>
  <c r="C99" i="8"/>
  <c r="D102" i="8"/>
  <c r="E105" i="8"/>
  <c r="G9" i="8"/>
  <c r="D23" i="8"/>
  <c r="G36" i="8"/>
  <c r="F5" i="8"/>
  <c r="G7" i="8"/>
  <c r="B10" i="8"/>
  <c r="F12" i="8"/>
  <c r="E19" i="8"/>
  <c r="G21" i="8"/>
  <c r="C26" i="8"/>
  <c r="G32" i="8"/>
  <c r="B35" i="8"/>
  <c r="D37" i="8"/>
  <c r="E46" i="8"/>
  <c r="F55" i="8"/>
  <c r="H59" i="8"/>
  <c r="L60" i="8"/>
  <c r="D62" i="8"/>
  <c r="H63" i="8"/>
  <c r="L64" i="8"/>
  <c r="D66" i="8"/>
  <c r="H67" i="8"/>
  <c r="L68" i="8"/>
  <c r="D70" i="8"/>
  <c r="H71" i="8"/>
  <c r="L72" i="8"/>
  <c r="D74" i="8"/>
  <c r="H75" i="8"/>
  <c r="L76" i="8"/>
  <c r="D78" i="8"/>
  <c r="H79" i="8"/>
  <c r="H83" i="8"/>
  <c r="B93" i="8"/>
  <c r="C96" i="8"/>
  <c r="D99" i="8"/>
  <c r="E102" i="8"/>
  <c r="B109" i="8"/>
  <c r="E18" i="8"/>
  <c r="B23" i="8"/>
  <c r="F45" i="8"/>
  <c r="E7" i="8"/>
  <c r="C48" i="8"/>
  <c r="D21" i="8"/>
  <c r="G3" i="8"/>
  <c r="C10" i="8"/>
  <c r="E12" i="8"/>
  <c r="B17" i="8"/>
  <c r="B8" i="8"/>
  <c r="D10" i="8"/>
  <c r="C17" i="8"/>
  <c r="F39" i="8"/>
  <c r="C44" i="8"/>
  <c r="G48" i="8"/>
  <c r="B51" i="8"/>
  <c r="D53" i="8"/>
  <c r="C8" i="8"/>
  <c r="E10" i="8"/>
  <c r="G12" i="8"/>
  <c r="B15" i="8"/>
  <c r="H15" i="8" s="1"/>
  <c r="D17" i="8"/>
  <c r="F19" i="8"/>
  <c r="B24" i="8"/>
  <c r="H24" i="8" s="1"/>
  <c r="D26" i="8"/>
  <c r="C35" i="8"/>
  <c r="E37" i="8"/>
  <c r="G39" i="8"/>
  <c r="B42" i="8"/>
  <c r="D44" i="8"/>
  <c r="F46" i="8"/>
  <c r="C51" i="8"/>
  <c r="E53" i="8"/>
  <c r="G55" i="8"/>
  <c r="I59" i="8"/>
  <c r="E62" i="8"/>
  <c r="I63" i="8"/>
  <c r="E66" i="8"/>
  <c r="I67" i="8"/>
  <c r="E70" i="8"/>
  <c r="I71" i="8"/>
  <c r="E74" i="8"/>
  <c r="I75" i="8"/>
  <c r="E78" i="8"/>
  <c r="I79" i="8"/>
  <c r="I83" i="8"/>
  <c r="B90" i="8"/>
  <c r="C93" i="8"/>
  <c r="D96" i="8"/>
  <c r="E99" i="8"/>
  <c r="B106" i="8"/>
  <c r="C109" i="8"/>
  <c r="D14" i="8"/>
  <c r="B4" i="8"/>
  <c r="D8" i="8"/>
  <c r="F10" i="8"/>
  <c r="C15" i="8"/>
  <c r="E17" i="8"/>
  <c r="C24" i="8"/>
  <c r="B33" i="8"/>
  <c r="D35" i="8"/>
  <c r="F37" i="8"/>
  <c r="C42" i="8"/>
  <c r="E44" i="8"/>
  <c r="G46" i="8"/>
  <c r="B49" i="8"/>
  <c r="H49" i="8" s="1"/>
  <c r="D51" i="8"/>
  <c r="F53" i="8"/>
  <c r="J59" i="8"/>
  <c r="B61" i="8"/>
  <c r="M61" i="8" s="1"/>
  <c r="F62" i="8"/>
  <c r="J63" i="8"/>
  <c r="B65" i="8"/>
  <c r="F66" i="8"/>
  <c r="J67" i="8"/>
  <c r="B69" i="8"/>
  <c r="F70" i="8"/>
  <c r="J71" i="8"/>
  <c r="B73" i="8"/>
  <c r="F74" i="8"/>
  <c r="J75" i="8"/>
  <c r="B77" i="8"/>
  <c r="F78" i="8"/>
  <c r="J79" i="8"/>
  <c r="B87" i="8"/>
  <c r="C90" i="8"/>
  <c r="D93" i="8"/>
  <c r="E96" i="8"/>
  <c r="B103" i="8"/>
  <c r="F103" i="8" s="1"/>
  <c r="C106" i="8"/>
  <c r="D109" i="8"/>
  <c r="C12" i="8"/>
  <c r="C4" i="8"/>
  <c r="D15" i="8"/>
  <c r="F17" i="8"/>
  <c r="C33" i="8"/>
  <c r="G37" i="8"/>
  <c r="K59" i="8"/>
  <c r="C61" i="8"/>
  <c r="G62" i="8"/>
  <c r="K63" i="8"/>
  <c r="C65" i="8"/>
  <c r="G66" i="8"/>
  <c r="K67" i="8"/>
  <c r="C69" i="8"/>
  <c r="G70" i="8"/>
  <c r="K71" i="8"/>
  <c r="C73" i="8"/>
  <c r="G74" i="8"/>
  <c r="K75" i="8"/>
  <c r="C77" i="8"/>
  <c r="G78" i="8"/>
  <c r="K79" i="8"/>
  <c r="C87" i="8"/>
  <c r="D90" i="8"/>
  <c r="E93" i="8"/>
  <c r="R37" i="4"/>
  <c r="Q37" i="4"/>
  <c r="B60" i="2"/>
  <c r="B115" i="2"/>
  <c r="B160" i="2"/>
  <c r="C213" i="2"/>
  <c r="AP11" i="4"/>
  <c r="AQ19" i="4"/>
  <c r="AB22" i="4"/>
  <c r="R26" i="4"/>
  <c r="AB41" i="4"/>
  <c r="AP46" i="4"/>
  <c r="AQ53" i="4"/>
  <c r="AA90" i="4"/>
  <c r="D5" i="2"/>
  <c r="D11" i="2"/>
  <c r="D17" i="2"/>
  <c r="B24" i="2"/>
  <c r="C30" i="2"/>
  <c r="C36" i="2"/>
  <c r="C42" i="2"/>
  <c r="C48" i="2"/>
  <c r="C54" i="2"/>
  <c r="C60" i="2"/>
  <c r="D66" i="2"/>
  <c r="B73" i="2"/>
  <c r="B79" i="2"/>
  <c r="B85" i="2"/>
  <c r="B91" i="2"/>
  <c r="B97" i="2"/>
  <c r="B103" i="2"/>
  <c r="C109" i="2"/>
  <c r="D115" i="2"/>
  <c r="D121" i="2"/>
  <c r="D127" i="2"/>
  <c r="B134" i="2"/>
  <c r="C140" i="2"/>
  <c r="D147" i="2"/>
  <c r="B154" i="2"/>
  <c r="C160" i="2"/>
  <c r="D166" i="2"/>
  <c r="C173" i="2"/>
  <c r="C180" i="2"/>
  <c r="D186" i="2"/>
  <c r="B193" i="2"/>
  <c r="D199" i="2"/>
  <c r="B207" i="2"/>
  <c r="D213" i="2"/>
  <c r="D220" i="2"/>
  <c r="AP3" i="4"/>
  <c r="AA6" i="4"/>
  <c r="AQ11" i="4"/>
  <c r="AA14" i="4"/>
  <c r="AB29" i="4"/>
  <c r="AB54" i="4"/>
  <c r="AA68" i="4"/>
  <c r="J115" i="4"/>
  <c r="D29" i="2"/>
  <c r="D96" i="2"/>
  <c r="B140" i="2"/>
  <c r="C166" i="2"/>
  <c r="C18" i="2"/>
  <c r="D42" i="2"/>
  <c r="C73" i="2"/>
  <c r="D103" i="2"/>
  <c r="D109" i="2"/>
  <c r="B116" i="2"/>
  <c r="B122" i="2"/>
  <c r="B128" i="2"/>
  <c r="C134" i="2"/>
  <c r="B141" i="2"/>
  <c r="B148" i="2"/>
  <c r="C154" i="2"/>
  <c r="D160" i="2"/>
  <c r="B167" i="2"/>
  <c r="C174" i="2"/>
  <c r="D180" i="2"/>
  <c r="B187" i="2"/>
  <c r="C193" i="2"/>
  <c r="B200" i="2"/>
  <c r="C207" i="2"/>
  <c r="B214" i="2"/>
  <c r="B221" i="2"/>
  <c r="AQ3" i="4"/>
  <c r="J12" i="4"/>
  <c r="I18" i="4"/>
  <c r="AA20" i="4"/>
  <c r="AP22" i="4"/>
  <c r="Q34" i="4"/>
  <c r="I38" i="4"/>
  <c r="J42" i="4"/>
  <c r="B36" i="2"/>
  <c r="J7" i="4"/>
  <c r="I10" i="4"/>
  <c r="Q15" i="4"/>
  <c r="J18" i="4"/>
  <c r="AP26" i="4"/>
  <c r="AB30" i="4"/>
  <c r="R34" i="4"/>
  <c r="I55" i="4"/>
  <c r="AA84" i="4"/>
  <c r="C5" i="2"/>
  <c r="C66" i="2"/>
  <c r="C121" i="2"/>
  <c r="D192" i="2"/>
  <c r="D30" i="2"/>
  <c r="C97" i="2"/>
  <c r="C12" i="2"/>
  <c r="B49" i="2"/>
  <c r="C61" i="2"/>
  <c r="D79" i="2"/>
  <c r="D91" i="2"/>
  <c r="C110" i="2"/>
  <c r="C128" i="2"/>
  <c r="C141" i="2"/>
  <c r="B161" i="2"/>
  <c r="B181" i="2"/>
  <c r="B201" i="2"/>
  <c r="C214" i="2"/>
  <c r="D6" i="2"/>
  <c r="B13" i="2"/>
  <c r="B19" i="2"/>
  <c r="C25" i="2"/>
  <c r="C31" i="2"/>
  <c r="C37" i="2"/>
  <c r="C43" i="2"/>
  <c r="C49" i="2"/>
  <c r="D55" i="2"/>
  <c r="D61" i="2"/>
  <c r="B68" i="2"/>
  <c r="B74" i="2"/>
  <c r="B80" i="2"/>
  <c r="B86" i="2"/>
  <c r="B92" i="2"/>
  <c r="C98" i="2"/>
  <c r="C104" i="2"/>
  <c r="D110" i="2"/>
  <c r="D116" i="2"/>
  <c r="D122" i="2"/>
  <c r="D128" i="2"/>
  <c r="B135" i="2"/>
  <c r="C142" i="2"/>
  <c r="D148" i="2"/>
  <c r="B155" i="2"/>
  <c r="C161" i="2"/>
  <c r="B168" i="2"/>
  <c r="B175" i="2"/>
  <c r="C181" i="2"/>
  <c r="D187" i="2"/>
  <c r="C194" i="2"/>
  <c r="C201" i="2"/>
  <c r="B208" i="2"/>
  <c r="B215" i="2"/>
  <c r="D221" i="2"/>
  <c r="AA4" i="4"/>
  <c r="Q7" i="4"/>
  <c r="J10" i="4"/>
  <c r="AA12" i="4"/>
  <c r="R15" i="4"/>
  <c r="AB20" i="4"/>
  <c r="AQ26" i="4"/>
  <c r="AA22" i="4"/>
  <c r="B54" i="2"/>
  <c r="C127" i="2"/>
  <c r="B199" i="2"/>
  <c r="C24" i="2"/>
  <c r="C85" i="2"/>
  <c r="C6" i="2"/>
  <c r="B31" i="2"/>
  <c r="D67" i="2"/>
  <c r="D85" i="2"/>
  <c r="B104" i="2"/>
  <c r="C116" i="2"/>
  <c r="D134" i="2"/>
  <c r="D154" i="2"/>
  <c r="D174" i="2"/>
  <c r="C187" i="2"/>
  <c r="D207" i="2"/>
  <c r="C13" i="2"/>
  <c r="D31" i="2"/>
  <c r="D43" i="2"/>
  <c r="B56" i="2"/>
  <c r="C62" i="2"/>
  <c r="C68" i="2"/>
  <c r="C74" i="2"/>
  <c r="C86" i="2"/>
  <c r="C92" i="2"/>
  <c r="D98" i="2"/>
  <c r="B105" i="2"/>
  <c r="B111" i="2"/>
  <c r="B117" i="2"/>
  <c r="B123" i="2"/>
  <c r="B129" i="2"/>
  <c r="D135" i="2"/>
  <c r="D142" i="2"/>
  <c r="B149" i="2"/>
  <c r="C155" i="2"/>
  <c r="D161" i="2"/>
  <c r="B169" i="2"/>
  <c r="C175" i="2"/>
  <c r="D181" i="2"/>
  <c r="B188" i="2"/>
  <c r="D194" i="2"/>
  <c r="D201" i="2"/>
  <c r="C208" i="2"/>
  <c r="C215" i="2"/>
  <c r="C222" i="2"/>
  <c r="R7" i="4"/>
  <c r="AB15" i="4"/>
  <c r="AA15" i="4"/>
  <c r="AA18" i="4"/>
  <c r="J27" i="4"/>
  <c r="Q31" i="4"/>
  <c r="AB38" i="4"/>
  <c r="AA25" i="4"/>
  <c r="D23" i="2"/>
  <c r="D102" i="2"/>
  <c r="B12" i="2"/>
  <c r="C79" i="2"/>
  <c r="D18" i="2"/>
  <c r="B55" i="2"/>
  <c r="D73" i="2"/>
  <c r="D97" i="2"/>
  <c r="C122" i="2"/>
  <c r="C148" i="2"/>
  <c r="D167" i="2"/>
  <c r="D193" i="2"/>
  <c r="C221" i="2"/>
  <c r="B7" i="2"/>
  <c r="D19" i="2"/>
  <c r="D25" i="2"/>
  <c r="D37" i="2"/>
  <c r="D49" i="2"/>
  <c r="C80" i="2"/>
  <c r="D7" i="2"/>
  <c r="D13" i="2"/>
  <c r="B20" i="2"/>
  <c r="B26" i="2"/>
  <c r="B32" i="2"/>
  <c r="B38" i="2"/>
  <c r="B44" i="2"/>
  <c r="C50" i="2"/>
  <c r="C56" i="2"/>
  <c r="D62" i="2"/>
  <c r="D68" i="2"/>
  <c r="D74" i="2"/>
  <c r="D80" i="2"/>
  <c r="D86" i="2"/>
  <c r="B93" i="2"/>
  <c r="B99" i="2"/>
  <c r="C105" i="2"/>
  <c r="C111" i="2"/>
  <c r="C117" i="2"/>
  <c r="C123" i="2"/>
  <c r="C129" i="2"/>
  <c r="B136" i="2"/>
  <c r="B143" i="2"/>
  <c r="C149" i="2"/>
  <c r="D155" i="2"/>
  <c r="C162" i="2"/>
  <c r="C169" i="2"/>
  <c r="D175" i="2"/>
  <c r="B182" i="2"/>
  <c r="C188" i="2"/>
  <c r="D195" i="2"/>
  <c r="B202" i="2"/>
  <c r="D208" i="2"/>
  <c r="D215" i="2"/>
  <c r="D222" i="2"/>
  <c r="AB4" i="4"/>
  <c r="AB7" i="4"/>
  <c r="AA7" i="4"/>
  <c r="AB10" i="4"/>
  <c r="AB12" i="4"/>
  <c r="J21" i="4"/>
  <c r="R31" i="4"/>
  <c r="AQ34" i="4"/>
  <c r="AQ38" i="4"/>
  <c r="B48" i="2"/>
  <c r="B109" i="2"/>
  <c r="B180" i="2"/>
  <c r="D54" i="2"/>
  <c r="B43" i="2"/>
  <c r="C26" i="2"/>
  <c r="C44" i="2"/>
  <c r="C93" i="2"/>
  <c r="AA49" i="4"/>
  <c r="AB64" i="4"/>
  <c r="AA64" i="4"/>
  <c r="AB102" i="4"/>
  <c r="AA102" i="4"/>
  <c r="AB168" i="4"/>
  <c r="B42" i="2"/>
  <c r="D84" i="2"/>
  <c r="D146" i="2"/>
  <c r="C220" i="2"/>
  <c r="D48" i="2"/>
  <c r="B25" i="2"/>
  <c r="C20" i="2"/>
  <c r="C38" i="2"/>
  <c r="B57" i="2"/>
  <c r="B69" i="2"/>
  <c r="B81" i="2"/>
  <c r="D99" i="2"/>
  <c r="D111" i="2"/>
  <c r="D123" i="2"/>
  <c r="B137" i="2"/>
  <c r="D149" i="2"/>
  <c r="D162" i="2"/>
  <c r="B176" i="2"/>
  <c r="B189" i="2"/>
  <c r="B209" i="2"/>
  <c r="C2" i="2"/>
  <c r="C8" i="2"/>
  <c r="D14" i="2"/>
  <c r="D20" i="2"/>
  <c r="D26" i="2"/>
  <c r="D32" i="2"/>
  <c r="D38" i="2"/>
  <c r="B45" i="2"/>
  <c r="B51" i="2"/>
  <c r="C57" i="2"/>
  <c r="C63" i="2"/>
  <c r="C69" i="2"/>
  <c r="C75" i="2"/>
  <c r="C81" i="2"/>
  <c r="D87" i="2"/>
  <c r="D93" i="2"/>
  <c r="B100" i="2"/>
  <c r="B106" i="2"/>
  <c r="B112" i="2"/>
  <c r="B118" i="2"/>
  <c r="B124" i="2"/>
  <c r="C130" i="2"/>
  <c r="C137" i="2"/>
  <c r="D143" i="2"/>
  <c r="B150" i="2"/>
  <c r="C156" i="2"/>
  <c r="D163" i="2"/>
  <c r="B170" i="2"/>
  <c r="C176" i="2"/>
  <c r="D182" i="2"/>
  <c r="C189" i="2"/>
  <c r="C196" i="2"/>
  <c r="D202" i="2"/>
  <c r="D209" i="2"/>
  <c r="D216" i="2"/>
  <c r="B224" i="2"/>
  <c r="J5" i="4"/>
  <c r="AA10" i="4"/>
  <c r="R13" i="4"/>
  <c r="AQ15" i="4"/>
  <c r="AP18" i="4"/>
  <c r="Q21" i="4"/>
  <c r="AB43" i="4"/>
  <c r="AB57" i="4"/>
  <c r="AA57" i="4"/>
  <c r="AA160" i="4"/>
  <c r="Q9" i="4"/>
  <c r="Q41" i="4"/>
  <c r="C17" i="2"/>
  <c r="D78" i="2"/>
  <c r="D133" i="2"/>
  <c r="B173" i="2"/>
  <c r="D36" i="2"/>
  <c r="C91" i="2"/>
  <c r="B37" i="2"/>
  <c r="B8" i="2"/>
  <c r="C14" i="2"/>
  <c r="C32" i="2"/>
  <c r="D50" i="2"/>
  <c r="B63" i="2"/>
  <c r="B75" i="2"/>
  <c r="B87" i="2"/>
  <c r="D105" i="2"/>
  <c r="D117" i="2"/>
  <c r="D129" i="2"/>
  <c r="C143" i="2"/>
  <c r="B156" i="2"/>
  <c r="D169" i="2"/>
  <c r="C182" i="2"/>
  <c r="B196" i="2"/>
  <c r="C202" i="2"/>
  <c r="B216" i="2"/>
  <c r="D223" i="2"/>
  <c r="D2" i="2"/>
  <c r="B9" i="2"/>
  <c r="B15" i="2"/>
  <c r="B21" i="2"/>
  <c r="B27" i="2"/>
  <c r="B33" i="2"/>
  <c r="B39" i="2"/>
  <c r="C45" i="2"/>
  <c r="D51" i="2"/>
  <c r="D57" i="2"/>
  <c r="D63" i="2"/>
  <c r="D69" i="2"/>
  <c r="D75" i="2"/>
  <c r="D81" i="2"/>
  <c r="B88" i="2"/>
  <c r="C94" i="2"/>
  <c r="C100" i="2"/>
  <c r="C106" i="2"/>
  <c r="C112" i="2"/>
  <c r="C118" i="2"/>
  <c r="C124" i="2"/>
  <c r="D130" i="2"/>
  <c r="D137" i="2"/>
  <c r="B144" i="2"/>
  <c r="C150" i="2"/>
  <c r="B157" i="2"/>
  <c r="B164" i="2"/>
  <c r="C170" i="2"/>
  <c r="D176" i="2"/>
  <c r="B183" i="2"/>
  <c r="C190" i="2"/>
  <c r="D196" i="2"/>
  <c r="B203" i="2"/>
  <c r="B210" i="2"/>
  <c r="B217" i="2"/>
  <c r="C224" i="2"/>
  <c r="U11" i="3"/>
  <c r="W11" i="3" s="1"/>
  <c r="R8" i="4"/>
  <c r="Q8" i="4"/>
  <c r="R16" i="4"/>
  <c r="Q16" i="4"/>
  <c r="J19" i="4"/>
  <c r="AP27" i="4"/>
  <c r="AQ31" i="4"/>
  <c r="AB39" i="4"/>
  <c r="AB80" i="4"/>
  <c r="AA80" i="4"/>
  <c r="C11" i="2"/>
  <c r="D90" i="2"/>
  <c r="C186" i="2"/>
  <c r="B67" i="2"/>
  <c r="C9" i="2"/>
  <c r="C15" i="2"/>
  <c r="C21" i="2"/>
  <c r="C27" i="2"/>
  <c r="C33" i="2"/>
  <c r="D39" i="2"/>
  <c r="D45" i="2"/>
  <c r="B52" i="2"/>
  <c r="B58" i="2"/>
  <c r="B64" i="2"/>
  <c r="B70" i="2"/>
  <c r="B76" i="2"/>
  <c r="C82" i="2"/>
  <c r="C88" i="2"/>
  <c r="D94" i="2"/>
  <c r="D100" i="2"/>
  <c r="D106" i="2"/>
  <c r="D112" i="2"/>
  <c r="D118" i="2"/>
  <c r="B125" i="2"/>
  <c r="D131" i="2"/>
  <c r="B138" i="2"/>
  <c r="C144" i="2"/>
  <c r="D150" i="2"/>
  <c r="C157" i="2"/>
  <c r="C164" i="2"/>
  <c r="D170" i="2"/>
  <c r="B177" i="2"/>
  <c r="D183" i="2"/>
  <c r="D190" i="2"/>
  <c r="B197" i="2"/>
  <c r="C203" i="2"/>
  <c r="C210" i="2"/>
  <c r="B218" i="2"/>
  <c r="D224" i="2"/>
  <c r="Q5" i="4"/>
  <c r="AB8" i="4"/>
  <c r="AP10" i="4"/>
  <c r="AB16" i="4"/>
  <c r="AA16" i="4"/>
  <c r="AA24" i="4"/>
  <c r="J32" i="4"/>
  <c r="AB35" i="4"/>
  <c r="AA50" i="4"/>
  <c r="AB58" i="4"/>
  <c r="AP19" i="4"/>
  <c r="C72" i="2"/>
  <c r="D153" i="2"/>
  <c r="D206" i="2"/>
  <c r="B6" i="2"/>
  <c r="B61" i="2"/>
  <c r="B3" i="2"/>
  <c r="D3" i="2"/>
  <c r="D9" i="2"/>
  <c r="D15" i="2"/>
  <c r="D21" i="2"/>
  <c r="D27" i="2"/>
  <c r="D33" i="2"/>
  <c r="B40" i="2"/>
  <c r="C46" i="2"/>
  <c r="C52" i="2"/>
  <c r="C58" i="2"/>
  <c r="C64" i="2"/>
  <c r="C70" i="2"/>
  <c r="C76" i="2"/>
  <c r="D82" i="2"/>
  <c r="B89" i="2"/>
  <c r="B95" i="2"/>
  <c r="B101" i="2"/>
  <c r="B107" i="2"/>
  <c r="B113" i="2"/>
  <c r="B119" i="2"/>
  <c r="C125" i="2"/>
  <c r="B132" i="2"/>
  <c r="C138" i="2"/>
  <c r="D144" i="2"/>
  <c r="B151" i="2"/>
  <c r="C158" i="2"/>
  <c r="D164" i="2"/>
  <c r="B171" i="2"/>
  <c r="C177" i="2"/>
  <c r="B184" i="2"/>
  <c r="B191" i="2"/>
  <c r="C197" i="2"/>
  <c r="D203" i="2"/>
  <c r="B211" i="2"/>
  <c r="C218" i="2"/>
  <c r="J3" i="4"/>
  <c r="J11" i="4"/>
  <c r="Q19" i="4"/>
  <c r="AP24" i="4"/>
  <c r="AP44" i="4"/>
  <c r="AA130" i="4"/>
  <c r="B4" i="2"/>
  <c r="B10" i="2"/>
  <c r="B16" i="2"/>
  <c r="B22" i="2"/>
  <c r="B28" i="2"/>
  <c r="C34" i="2"/>
  <c r="C40" i="2"/>
  <c r="D46" i="2"/>
  <c r="D52" i="2"/>
  <c r="D58" i="2"/>
  <c r="D64" i="2"/>
  <c r="D70" i="2"/>
  <c r="B77" i="2"/>
  <c r="B83" i="2"/>
  <c r="C89" i="2"/>
  <c r="C95" i="2"/>
  <c r="C101" i="2"/>
  <c r="C107" i="2"/>
  <c r="C113" i="2"/>
  <c r="D119" i="2"/>
  <c r="D125" i="2"/>
  <c r="C132" i="2"/>
  <c r="D138" i="2"/>
  <c r="B145" i="2"/>
  <c r="D151" i="2"/>
  <c r="D158" i="2"/>
  <c r="B165" i="2"/>
  <c r="C171" i="2"/>
  <c r="D177" i="2"/>
  <c r="B185" i="2"/>
  <c r="C191" i="2"/>
  <c r="D197" i="2"/>
  <c r="C204" i="2"/>
  <c r="C211" i="2"/>
  <c r="D218" i="2"/>
  <c r="R3" i="4"/>
  <c r="AA8" i="4"/>
  <c r="Q11" i="4"/>
  <c r="AQ13" i="4"/>
  <c r="AB19" i="4"/>
  <c r="AA19" i="4"/>
  <c r="Q36" i="4"/>
  <c r="AA58" i="4"/>
  <c r="AB74" i="4"/>
  <c r="AB17" i="4"/>
  <c r="AA17" i="4"/>
  <c r="C4" i="2"/>
  <c r="C16" i="2"/>
  <c r="C28" i="2"/>
  <c r="B53" i="2"/>
  <c r="B65" i="2"/>
  <c r="B71" i="2"/>
  <c r="D83" i="2"/>
  <c r="D89" i="2"/>
  <c r="D101" i="2"/>
  <c r="D107" i="2"/>
  <c r="D113" i="2"/>
  <c r="B120" i="2"/>
  <c r="C126" i="2"/>
  <c r="D132" i="2"/>
  <c r="B139" i="2"/>
  <c r="C145" i="2"/>
  <c r="B152" i="2"/>
  <c r="B159" i="2"/>
  <c r="C165" i="2"/>
  <c r="D171" i="2"/>
  <c r="C178" i="2"/>
  <c r="C185" i="2"/>
  <c r="D191" i="2"/>
  <c r="B198" i="2"/>
  <c r="D204" i="2"/>
  <c r="C212" i="2"/>
  <c r="B219" i="2"/>
  <c r="AQ232" i="4"/>
  <c r="AQ224" i="4"/>
  <c r="AQ216" i="4"/>
  <c r="AQ208" i="4"/>
  <c r="AQ200" i="4"/>
  <c r="AQ192" i="4"/>
  <c r="AQ184" i="4"/>
  <c r="AQ176" i="4"/>
  <c r="AQ170" i="4"/>
  <c r="AB165" i="4"/>
  <c r="AQ162" i="4"/>
  <c r="AB157" i="4"/>
  <c r="AQ154" i="4"/>
  <c r="AB149" i="4"/>
  <c r="AQ146" i="4"/>
  <c r="AA141" i="4"/>
  <c r="AP138" i="4"/>
  <c r="AA127" i="4"/>
  <c r="J123" i="4"/>
  <c r="J121" i="4"/>
  <c r="J119" i="4"/>
  <c r="I117" i="4"/>
  <c r="I115" i="4"/>
  <c r="I113" i="4"/>
  <c r="I111" i="4"/>
  <c r="I109" i="4"/>
  <c r="I107" i="4"/>
  <c r="I105" i="4"/>
  <c r="I103" i="4"/>
  <c r="I101" i="4"/>
  <c r="AP98" i="4"/>
  <c r="AP232" i="4"/>
  <c r="AP224" i="4"/>
  <c r="AP216" i="4"/>
  <c r="AP208" i="4"/>
  <c r="AP200" i="4"/>
  <c r="AP192" i="4"/>
  <c r="AP184" i="4"/>
  <c r="AP176" i="4"/>
  <c r="AP170" i="4"/>
  <c r="AA165" i="4"/>
  <c r="AP162" i="4"/>
  <c r="AA157" i="4"/>
  <c r="AP154" i="4"/>
  <c r="AA149" i="4"/>
  <c r="AP146" i="4"/>
  <c r="AB138" i="4"/>
  <c r="AQ135" i="4"/>
  <c r="AQ132" i="4"/>
  <c r="J125" i="4"/>
  <c r="I123" i="4"/>
  <c r="I121" i="4"/>
  <c r="I119" i="4"/>
  <c r="AQ116" i="4"/>
  <c r="AQ114" i="4"/>
  <c r="AQ112" i="4"/>
  <c r="AQ110" i="4"/>
  <c r="AQ108" i="4"/>
  <c r="AQ106" i="4"/>
  <c r="AQ104" i="4"/>
  <c r="AQ102" i="4"/>
  <c r="AQ100" i="4"/>
  <c r="AB98" i="4"/>
  <c r="J96" i="4"/>
  <c r="J94" i="4"/>
  <c r="J92" i="4"/>
  <c r="J90" i="4"/>
  <c r="J88" i="4"/>
  <c r="J86" i="4"/>
  <c r="J84" i="4"/>
  <c r="J82" i="4"/>
  <c r="J80" i="4"/>
  <c r="J78" i="4"/>
  <c r="J76" i="4"/>
  <c r="J74" i="4"/>
  <c r="J72" i="4"/>
  <c r="J70" i="4"/>
  <c r="J68" i="4"/>
  <c r="J66" i="4"/>
  <c r="J64" i="4"/>
  <c r="J62" i="4"/>
  <c r="J60" i="4"/>
  <c r="J58" i="4"/>
  <c r="AB55" i="4"/>
  <c r="AA51" i="4"/>
  <c r="AP41" i="4"/>
  <c r="R40" i="4"/>
  <c r="AA38" i="4"/>
  <c r="AQ36" i="4"/>
  <c r="I34" i="4"/>
  <c r="J31" i="4"/>
  <c r="AA29" i="4"/>
  <c r="AB26" i="4"/>
  <c r="Q25" i="4"/>
  <c r="AP23" i="4"/>
  <c r="AQ231" i="4"/>
  <c r="AQ223" i="4"/>
  <c r="AQ215" i="4"/>
  <c r="AQ207" i="4"/>
  <c r="AQ199" i="4"/>
  <c r="AQ191" i="4"/>
  <c r="AQ183" i="4"/>
  <c r="AQ175" i="4"/>
  <c r="AQ167" i="4"/>
  <c r="AQ159" i="4"/>
  <c r="AQ151" i="4"/>
  <c r="AQ143" i="4"/>
  <c r="AP135" i="4"/>
  <c r="AP132" i="4"/>
  <c r="AQ129" i="4"/>
  <c r="I125" i="4"/>
  <c r="AQ122" i="4"/>
  <c r="AQ120" i="4"/>
  <c r="AQ118" i="4"/>
  <c r="AP116" i="4"/>
  <c r="AP114" i="4"/>
  <c r="AP112" i="4"/>
  <c r="AP110" i="4"/>
  <c r="AP108" i="4"/>
  <c r="AP106" i="4"/>
  <c r="AP104" i="4"/>
  <c r="AP102" i="4"/>
  <c r="AP100" i="4"/>
  <c r="I96" i="4"/>
  <c r="I94" i="4"/>
  <c r="I92" i="4"/>
  <c r="I90" i="4"/>
  <c r="I88" i="4"/>
  <c r="I86" i="4"/>
  <c r="I84" i="4"/>
  <c r="I82" i="4"/>
  <c r="I80" i="4"/>
  <c r="I78" i="4"/>
  <c r="I76" i="4"/>
  <c r="I74" i="4"/>
  <c r="I72" i="4"/>
  <c r="I70" i="4"/>
  <c r="I68" i="4"/>
  <c r="I66" i="4"/>
  <c r="I64" i="4"/>
  <c r="I62" i="4"/>
  <c r="I60" i="4"/>
  <c r="I58" i="4"/>
  <c r="Q40" i="4"/>
  <c r="AP36" i="4"/>
  <c r="R35" i="4"/>
  <c r="AQ33" i="4"/>
  <c r="I31" i="4"/>
  <c r="J28" i="4"/>
  <c r="AA26" i="4"/>
  <c r="AP231" i="4"/>
  <c r="AP223" i="4"/>
  <c r="AP215" i="4"/>
  <c r="AP207" i="4"/>
  <c r="AP199" i="4"/>
  <c r="AP191" i="4"/>
  <c r="AP183" i="4"/>
  <c r="AP175" i="4"/>
  <c r="AP167" i="4"/>
  <c r="AP159" i="4"/>
  <c r="AP151" i="4"/>
  <c r="AP143" i="4"/>
  <c r="AQ140" i="4"/>
  <c r="AB135" i="4"/>
  <c r="AP129" i="4"/>
  <c r="AQ126" i="4"/>
  <c r="AQ124" i="4"/>
  <c r="AP122" i="4"/>
  <c r="AP120" i="4"/>
  <c r="AP118" i="4"/>
  <c r="AQ95" i="4"/>
  <c r="AQ93" i="4"/>
  <c r="AQ91" i="4"/>
  <c r="AQ89" i="4"/>
  <c r="AQ87" i="4"/>
  <c r="AQ85" i="4"/>
  <c r="AQ83" i="4"/>
  <c r="AQ81" i="4"/>
  <c r="AQ79" i="4"/>
  <c r="AQ77" i="4"/>
  <c r="AQ75" i="4"/>
  <c r="AQ73" i="4"/>
  <c r="AQ71" i="4"/>
  <c r="AQ69" i="4"/>
  <c r="AQ67" i="4"/>
  <c r="AQ65" i="4"/>
  <c r="AQ63" i="4"/>
  <c r="AQ61" i="4"/>
  <c r="AQ59" i="4"/>
  <c r="AQ57" i="4"/>
  <c r="J51" i="4"/>
  <c r="J49" i="4"/>
  <c r="J47" i="4"/>
  <c r="J45" i="4"/>
  <c r="J43" i="4"/>
  <c r="AP33" i="4"/>
  <c r="AQ30" i="4"/>
  <c r="I28" i="4"/>
  <c r="J25" i="4"/>
  <c r="I21" i="4"/>
  <c r="I17" i="4"/>
  <c r="I13" i="4"/>
  <c r="I9" i="4"/>
  <c r="I5" i="4"/>
  <c r="AQ230" i="4"/>
  <c r="AQ222" i="4"/>
  <c r="AQ214" i="4"/>
  <c r="AQ206" i="4"/>
  <c r="AQ198" i="4"/>
  <c r="AQ190" i="4"/>
  <c r="AQ182" i="4"/>
  <c r="AQ174" i="4"/>
  <c r="AB167" i="4"/>
  <c r="AQ164" i="4"/>
  <c r="AB159" i="4"/>
  <c r="AQ156" i="4"/>
  <c r="AQ148" i="4"/>
  <c r="AP140" i="4"/>
  <c r="AA135" i="4"/>
  <c r="AB129" i="4"/>
  <c r="AP126" i="4"/>
  <c r="AP124" i="4"/>
  <c r="AB118" i="4"/>
  <c r="AP95" i="4"/>
  <c r="AP93" i="4"/>
  <c r="AP91" i="4"/>
  <c r="AP89" i="4"/>
  <c r="AP87" i="4"/>
  <c r="AP85" i="4"/>
  <c r="AP83" i="4"/>
  <c r="AP81" i="4"/>
  <c r="AP79" i="4"/>
  <c r="AP77" i="4"/>
  <c r="AP75" i="4"/>
  <c r="AP73" i="4"/>
  <c r="AP71" i="4"/>
  <c r="AP69" i="4"/>
  <c r="AP67" i="4"/>
  <c r="AP65" i="4"/>
  <c r="AP63" i="4"/>
  <c r="AP61" i="4"/>
  <c r="AP59" i="4"/>
  <c r="AP57" i="4"/>
  <c r="I51" i="4"/>
  <c r="I49" i="4"/>
  <c r="I47" i="4"/>
  <c r="I45" i="4"/>
  <c r="I43" i="4"/>
  <c r="J40" i="4"/>
  <c r="J38" i="4"/>
  <c r="AP30" i="4"/>
  <c r="AQ27" i="4"/>
  <c r="I25" i="4"/>
  <c r="AQ20" i="4"/>
  <c r="AQ16" i="4"/>
  <c r="AQ12" i="4"/>
  <c r="AQ8" i="4"/>
  <c r="AQ4" i="4"/>
  <c r="AP230" i="4"/>
  <c r="AP222" i="4"/>
  <c r="AP214" i="4"/>
  <c r="AP206" i="4"/>
  <c r="AP198" i="4"/>
  <c r="AP190" i="4"/>
  <c r="AP182" i="4"/>
  <c r="AP174" i="4"/>
  <c r="AA167" i="4"/>
  <c r="AP164" i="4"/>
  <c r="AA159" i="4"/>
  <c r="AP156" i="4"/>
  <c r="AP148" i="4"/>
  <c r="AB140" i="4"/>
  <c r="AQ137" i="4"/>
  <c r="AA129" i="4"/>
  <c r="AB124" i="4"/>
  <c r="AA118" i="4"/>
  <c r="AQ97" i="4"/>
  <c r="AB95" i="4"/>
  <c r="AB93" i="4"/>
  <c r="AB91" i="4"/>
  <c r="AB89" i="4"/>
  <c r="AB87" i="4"/>
  <c r="AB85" i="4"/>
  <c r="AB83" i="4"/>
  <c r="AB81" i="4"/>
  <c r="AB79" i="4"/>
  <c r="J55" i="4"/>
  <c r="J53" i="4"/>
  <c r="AQ50" i="4"/>
  <c r="AQ48" i="4"/>
  <c r="AQ46" i="4"/>
  <c r="AQ44" i="4"/>
  <c r="AQ42" i="4"/>
  <c r="AQ229" i="4"/>
  <c r="AQ221" i="4"/>
  <c r="AQ213" i="4"/>
  <c r="AQ205" i="4"/>
  <c r="AQ197" i="4"/>
  <c r="AQ189" i="4"/>
  <c r="AQ181" i="4"/>
  <c r="AQ173" i="4"/>
  <c r="AQ169" i="4"/>
  <c r="AB164" i="4"/>
  <c r="AQ161" i="4"/>
  <c r="AQ153" i="4"/>
  <c r="AB148" i="4"/>
  <c r="AQ145" i="4"/>
  <c r="AA140" i="4"/>
  <c r="AP137" i="4"/>
  <c r="AQ134" i="4"/>
  <c r="AA126" i="4"/>
  <c r="AA124" i="4"/>
  <c r="AP229" i="4"/>
  <c r="AP221" i="4"/>
  <c r="AP213" i="4"/>
  <c r="AP205" i="4"/>
  <c r="AP197" i="4"/>
  <c r="AP189" i="4"/>
  <c r="AP181" i="4"/>
  <c r="AP173" i="4"/>
  <c r="AP169" i="4"/>
  <c r="AA164" i="4"/>
  <c r="AP161" i="4"/>
  <c r="AP153" i="4"/>
  <c r="AA148" i="4"/>
  <c r="AP145" i="4"/>
  <c r="AP134" i="4"/>
  <c r="AQ131" i="4"/>
  <c r="AQ128" i="4"/>
  <c r="J118" i="4"/>
  <c r="J116" i="4"/>
  <c r="J114" i="4"/>
  <c r="J112" i="4"/>
  <c r="J110" i="4"/>
  <c r="J108" i="4"/>
  <c r="J106" i="4"/>
  <c r="J104" i="4"/>
  <c r="J102" i="4"/>
  <c r="J100" i="4"/>
  <c r="AB97" i="4"/>
  <c r="AQ228" i="4"/>
  <c r="AQ220" i="4"/>
  <c r="AQ212" i="4"/>
  <c r="AQ204" i="4"/>
  <c r="AQ196" i="4"/>
  <c r="AQ188" i="4"/>
  <c r="AQ180" i="4"/>
  <c r="AQ172" i="4"/>
  <c r="AQ166" i="4"/>
  <c r="AQ158" i="4"/>
  <c r="AQ150" i="4"/>
  <c r="AQ142" i="4"/>
  <c r="AP131" i="4"/>
  <c r="AP128" i="4"/>
  <c r="J124" i="4"/>
  <c r="J122" i="4"/>
  <c r="J120" i="4"/>
  <c r="I118" i="4"/>
  <c r="I116" i="4"/>
  <c r="I114" i="4"/>
  <c r="I112" i="4"/>
  <c r="I110" i="4"/>
  <c r="I108" i="4"/>
  <c r="I106" i="4"/>
  <c r="I104" i="4"/>
  <c r="I102" i="4"/>
  <c r="I100" i="4"/>
  <c r="AP228" i="4"/>
  <c r="AP220" i="4"/>
  <c r="AP212" i="4"/>
  <c r="AP204" i="4"/>
  <c r="AP196" i="4"/>
  <c r="AP188" i="4"/>
  <c r="AP180" i="4"/>
  <c r="AP172" i="4"/>
  <c r="AP166" i="4"/>
  <c r="AP158" i="4"/>
  <c r="AP150" i="4"/>
  <c r="AP142" i="4"/>
  <c r="AQ139" i="4"/>
  <c r="AB131" i="4"/>
  <c r="J126" i="4"/>
  <c r="I124" i="4"/>
  <c r="I122" i="4"/>
  <c r="I120" i="4"/>
  <c r="AQ117" i="4"/>
  <c r="AQ115" i="4"/>
  <c r="AQ113" i="4"/>
  <c r="AQ111" i="4"/>
  <c r="AQ109" i="4"/>
  <c r="AQ107" i="4"/>
  <c r="AQ105" i="4"/>
  <c r="AQ103" i="4"/>
  <c r="AQ101" i="4"/>
  <c r="AQ99" i="4"/>
  <c r="J95" i="4"/>
  <c r="J93" i="4"/>
  <c r="J91" i="4"/>
  <c r="J89" i="4"/>
  <c r="J87" i="4"/>
  <c r="J85" i="4"/>
  <c r="J83" i="4"/>
  <c r="J81" i="4"/>
  <c r="J79" i="4"/>
  <c r="J77" i="4"/>
  <c r="J75" i="4"/>
  <c r="J73" i="4"/>
  <c r="J71" i="4"/>
  <c r="J69" i="4"/>
  <c r="J67" i="4"/>
  <c r="J65" i="4"/>
  <c r="J63" i="4"/>
  <c r="J61" i="4"/>
  <c r="J59" i="4"/>
  <c r="AQ56" i="4"/>
  <c r="AB52" i="4"/>
  <c r="J41" i="4"/>
  <c r="AA39" i="4"/>
  <c r="AA37" i="4"/>
  <c r="AB34" i="4"/>
  <c r="AP31" i="4"/>
  <c r="R30" i="4"/>
  <c r="AQ28" i="4"/>
  <c r="I26" i="4"/>
  <c r="AP21" i="4"/>
  <c r="AQ227" i="4"/>
  <c r="AQ219" i="4"/>
  <c r="AQ211" i="4"/>
  <c r="AQ203" i="4"/>
  <c r="AQ195" i="4"/>
  <c r="AQ187" i="4"/>
  <c r="AQ179" i="4"/>
  <c r="AQ171" i="4"/>
  <c r="AB166" i="4"/>
  <c r="AQ163" i="4"/>
  <c r="AB158" i="4"/>
  <c r="AQ155" i="4"/>
  <c r="AQ147" i="4"/>
  <c r="AB142" i="4"/>
  <c r="AP139" i="4"/>
  <c r="AA131" i="4"/>
  <c r="I126" i="4"/>
  <c r="AQ123" i="4"/>
  <c r="AQ121" i="4"/>
  <c r="AQ119" i="4"/>
  <c r="AP117" i="4"/>
  <c r="AP115" i="4"/>
  <c r="AP113" i="4"/>
  <c r="AP111" i="4"/>
  <c r="AP109" i="4"/>
  <c r="AP107" i="4"/>
  <c r="AP105" i="4"/>
  <c r="AP103" i="4"/>
  <c r="AP101" i="4"/>
  <c r="AP99" i="4"/>
  <c r="I95" i="4"/>
  <c r="I93" i="4"/>
  <c r="I91" i="4"/>
  <c r="I89" i="4"/>
  <c r="I87" i="4"/>
  <c r="I85" i="4"/>
  <c r="I83" i="4"/>
  <c r="I81" i="4"/>
  <c r="I79" i="4"/>
  <c r="I77" i="4"/>
  <c r="I75" i="4"/>
  <c r="I73" i="4"/>
  <c r="I71" i="4"/>
  <c r="I69" i="4"/>
  <c r="I67" i="4"/>
  <c r="I65" i="4"/>
  <c r="I63" i="4"/>
  <c r="I61" i="4"/>
  <c r="I59" i="4"/>
  <c r="AP56" i="4"/>
  <c r="AA52" i="4"/>
  <c r="I41" i="4"/>
  <c r="J36" i="4"/>
  <c r="AA34" i="4"/>
  <c r="Q30" i="4"/>
  <c r="AP28" i="4"/>
  <c r="R27" i="4"/>
  <c r="AQ25" i="4"/>
  <c r="AP227" i="4"/>
  <c r="AP219" i="4"/>
  <c r="AP211" i="4"/>
  <c r="AP203" i="4"/>
  <c r="AP195" i="4"/>
  <c r="AP187" i="4"/>
  <c r="AP179" i="4"/>
  <c r="AP171" i="4"/>
  <c r="AA166" i="4"/>
  <c r="AP163" i="4"/>
  <c r="AA158" i="4"/>
  <c r="AP155" i="4"/>
  <c r="AP147" i="4"/>
  <c r="AA142" i="4"/>
  <c r="AB139" i="4"/>
  <c r="AQ136" i="4"/>
  <c r="AQ125" i="4"/>
  <c r="AP123" i="4"/>
  <c r="AP121" i="4"/>
  <c r="AP119" i="4"/>
  <c r="AB117" i="4"/>
  <c r="AB115" i="4"/>
  <c r="AQ96" i="4"/>
  <c r="AQ94" i="4"/>
  <c r="AQ92" i="4"/>
  <c r="AQ90" i="4"/>
  <c r="AQ88" i="4"/>
  <c r="AQ86" i="4"/>
  <c r="AQ84" i="4"/>
  <c r="AQ82" i="4"/>
  <c r="AQ80" i="4"/>
  <c r="AQ78" i="4"/>
  <c r="AQ76" i="4"/>
  <c r="AQ74" i="4"/>
  <c r="AQ72" i="4"/>
  <c r="AQ70" i="4"/>
  <c r="AQ68" i="4"/>
  <c r="AQ66" i="4"/>
  <c r="AQ64" i="4"/>
  <c r="AQ62" i="4"/>
  <c r="AQ60" i="4"/>
  <c r="AQ58" i="4"/>
  <c r="J50" i="4"/>
  <c r="J48" i="4"/>
  <c r="J46" i="4"/>
  <c r="J44" i="4"/>
  <c r="AQ40" i="4"/>
  <c r="I36" i="4"/>
  <c r="J33" i="4"/>
  <c r="AP25" i="4"/>
  <c r="I23" i="4"/>
  <c r="I19" i="4"/>
  <c r="I15" i="4"/>
  <c r="I11" i="4"/>
  <c r="I7" i="4"/>
  <c r="I3" i="4"/>
  <c r="B220" i="2"/>
  <c r="D214" i="2"/>
  <c r="C209" i="2"/>
  <c r="B204" i="2"/>
  <c r="AQ226" i="4"/>
  <c r="AQ218" i="4"/>
  <c r="AQ210" i="4"/>
  <c r="AQ202" i="4"/>
  <c r="AQ194" i="4"/>
  <c r="AQ186" i="4"/>
  <c r="AQ178" i="4"/>
  <c r="AQ168" i="4"/>
  <c r="AQ160" i="4"/>
  <c r="AQ152" i="4"/>
  <c r="AQ144" i="4"/>
  <c r="AA139" i="4"/>
  <c r="AP136" i="4"/>
  <c r="AQ133" i="4"/>
  <c r="AQ130" i="4"/>
  <c r="AP125" i="4"/>
  <c r="AA117" i="4"/>
  <c r="AA115" i="4"/>
  <c r="AP96" i="4"/>
  <c r="AP94" i="4"/>
  <c r="AP92" i="4"/>
  <c r="AP90" i="4"/>
  <c r="AP88" i="4"/>
  <c r="AP86" i="4"/>
  <c r="AP84" i="4"/>
  <c r="AP82" i="4"/>
  <c r="AP80" i="4"/>
  <c r="AP78" i="4"/>
  <c r="AP76" i="4"/>
  <c r="AP74" i="4"/>
  <c r="AP72" i="4"/>
  <c r="AP70" i="4"/>
  <c r="AP68" i="4"/>
  <c r="AP66" i="4"/>
  <c r="AP64" i="4"/>
  <c r="AP62" i="4"/>
  <c r="AP60" i="4"/>
  <c r="AP58" i="4"/>
  <c r="J52" i="4"/>
  <c r="I50" i="4"/>
  <c r="I48" i="4"/>
  <c r="I46" i="4"/>
  <c r="I44" i="4"/>
  <c r="AP40" i="4"/>
  <c r="J39" i="4"/>
  <c r="AQ35" i="4"/>
  <c r="I33" i="4"/>
  <c r="J30" i="4"/>
  <c r="AQ22" i="4"/>
  <c r="AQ18" i="4"/>
  <c r="AQ14" i="4"/>
  <c r="AQ10" i="4"/>
  <c r="AQ6" i="4"/>
  <c r="AP226" i="4"/>
  <c r="AP218" i="4"/>
  <c r="AP210" i="4"/>
  <c r="AP202" i="4"/>
  <c r="AP194" i="4"/>
  <c r="AP186" i="4"/>
  <c r="AP178" i="4"/>
  <c r="AP168" i="4"/>
  <c r="AP160" i="4"/>
  <c r="AP152" i="4"/>
  <c r="AP144" i="4"/>
  <c r="AQ141" i="4"/>
  <c r="AP133" i="4"/>
  <c r="AP130" i="4"/>
  <c r="AQ127" i="4"/>
  <c r="AB96" i="4"/>
  <c r="AB94" i="4"/>
  <c r="AB92" i="4"/>
  <c r="AB90" i="4"/>
  <c r="AB88" i="4"/>
  <c r="AB86" i="4"/>
  <c r="AB84" i="4"/>
  <c r="J54" i="4"/>
  <c r="I52" i="4"/>
  <c r="AQ49" i="4"/>
  <c r="AQ47" i="4"/>
  <c r="AQ45" i="4"/>
  <c r="AQ43" i="4"/>
  <c r="AQ225" i="4"/>
  <c r="AQ217" i="4"/>
  <c r="AQ209" i="4"/>
  <c r="AQ201" i="4"/>
  <c r="AQ193" i="4"/>
  <c r="AQ185" i="4"/>
  <c r="AQ177" i="4"/>
  <c r="AQ165" i="4"/>
  <c r="AQ157" i="4"/>
  <c r="AQ149" i="4"/>
  <c r="AP141" i="4"/>
  <c r="AB133" i="4"/>
  <c r="AP127" i="4"/>
  <c r="AP225" i="4"/>
  <c r="AQ138" i="4"/>
  <c r="AA95" i="4"/>
  <c r="AA79" i="4"/>
  <c r="I54" i="4"/>
  <c r="AP43" i="4"/>
  <c r="AP38" i="4"/>
  <c r="R36" i="4"/>
  <c r="I32" i="4"/>
  <c r="AQ24" i="4"/>
  <c r="J23" i="4"/>
  <c r="R19" i="4"/>
  <c r="AP15" i="4"/>
  <c r="I14" i="4"/>
  <c r="AP6" i="4"/>
  <c r="AP217" i="4"/>
  <c r="AA152" i="4"/>
  <c r="AP209" i="4"/>
  <c r="J101" i="4"/>
  <c r="AA89" i="4"/>
  <c r="AP53" i="4"/>
  <c r="AP49" i="4"/>
  <c r="AB46" i="4"/>
  <c r="AA43" i="4"/>
  <c r="J34" i="4"/>
  <c r="I27" i="4"/>
  <c r="AB24" i="4"/>
  <c r="AP20" i="4"/>
  <c r="AP13" i="4"/>
  <c r="I12" i="4"/>
  <c r="AB6" i="4"/>
  <c r="AP4" i="4"/>
  <c r="AP201" i="4"/>
  <c r="AA144" i="4"/>
  <c r="J107" i="4"/>
  <c r="AA94" i="4"/>
  <c r="AA62" i="4"/>
  <c r="AB49" i="4"/>
  <c r="AA46" i="4"/>
  <c r="AB40" i="4"/>
  <c r="AP35" i="4"/>
  <c r="AA33" i="4"/>
  <c r="AP193" i="4"/>
  <c r="AP165" i="4"/>
  <c r="J113" i="4"/>
  <c r="AA83" i="4"/>
  <c r="AA67" i="4"/>
  <c r="AP185" i="4"/>
  <c r="AB127" i="4"/>
  <c r="AA88" i="4"/>
  <c r="AA72" i="4"/>
  <c r="I53" i="4"/>
  <c r="AP42" i="4"/>
  <c r="AQ37" i="4"/>
  <c r="AA35" i="4"/>
  <c r="I29" i="4"/>
  <c r="J17" i="4"/>
  <c r="AQ9" i="4"/>
  <c r="J8" i="4"/>
  <c r="AP177" i="4"/>
  <c r="AP157" i="4"/>
  <c r="AA93" i="4"/>
  <c r="AA77" i="4"/>
  <c r="AQ52" i="4"/>
  <c r="AP45" i="4"/>
  <c r="AB42" i="4"/>
  <c r="AP37" i="4"/>
  <c r="R33" i="4"/>
  <c r="AB18" i="4"/>
  <c r="AP16" i="4"/>
  <c r="AP9" i="4"/>
  <c r="I8" i="4"/>
  <c r="AQ98" i="4"/>
  <c r="AA82" i="4"/>
  <c r="AQ55" i="4"/>
  <c r="AP52" i="4"/>
  <c r="AP48" i="4"/>
  <c r="AB45" i="4"/>
  <c r="AA42" i="4"/>
  <c r="AB37" i="4"/>
  <c r="J24" i="4"/>
  <c r="J15" i="4"/>
  <c r="AQ7" i="4"/>
  <c r="J6" i="4"/>
  <c r="AP149" i="4"/>
  <c r="J105" i="4"/>
  <c r="AA87" i="4"/>
  <c r="AP55" i="4"/>
  <c r="AB48" i="4"/>
  <c r="AA45" i="4"/>
  <c r="I40" i="4"/>
  <c r="AQ32" i="4"/>
  <c r="AA30" i="4"/>
  <c r="R28" i="4"/>
  <c r="Q26" i="4"/>
  <c r="I24" i="4"/>
  <c r="J22" i="4"/>
  <c r="AP14" i="4"/>
  <c r="R11" i="4"/>
  <c r="AP7" i="4"/>
  <c r="I6" i="4"/>
  <c r="AB141" i="4"/>
  <c r="J111" i="4"/>
  <c r="AA92" i="4"/>
  <c r="AQ51" i="4"/>
  <c r="AA48" i="4"/>
  <c r="AQ39" i="4"/>
  <c r="J35" i="4"/>
  <c r="AP32" i="4"/>
  <c r="Q28" i="4"/>
  <c r="AQ23" i="4"/>
  <c r="I22" i="4"/>
  <c r="J20" i="4"/>
  <c r="J13" i="4"/>
  <c r="AQ5" i="4"/>
  <c r="J4" i="4"/>
  <c r="C223" i="2"/>
  <c r="D217" i="2"/>
  <c r="B212" i="2"/>
  <c r="C206" i="2"/>
  <c r="D200" i="2"/>
  <c r="C195" i="2"/>
  <c r="B190" i="2"/>
  <c r="D184" i="2"/>
  <c r="C179" i="2"/>
  <c r="B174" i="2"/>
  <c r="D168" i="2"/>
  <c r="C163" i="2"/>
  <c r="B158" i="2"/>
  <c r="D152" i="2"/>
  <c r="C147" i="2"/>
  <c r="B142" i="2"/>
  <c r="D136" i="2"/>
  <c r="C131" i="2"/>
  <c r="B126" i="2"/>
  <c r="D120" i="2"/>
  <c r="C115" i="2"/>
  <c r="B110" i="2"/>
  <c r="D104" i="2"/>
  <c r="C99" i="2"/>
  <c r="B94" i="2"/>
  <c r="D88" i="2"/>
  <c r="C83" i="2"/>
  <c r="B78" i="2"/>
  <c r="D72" i="2"/>
  <c r="C67" i="2"/>
  <c r="B62" i="2"/>
  <c r="D56" i="2"/>
  <c r="C51" i="2"/>
  <c r="B46" i="2"/>
  <c r="D40" i="2"/>
  <c r="C35" i="2"/>
  <c r="B30" i="2"/>
  <c r="D24" i="2"/>
  <c r="C19" i="2"/>
  <c r="B14" i="2"/>
  <c r="D8" i="2"/>
  <c r="C3" i="2"/>
  <c r="B223" i="2"/>
  <c r="C217" i="2"/>
  <c r="D211" i="2"/>
  <c r="B206" i="2"/>
  <c r="C200" i="2"/>
  <c r="B195" i="2"/>
  <c r="D189" i="2"/>
  <c r="C184" i="2"/>
  <c r="B179" i="2"/>
  <c r="D173" i="2"/>
  <c r="C168" i="2"/>
  <c r="B163" i="2"/>
  <c r="D157" i="2"/>
  <c r="C152" i="2"/>
  <c r="B147" i="2"/>
  <c r="D141" i="2"/>
  <c r="C136" i="2"/>
  <c r="B131" i="2"/>
  <c r="AA133" i="4"/>
  <c r="J117" i="4"/>
  <c r="AP97" i="4"/>
  <c r="AA81" i="4"/>
  <c r="AP51" i="4"/>
  <c r="AP39" i="4"/>
  <c r="I35" i="4"/>
  <c r="AB32" i="4"/>
  <c r="J26" i="4"/>
  <c r="AQ21" i="4"/>
  <c r="I20" i="4"/>
  <c r="AB14" i="4"/>
  <c r="AP12" i="4"/>
  <c r="AP5" i="4"/>
  <c r="I4" i="4"/>
  <c r="AA86" i="4"/>
  <c r="AA70" i="4"/>
  <c r="AA91" i="4"/>
  <c r="AA75" i="4"/>
  <c r="AA59" i="4"/>
  <c r="AQ54" i="4"/>
  <c r="AP47" i="4"/>
  <c r="AB44" i="4"/>
  <c r="I42" i="4"/>
  <c r="J37" i="4"/>
  <c r="AP34" i="4"/>
  <c r="I30" i="4"/>
  <c r="AB27" i="4"/>
  <c r="AA168" i="4"/>
  <c r="J103" i="4"/>
  <c r="AA96" i="4"/>
  <c r="AP54" i="4"/>
  <c r="AP50" i="4"/>
  <c r="AB47" i="4"/>
  <c r="AA44" i="4"/>
  <c r="AQ41" i="4"/>
  <c r="I37" i="4"/>
  <c r="AQ29" i="4"/>
  <c r="AA27" i="4"/>
  <c r="R23" i="4"/>
  <c r="AQ17" i="4"/>
  <c r="J16" i="4"/>
  <c r="J9" i="4"/>
  <c r="B222" i="2"/>
  <c r="C216" i="2"/>
  <c r="D210" i="2"/>
  <c r="B205" i="2"/>
  <c r="C199" i="2"/>
  <c r="B194" i="2"/>
  <c r="D188" i="2"/>
  <c r="C183" i="2"/>
  <c r="B178" i="2"/>
  <c r="D172" i="2"/>
  <c r="C167" i="2"/>
  <c r="B162" i="2"/>
  <c r="D156" i="2"/>
  <c r="C151" i="2"/>
  <c r="B146" i="2"/>
  <c r="D140" i="2"/>
  <c r="C135" i="2"/>
  <c r="B130" i="2"/>
  <c r="D124" i="2"/>
  <c r="C119" i="2"/>
  <c r="B114" i="2"/>
  <c r="D108" i="2"/>
  <c r="C103" i="2"/>
  <c r="B98" i="2"/>
  <c r="D92" i="2"/>
  <c r="C87" i="2"/>
  <c r="B82" i="2"/>
  <c r="D76" i="2"/>
  <c r="C71" i="2"/>
  <c r="B66" i="2"/>
  <c r="D60" i="2"/>
  <c r="C55" i="2"/>
  <c r="B50" i="2"/>
  <c r="D44" i="2"/>
  <c r="C39" i="2"/>
  <c r="B34" i="2"/>
  <c r="D28" i="2"/>
  <c r="C23" i="2"/>
  <c r="B18" i="2"/>
  <c r="D12" i="2"/>
  <c r="C7" i="2"/>
  <c r="B2" i="2"/>
  <c r="J109" i="4"/>
  <c r="AA85" i="4"/>
  <c r="AA69" i="4"/>
  <c r="AB50" i="4"/>
  <c r="AA47" i="4"/>
  <c r="I39" i="4"/>
  <c r="AP29" i="4"/>
  <c r="R25" i="4"/>
  <c r="Q23" i="4"/>
  <c r="R21" i="4"/>
  <c r="AP17" i="4"/>
  <c r="I16" i="4"/>
  <c r="AP8" i="4"/>
  <c r="R5" i="4"/>
  <c r="Q3" i="4"/>
  <c r="J14" i="4"/>
  <c r="R17" i="4"/>
  <c r="J29" i="4"/>
  <c r="AB36" i="4"/>
  <c r="AA36" i="4"/>
  <c r="AA40" i="4"/>
  <c r="AB60" i="4"/>
  <c r="AA60" i="4"/>
  <c r="C10" i="2"/>
  <c r="C22" i="2"/>
  <c r="D34" i="2"/>
  <c r="B47" i="2"/>
  <c r="B59" i="2"/>
  <c r="C77" i="2"/>
  <c r="D4" i="2"/>
  <c r="D10" i="2"/>
  <c r="D16" i="2"/>
  <c r="D22" i="2"/>
  <c r="B29" i="2"/>
  <c r="B35" i="2"/>
  <c r="C41" i="2"/>
  <c r="C47" i="2"/>
  <c r="C53" i="2"/>
  <c r="C59" i="2"/>
  <c r="C65" i="2"/>
  <c r="D71" i="2"/>
  <c r="D77" i="2"/>
  <c r="B84" i="2"/>
  <c r="B90" i="2"/>
  <c r="B96" i="2"/>
  <c r="B102" i="2"/>
  <c r="B108" i="2"/>
  <c r="C114" i="2"/>
  <c r="C120" i="2"/>
  <c r="D126" i="2"/>
  <c r="B133" i="2"/>
  <c r="C139" i="2"/>
  <c r="D145" i="2"/>
  <c r="B153" i="2"/>
  <c r="C159" i="2"/>
  <c r="D165" i="2"/>
  <c r="B172" i="2"/>
  <c r="D178" i="2"/>
  <c r="D185" i="2"/>
  <c r="B192" i="2"/>
  <c r="C198" i="2"/>
  <c r="C205" i="2"/>
  <c r="D212" i="2"/>
  <c r="C219" i="2"/>
  <c r="AB3" i="4"/>
  <c r="AA3" i="4"/>
  <c r="R9" i="4"/>
  <c r="Q17" i="4"/>
  <c r="R29" i="4"/>
  <c r="AA32" i="4"/>
  <c r="R41" i="4"/>
  <c r="AB53" i="4"/>
  <c r="AA74" i="4"/>
  <c r="R14" i="4"/>
  <c r="Q14" i="4"/>
  <c r="R32" i="4"/>
  <c r="Q32" i="4"/>
  <c r="AB59" i="4"/>
  <c r="AB75" i="4"/>
  <c r="AB123" i="4"/>
  <c r="AA123" i="4"/>
  <c r="AB147" i="4"/>
  <c r="AA147" i="4"/>
  <c r="AB154" i="4"/>
  <c r="AB161" i="4"/>
  <c r="AB5" i="4"/>
  <c r="AA5" i="4"/>
  <c r="AB21" i="4"/>
  <c r="AA21" i="4"/>
  <c r="AB25" i="4"/>
  <c r="AB70" i="4"/>
  <c r="AB109" i="4"/>
  <c r="AB132" i="4"/>
  <c r="AB23" i="4"/>
  <c r="AA23" i="4"/>
  <c r="AB65" i="4"/>
  <c r="AA97" i="4"/>
  <c r="AB103" i="4"/>
  <c r="AB116" i="4"/>
  <c r="AB155" i="4"/>
  <c r="AA155" i="4"/>
  <c r="AB162" i="4"/>
  <c r="AB169" i="4"/>
  <c r="AB76" i="4"/>
  <c r="AB110" i="4"/>
  <c r="AB125" i="4"/>
  <c r="R18" i="4"/>
  <c r="Q18" i="4"/>
  <c r="R42" i="4"/>
  <c r="AA55" i="4"/>
  <c r="AA65" i="4"/>
  <c r="AB71" i="4"/>
  <c r="AB104" i="4"/>
  <c r="AB156" i="4"/>
  <c r="AB163" i="4"/>
  <c r="AA163" i="4"/>
  <c r="AB170" i="4"/>
  <c r="AB9" i="4"/>
  <c r="AA9" i="4"/>
  <c r="AB66" i="4"/>
  <c r="AA76" i="4"/>
  <c r="AB82" i="4"/>
  <c r="AA98" i="4"/>
  <c r="AB126" i="4"/>
  <c r="AB134" i="4"/>
  <c r="R4" i="4"/>
  <c r="Q4" i="4"/>
  <c r="R20" i="4"/>
  <c r="Q20" i="4"/>
  <c r="Q35" i="4"/>
  <c r="AB61" i="4"/>
  <c r="AA71" i="4"/>
  <c r="AB77" i="4"/>
  <c r="AB111" i="4"/>
  <c r="AB171" i="4"/>
  <c r="AA171" i="4"/>
  <c r="AB11" i="4"/>
  <c r="AA11" i="4"/>
  <c r="Q13" i="4"/>
  <c r="R22" i="4"/>
  <c r="Q22" i="4"/>
  <c r="AB28" i="4"/>
  <c r="AA28" i="4"/>
  <c r="Q33" i="4"/>
  <c r="AA66" i="4"/>
  <c r="AB72" i="4"/>
  <c r="AB105" i="4"/>
  <c r="AB143" i="4"/>
  <c r="AB150" i="4"/>
  <c r="R6" i="4"/>
  <c r="Q6" i="4"/>
  <c r="R24" i="4"/>
  <c r="Q24" i="4"/>
  <c r="AB56" i="4"/>
  <c r="AA56" i="4"/>
  <c r="AA61" i="4"/>
  <c r="AB67" i="4"/>
  <c r="AB99" i="4"/>
  <c r="AA99" i="4"/>
  <c r="AB112" i="4"/>
  <c r="AB119" i="4"/>
  <c r="AA119" i="4"/>
  <c r="AB136" i="4"/>
  <c r="AB13" i="4"/>
  <c r="AA13" i="4"/>
  <c r="AB33" i="4"/>
  <c r="AB62" i="4"/>
  <c r="AB78" i="4"/>
  <c r="AB106" i="4"/>
  <c r="AB144" i="4"/>
  <c r="AB151" i="4"/>
  <c r="AB73" i="4"/>
  <c r="AB100" i="4"/>
  <c r="AA100" i="4"/>
  <c r="AB120" i="4"/>
  <c r="AB128" i="4"/>
  <c r="AB137" i="4"/>
  <c r="AB31" i="4"/>
  <c r="AA31" i="4"/>
  <c r="AB68" i="4"/>
  <c r="AA78" i="4"/>
  <c r="AB113" i="4"/>
  <c r="AB152" i="4"/>
  <c r="R10" i="4"/>
  <c r="Q10" i="4"/>
  <c r="Q29" i="4"/>
  <c r="AB63" i="4"/>
  <c r="AA73" i="4"/>
  <c r="AB107" i="4"/>
  <c r="AB121" i="4"/>
  <c r="AA121" i="4"/>
  <c r="AA138" i="4"/>
  <c r="AB145" i="4"/>
  <c r="AB101" i="4"/>
  <c r="AA101" i="4"/>
  <c r="AB114" i="4"/>
  <c r="AB130" i="4"/>
  <c r="AB160" i="4"/>
  <c r="R12" i="4"/>
  <c r="Q12" i="4"/>
  <c r="Q27" i="4"/>
  <c r="AA63" i="4"/>
  <c r="AB69" i="4"/>
  <c r="AB108" i="4"/>
  <c r="AB122" i="4"/>
  <c r="AB146" i="4"/>
  <c r="AB153" i="4"/>
  <c r="AA125" i="4"/>
  <c r="AA136" i="4"/>
  <c r="Q42" i="4"/>
  <c r="AA103" i="4"/>
  <c r="AA105" i="4"/>
  <c r="AA107" i="4"/>
  <c r="AA109" i="4"/>
  <c r="AA111" i="4"/>
  <c r="AA113" i="4"/>
  <c r="AA150" i="4"/>
  <c r="AA54" i="4"/>
  <c r="AA128" i="4"/>
  <c r="AA134" i="4"/>
  <c r="AA145" i="4"/>
  <c r="AA153" i="4"/>
  <c r="AA161" i="4"/>
  <c r="AA169" i="4"/>
  <c r="AA137" i="4"/>
  <c r="AA156" i="4"/>
  <c r="AA120" i="4"/>
  <c r="AA122" i="4"/>
  <c r="AA143" i="4"/>
  <c r="AA151" i="4"/>
  <c r="AA104" i="4"/>
  <c r="AA106" i="4"/>
  <c r="AA108" i="4"/>
  <c r="AA110" i="4"/>
  <c r="AA112" i="4"/>
  <c r="AA114" i="4"/>
  <c r="AA116" i="4"/>
  <c r="AA132" i="4"/>
  <c r="AA41" i="4"/>
  <c r="AA146" i="4"/>
  <c r="AA154" i="4"/>
  <c r="AA162" i="4"/>
  <c r="AA170" i="4"/>
  <c r="AA53" i="4"/>
  <c r="E28" i="8" l="1"/>
  <c r="F96" i="8"/>
  <c r="M67" i="8"/>
  <c r="M75" i="8"/>
  <c r="H38" i="8"/>
  <c r="B56" i="8"/>
  <c r="H31" i="8"/>
  <c r="H4" i="8"/>
  <c r="G28" i="8"/>
  <c r="H35" i="8"/>
  <c r="M62" i="8"/>
  <c r="H5" i="8"/>
  <c r="B84" i="8"/>
  <c r="M59" i="8"/>
  <c r="M84" i="8" s="1"/>
  <c r="K3" i="8" s="1"/>
  <c r="F98" i="8"/>
  <c r="M82" i="8"/>
  <c r="F111" i="8"/>
  <c r="H16" i="8"/>
  <c r="M76" i="8"/>
  <c r="H45" i="8"/>
  <c r="F97" i="8"/>
  <c r="F84" i="8"/>
  <c r="F108" i="8"/>
  <c r="H32" i="8"/>
  <c r="H36" i="8"/>
  <c r="C56" i="8"/>
  <c r="H14" i="8"/>
  <c r="F106" i="8"/>
  <c r="I84" i="8"/>
  <c r="G84" i="8"/>
  <c r="F102" i="8"/>
  <c r="E84" i="8"/>
  <c r="D28" i="8"/>
  <c r="D112" i="8"/>
  <c r="K84" i="8"/>
  <c r="M77" i="8"/>
  <c r="M78" i="8"/>
  <c r="H53" i="8"/>
  <c r="F105" i="8"/>
  <c r="F104" i="8"/>
  <c r="E56" i="8"/>
  <c r="M72" i="8"/>
  <c r="J84" i="8"/>
  <c r="C112" i="8"/>
  <c r="H23" i="8"/>
  <c r="F28" i="8"/>
  <c r="F95" i="8"/>
  <c r="B28" i="8"/>
  <c r="B112" i="8"/>
  <c r="F87" i="8"/>
  <c r="H51" i="8"/>
  <c r="H10" i="8"/>
  <c r="H39" i="8"/>
  <c r="F92" i="8"/>
  <c r="H21" i="8"/>
  <c r="D56" i="8"/>
  <c r="H11" i="8"/>
  <c r="L84" i="8"/>
  <c r="H3" i="8"/>
  <c r="M73" i="8"/>
  <c r="F90" i="8"/>
  <c r="F109" i="8"/>
  <c r="H12" i="8"/>
  <c r="M74" i="8"/>
  <c r="H46" i="8"/>
  <c r="H34" i="8"/>
  <c r="F107" i="8"/>
  <c r="M68" i="8"/>
  <c r="H27" i="8"/>
  <c r="F110" i="8"/>
  <c r="H44" i="8"/>
  <c r="F89" i="8"/>
  <c r="G56" i="8"/>
  <c r="H43" i="8"/>
  <c r="F88" i="8"/>
  <c r="H42" i="8"/>
  <c r="C84" i="8"/>
  <c r="M79" i="8"/>
  <c r="H54" i="8"/>
  <c r="H47" i="8"/>
  <c r="M69" i="8"/>
  <c r="H33" i="8"/>
  <c r="M70" i="8"/>
  <c r="H37" i="8"/>
  <c r="M63" i="8"/>
  <c r="M64" i="8"/>
  <c r="H20" i="8"/>
  <c r="F93" i="8"/>
  <c r="D84" i="8"/>
  <c r="H9" i="8"/>
  <c r="F91" i="8"/>
  <c r="H18" i="8"/>
  <c r="F94" i="8"/>
  <c r="H8" i="8"/>
  <c r="H84" i="8"/>
  <c r="H55" i="8"/>
  <c r="H48" i="8"/>
  <c r="H7" i="8"/>
  <c r="F56" i="8"/>
  <c r="H52" i="8"/>
  <c r="E112" i="8"/>
  <c r="M65" i="8"/>
  <c r="H17" i="8"/>
  <c r="H26" i="8"/>
  <c r="F99" i="8"/>
  <c r="M66" i="8"/>
  <c r="H19" i="8"/>
  <c r="C28" i="8"/>
  <c r="M60" i="8"/>
  <c r="H41" i="8"/>
  <c r="H56" i="8" l="1"/>
  <c r="K2" i="8" s="1"/>
  <c r="F112" i="8"/>
  <c r="K4" i="8" s="1"/>
  <c r="K5" i="8" l="1"/>
  <c r="K21" i="8" s="1"/>
</calcChain>
</file>

<file path=xl/sharedStrings.xml><?xml version="1.0" encoding="utf-8"?>
<sst xmlns="http://schemas.openxmlformats.org/spreadsheetml/2006/main" count="22311" uniqueCount="6970">
  <si>
    <t>п/п</t>
  </si>
  <si>
    <t>Район</t>
  </si>
  <si>
    <t>Наслег</t>
  </si>
  <si>
    <t>Населенный пункт</t>
  </si>
  <si>
    <t>ОКТМО</t>
  </si>
  <si>
    <t>Река</t>
  </si>
  <si>
    <t>ГМС</t>
  </si>
  <si>
    <t>Крит  уровень ОЯ</t>
  </si>
  <si>
    <t>Низкий уровень ОЯ</t>
  </si>
  <si>
    <t>Геопозиция (широта)</t>
  </si>
  <si>
    <t>Геопозиция (долгота)</t>
  </si>
  <si>
    <t>Лена</t>
  </si>
  <si>
    <t>Усть-Кут</t>
  </si>
  <si>
    <t>56.77882594</t>
  </si>
  <si>
    <t>105.75483468</t>
  </si>
  <si>
    <t>Змеиново</t>
  </si>
  <si>
    <t>57.77760406</t>
  </si>
  <si>
    <t>108.30443072</t>
  </si>
  <si>
    <t>Визирный</t>
  </si>
  <si>
    <t>58.89353946</t>
  </si>
  <si>
    <t>111.25585574</t>
  </si>
  <si>
    <t>Дарьино</t>
  </si>
  <si>
    <t>58.31796401</t>
  </si>
  <si>
    <t>109.65694141</t>
  </si>
  <si>
    <t>Витим</t>
  </si>
  <si>
    <t>59.44912739</t>
  </si>
  <si>
    <t>112.57888783</t>
  </si>
  <si>
    <t>Пеледуй</t>
  </si>
  <si>
    <t>59.61511508</t>
  </si>
  <si>
    <t>112.75662172</t>
  </si>
  <si>
    <t>Крестовский</t>
  </si>
  <si>
    <t>59.77224366</t>
  </si>
  <si>
    <t>113.27270020</t>
  </si>
  <si>
    <t>с. Хамра</t>
  </si>
  <si>
    <t>60.21646247</t>
  </si>
  <si>
    <t>114.11195352</t>
  </si>
  <si>
    <t>Ленск</t>
  </si>
  <si>
    <t>60.71465934</t>
  </si>
  <si>
    <t>114.93343819</t>
  </si>
  <si>
    <t>с. Мурья</t>
  </si>
  <si>
    <t>60.73081094</t>
  </si>
  <si>
    <t>115.29092385</t>
  </si>
  <si>
    <t>с. Батамай</t>
  </si>
  <si>
    <t>60.75354726</t>
  </si>
  <si>
    <t>115.60866906</t>
  </si>
  <si>
    <t>Нюя</t>
  </si>
  <si>
    <t>60.53188422</t>
  </si>
  <si>
    <t>116.20424736</t>
  </si>
  <si>
    <t>с. Турукта</t>
  </si>
  <si>
    <t>60.47813365</t>
  </si>
  <si>
    <t>116.52800671</t>
  </si>
  <si>
    <t>Мача</t>
  </si>
  <si>
    <t>59.90672050</t>
  </si>
  <si>
    <t>117.58700121</t>
  </si>
  <si>
    <t>с. Дельгей</t>
  </si>
  <si>
    <t>59.90350415</t>
  </si>
  <si>
    <t>118.61060254</t>
  </si>
  <si>
    <t>с. Дабан</t>
  </si>
  <si>
    <t>60.12123084</t>
  </si>
  <si>
    <t>119.21322639</t>
  </si>
  <si>
    <t>с. 1-Нерюктяйинск</t>
  </si>
  <si>
    <t>60.25418098</t>
  </si>
  <si>
    <t>119.67383281</t>
  </si>
  <si>
    <t>с. Кыллах</t>
  </si>
  <si>
    <t>60.20610967</t>
  </si>
  <si>
    <t>119.92823497</t>
  </si>
  <si>
    <t>Олёкминск</t>
  </si>
  <si>
    <t>60.36619014</t>
  </si>
  <si>
    <t>120.43821085</t>
  </si>
  <si>
    <t>Солянка</t>
  </si>
  <si>
    <t>60.47007830</t>
  </si>
  <si>
    <t>120.72563637</t>
  </si>
  <si>
    <t>с. Хоринцы</t>
  </si>
  <si>
    <t>60.65962653</t>
  </si>
  <si>
    <t>121.44162793</t>
  </si>
  <si>
    <t>Хатынг-Тумул</t>
  </si>
  <si>
    <t>60.58694456</t>
  </si>
  <si>
    <t>122.89453889</t>
  </si>
  <si>
    <t>Саныяхтах</t>
  </si>
  <si>
    <t>60.58428413</t>
  </si>
  <si>
    <t>124.07354820</t>
  </si>
  <si>
    <t>с. Кытыл-Дюра</t>
  </si>
  <si>
    <t>60.96628773</t>
  </si>
  <si>
    <t>125.92633439</t>
  </si>
  <si>
    <t>с. Едей</t>
  </si>
  <si>
    <t>61.10395249</t>
  </si>
  <si>
    <t>126.37368393</t>
  </si>
  <si>
    <t>с. Синск</t>
  </si>
  <si>
    <t>61.12717011</t>
  </si>
  <si>
    <t>126.83373642</t>
  </si>
  <si>
    <t>с. Чкалов</t>
  </si>
  <si>
    <t>61.18606402</t>
  </si>
  <si>
    <t>127.75759013</t>
  </si>
  <si>
    <t>с. Тойон-Ары</t>
  </si>
  <si>
    <t>61.22985979</t>
  </si>
  <si>
    <t>128.37537619</t>
  </si>
  <si>
    <t>с. Кысыл-Юрюя</t>
  </si>
  <si>
    <t>61.36096525</t>
  </si>
  <si>
    <t>129.02422311</t>
  </si>
  <si>
    <t>Покровск</t>
  </si>
  <si>
    <t>61.47698603</t>
  </si>
  <si>
    <t>129.14082039</t>
  </si>
  <si>
    <t>с. Хоточчу</t>
  </si>
  <si>
    <t>61.53929134</t>
  </si>
  <si>
    <t>129.40079372</t>
  </si>
  <si>
    <t>с. Октемцы</t>
  </si>
  <si>
    <t>61.66802204</t>
  </si>
  <si>
    <t>129.43993252</t>
  </si>
  <si>
    <t>с. Рассолода</t>
  </si>
  <si>
    <t>61.67780240</t>
  </si>
  <si>
    <t>129.64583621</t>
  </si>
  <si>
    <t>Табага</t>
  </si>
  <si>
    <t>61.81498518</t>
  </si>
  <si>
    <t>129.66129768</t>
  </si>
  <si>
    <t>с. Хаптагай</t>
  </si>
  <si>
    <t>61.79340800</t>
  </si>
  <si>
    <t>129.78190608</t>
  </si>
  <si>
    <t>с. Хатассы</t>
  </si>
  <si>
    <t>61.90452530</t>
  </si>
  <si>
    <t>129.65075679</t>
  </si>
  <si>
    <t>с. Павловск</t>
  </si>
  <si>
    <t>61.87864473</t>
  </si>
  <si>
    <t>129.83306117</t>
  </si>
  <si>
    <t>п. Нижний Бестях</t>
  </si>
  <si>
    <t>61.95799630</t>
  </si>
  <si>
    <t>129.90069575</t>
  </si>
  <si>
    <t>с. Пригородный</t>
  </si>
  <si>
    <t>61.98053098</t>
  </si>
  <si>
    <t>129.71625427</t>
  </si>
  <si>
    <t>Якутск</t>
  </si>
  <si>
    <t>62.07085200</t>
  </si>
  <si>
    <t>129.81253136</t>
  </si>
  <si>
    <t>с. Техтюр</t>
  </si>
  <si>
    <t>62.10641637</t>
  </si>
  <si>
    <t>130.00067852</t>
  </si>
  <si>
    <t>пгт. Жатай</t>
  </si>
  <si>
    <t>62.16241992</t>
  </si>
  <si>
    <t>129.85682629</t>
  </si>
  <si>
    <t>с. Тулагино</t>
  </si>
  <si>
    <t>62.24264844</t>
  </si>
  <si>
    <t>129.87674893</t>
  </si>
  <si>
    <t>Кангалассы</t>
  </si>
  <si>
    <t>62.36529597</t>
  </si>
  <si>
    <t>130.02281654</t>
  </si>
  <si>
    <t>с. Хапчагай</t>
  </si>
  <si>
    <t>62.37411442</t>
  </si>
  <si>
    <t>130.13836087</t>
  </si>
  <si>
    <t>с. Огородтах</t>
  </si>
  <si>
    <t>62.43438960</t>
  </si>
  <si>
    <t>130.10917843</t>
  </si>
  <si>
    <t>с. Хоногор</t>
  </si>
  <si>
    <t>62.46471980</t>
  </si>
  <si>
    <t>130.10849179</t>
  </si>
  <si>
    <t>с. Ары-Тит</t>
  </si>
  <si>
    <t>62.50912127</t>
  </si>
  <si>
    <t>130.03291638</t>
  </si>
  <si>
    <t>с. Ымыяхтаах</t>
  </si>
  <si>
    <t>62.45328398</t>
  </si>
  <si>
    <t>129.91550000</t>
  </si>
  <si>
    <t>с.Кысыл-Сыр</t>
  </si>
  <si>
    <t>62.54322136</t>
  </si>
  <si>
    <t>129.79724638</t>
  </si>
  <si>
    <t>с. Партизан</t>
  </si>
  <si>
    <t>62.58403451</t>
  </si>
  <si>
    <t>129.79587309</t>
  </si>
  <si>
    <t>с. Никольский</t>
  </si>
  <si>
    <t>62.63096048</t>
  </si>
  <si>
    <t>129.73515759</t>
  </si>
  <si>
    <t>с. Крест-Кытыл</t>
  </si>
  <si>
    <t>62.66944813</t>
  </si>
  <si>
    <t>с. Хатас</t>
  </si>
  <si>
    <t>62.68010186</t>
  </si>
  <si>
    <t>129.90307073</t>
  </si>
  <si>
    <t>с. Намцы</t>
  </si>
  <si>
    <t>62.71773732</t>
  </si>
  <si>
    <t>129.70257024</t>
  </si>
  <si>
    <t>с. Аппаны</t>
  </si>
  <si>
    <t>62.75490568</t>
  </si>
  <si>
    <t>129.67903723</t>
  </si>
  <si>
    <t>с. Кысыл-Деревня</t>
  </si>
  <si>
    <t>62.77945238</t>
  </si>
  <si>
    <t>129.64858546</t>
  </si>
  <si>
    <t>с. Бютяй-Юрдя</t>
  </si>
  <si>
    <t>62.82944327</t>
  </si>
  <si>
    <t>129.61278118</t>
  </si>
  <si>
    <t>с. Тумул</t>
  </si>
  <si>
    <t>62.90442550</t>
  </si>
  <si>
    <t>129.59969891</t>
  </si>
  <si>
    <t>с.Столбы (Хатырык)</t>
  </si>
  <si>
    <t>63.00466038</t>
  </si>
  <si>
    <t>129.54991711</t>
  </si>
  <si>
    <t>с.Маймага</t>
  </si>
  <si>
    <t>63.04201434</t>
  </si>
  <si>
    <t>129.53792227</t>
  </si>
  <si>
    <t>с.Фрунзе</t>
  </si>
  <si>
    <t>63.07536793</t>
  </si>
  <si>
    <t>129.72442158</t>
  </si>
  <si>
    <t>с.Харыялах</t>
  </si>
  <si>
    <t>63.14089761</t>
  </si>
  <si>
    <t>129.72030171</t>
  </si>
  <si>
    <t>с.Булус</t>
  </si>
  <si>
    <t>63.31178511</t>
  </si>
  <si>
    <t>129.46783669</t>
  </si>
  <si>
    <t>с. Сыгыннах</t>
  </si>
  <si>
    <t>63.36665757</t>
  </si>
  <si>
    <t>129.66267245</t>
  </si>
  <si>
    <t>с. Ситте</t>
  </si>
  <si>
    <t>63.48968379</t>
  </si>
  <si>
    <t>128.04107330</t>
  </si>
  <si>
    <t>Сангары</t>
  </si>
  <si>
    <t>63.92658251</t>
  </si>
  <si>
    <t>127.46566284</t>
  </si>
  <si>
    <t>Лунгха</t>
  </si>
  <si>
    <t>с. Аргас</t>
  </si>
  <si>
    <t>63.96325163</t>
  </si>
  <si>
    <t>126.60808255</t>
  </si>
  <si>
    <t>Жиганск</t>
  </si>
  <si>
    <t>66.77138280</t>
  </si>
  <si>
    <t>123.38089455</t>
  </si>
  <si>
    <t>Джарджан</t>
  </si>
  <si>
    <t>68.73628920</t>
  </si>
  <si>
    <t>124.01777578</t>
  </si>
  <si>
    <t>Кюсюр</t>
  </si>
  <si>
    <t>70.68595424</t>
  </si>
  <si>
    <t>127.35228050</t>
  </si>
  <si>
    <t>Хабарова</t>
  </si>
  <si>
    <t>72.40139844</t>
  </si>
  <si>
    <t>126.81311185</t>
  </si>
  <si>
    <t>Иннялы</t>
  </si>
  <si>
    <t>59.51425124</t>
  </si>
  <si>
    <t>111.21244890</t>
  </si>
  <si>
    <t>Комака</t>
  </si>
  <si>
    <t>60.13176036</t>
  </si>
  <si>
    <t>111.58136922</t>
  </si>
  <si>
    <t>с. Орто-Нахара</t>
  </si>
  <si>
    <t>60.82437024</t>
  </si>
  <si>
    <t>114.33302019</t>
  </si>
  <si>
    <t>Курум</t>
  </si>
  <si>
    <t>60.96825354</t>
  </si>
  <si>
    <t>115.47758841</t>
  </si>
  <si>
    <t>Б.Патома</t>
  </si>
  <si>
    <t>Патома</t>
  </si>
  <si>
    <t>60.07877245</t>
  </si>
  <si>
    <t>116.89695020</t>
  </si>
  <si>
    <t>Романовка</t>
  </si>
  <si>
    <t>53.21621046</t>
  </si>
  <si>
    <t>112.77855214</t>
  </si>
  <si>
    <t>Калакан</t>
  </si>
  <si>
    <t>55.12573230</t>
  </si>
  <si>
    <t>116.76479419</t>
  </si>
  <si>
    <t>Неляты</t>
  </si>
  <si>
    <t>56.49052223</t>
  </si>
  <si>
    <t>115.70402139</t>
  </si>
  <si>
    <t>Бодайбо</t>
  </si>
  <si>
    <t>57.85104203</t>
  </si>
  <si>
    <t>114.20629278</t>
  </si>
  <si>
    <t>Олёкма</t>
  </si>
  <si>
    <t>Ср.Олёкма</t>
  </si>
  <si>
    <t>55.42586788</t>
  </si>
  <si>
    <t>120.54365474</t>
  </si>
  <si>
    <t>Джекемда</t>
  </si>
  <si>
    <t>59.03607406</t>
  </si>
  <si>
    <t>121.76937988</t>
  </si>
  <si>
    <t>Куду-Кюель</t>
  </si>
  <si>
    <t>59.43802895</t>
  </si>
  <si>
    <t>121.31413390</t>
  </si>
  <si>
    <t>с. Троицк</t>
  </si>
  <si>
    <t>60.34763041</t>
  </si>
  <si>
    <t>120.67149672</t>
  </si>
  <si>
    <t>Чара</t>
  </si>
  <si>
    <t>58.76599370</t>
  </si>
  <si>
    <t>118.14119612</t>
  </si>
  <si>
    <t>с. Бясь-Кюель</t>
  </si>
  <si>
    <t>59.46788385</t>
  </si>
  <si>
    <t>119.31331190</t>
  </si>
  <si>
    <t>Токко</t>
  </si>
  <si>
    <t>59.98449990</t>
  </si>
  <si>
    <t>119.83372619</t>
  </si>
  <si>
    <t>Тээнэ</t>
  </si>
  <si>
    <t>Тяня</t>
  </si>
  <si>
    <t>59.05650510</t>
  </si>
  <si>
    <t>119.79131793</t>
  </si>
  <si>
    <t>Бролог</t>
  </si>
  <si>
    <t>61.06607608</t>
  </si>
  <si>
    <t>128.66338397</t>
  </si>
  <si>
    <t>Шестаковка</t>
  </si>
  <si>
    <t>Камырдагыстах</t>
  </si>
  <si>
    <t>61.92809352</t>
  </si>
  <si>
    <t>129.55023335</t>
  </si>
  <si>
    <t>Чакыя</t>
  </si>
  <si>
    <t>с. Магарас</t>
  </si>
  <si>
    <t>62.14385399</t>
  </si>
  <si>
    <t>128.06454097</t>
  </si>
  <si>
    <t>Матта</t>
  </si>
  <si>
    <t>с. Бердигестях</t>
  </si>
  <si>
    <t>62.09850179</t>
  </si>
  <si>
    <t>126.70309459</t>
  </si>
  <si>
    <t>Дюктюэне</t>
  </si>
  <si>
    <t>62.76894753</t>
  </si>
  <si>
    <t>127.08469783</t>
  </si>
  <si>
    <t>Хар-Балаган</t>
  </si>
  <si>
    <t>с. Ерт</t>
  </si>
  <si>
    <t>62.01750213</t>
  </si>
  <si>
    <t>125.78985606</t>
  </si>
  <si>
    <t>Суола</t>
  </si>
  <si>
    <t>с. Алтанцы</t>
  </si>
  <si>
    <t>61.47473431</t>
  </si>
  <si>
    <t>131.50152271</t>
  </si>
  <si>
    <t>с. Сатагай</t>
  </si>
  <si>
    <t>61.56919132</t>
  </si>
  <si>
    <t>131.53534000</t>
  </si>
  <si>
    <t>с. Суола</t>
  </si>
  <si>
    <t>61.72383413</t>
  </si>
  <si>
    <t>131.03450847</t>
  </si>
  <si>
    <t>с. Чагда</t>
  </si>
  <si>
    <t>63.37443041</t>
  </si>
  <si>
    <t>125.52228236</t>
  </si>
  <si>
    <t>Алдан</t>
  </si>
  <si>
    <t>Суон-Тит</t>
  </si>
  <si>
    <t>58.07102154</t>
  </si>
  <si>
    <t>123.71855982</t>
  </si>
  <si>
    <t>с. Хатыстыр</t>
  </si>
  <si>
    <t>58.92511554</t>
  </si>
  <si>
    <t>125.14445375</t>
  </si>
  <si>
    <t>Томмот</t>
  </si>
  <si>
    <t>58.97859165</t>
  </si>
  <si>
    <t>126.26437653</t>
  </si>
  <si>
    <t>Угино</t>
  </si>
  <si>
    <t>58.67240760</t>
  </si>
  <si>
    <t>128.53215774</t>
  </si>
  <si>
    <t>Учур</t>
  </si>
  <si>
    <t>58.72573946</t>
  </si>
  <si>
    <t>130.69921096</t>
  </si>
  <si>
    <t>Белькачи</t>
  </si>
  <si>
    <t>59.18223780</t>
  </si>
  <si>
    <t>131.90588800</t>
  </si>
  <si>
    <t>Усть-Миль</t>
  </si>
  <si>
    <t>59.63844342</t>
  </si>
  <si>
    <t>133.11589707</t>
  </si>
  <si>
    <t>Чаран (Петропавловск)</t>
  </si>
  <si>
    <t>60.36592754</t>
  </si>
  <si>
    <t>134.45725906</t>
  </si>
  <si>
    <t>с. Эжанцы</t>
  </si>
  <si>
    <t>60.47391600</t>
  </si>
  <si>
    <t>135.14662292</t>
  </si>
  <si>
    <t>Эльдикан</t>
  </si>
  <si>
    <t>60.77482206</t>
  </si>
  <si>
    <t>135.14742363</t>
  </si>
  <si>
    <t>с. Кюпцы</t>
  </si>
  <si>
    <t>60.86182694</t>
  </si>
  <si>
    <t>135.33284265</t>
  </si>
  <si>
    <t>Охот.Перевоз</t>
  </si>
  <si>
    <t>61.87832364</t>
  </si>
  <si>
    <t>135.52370537</t>
  </si>
  <si>
    <t>с. Джебарики-Хая</t>
  </si>
  <si>
    <t>62.21695822</t>
  </si>
  <si>
    <t>135.84728823</t>
  </si>
  <si>
    <t>с. Новый</t>
  </si>
  <si>
    <t>62.58800372</t>
  </si>
  <si>
    <t>135.53451881</t>
  </si>
  <si>
    <t>Хандыга</t>
  </si>
  <si>
    <t>62.64986311</t>
  </si>
  <si>
    <t>135.55446720</t>
  </si>
  <si>
    <t>с. Кэскил</t>
  </si>
  <si>
    <t>62.64958356</t>
  </si>
  <si>
    <t>135.01129494</t>
  </si>
  <si>
    <t>с. Мегино-Алдан</t>
  </si>
  <si>
    <t>62.70469047</t>
  </si>
  <si>
    <t>134.62041465</t>
  </si>
  <si>
    <t>Крест-Хальджай</t>
  </si>
  <si>
    <t>62.80363896</t>
  </si>
  <si>
    <t>134.48112000</t>
  </si>
  <si>
    <t>с. Хара-Алдан</t>
  </si>
  <si>
    <t>63.26516609</t>
  </si>
  <si>
    <t>133.22543465</t>
  </si>
  <si>
    <t>Верх.Перевоз</t>
  </si>
  <si>
    <t>63.31754360</t>
  </si>
  <si>
    <t>131.95546616</t>
  </si>
  <si>
    <t>с. Кылайы</t>
  </si>
  <si>
    <t>63.22870258</t>
  </si>
  <si>
    <t>132.12695143</t>
  </si>
  <si>
    <t>с. Чериктей</t>
  </si>
  <si>
    <t>63.23598152</t>
  </si>
  <si>
    <t>130.99574446</t>
  </si>
  <si>
    <t>с. Дыгдал</t>
  </si>
  <si>
    <t>63.30635504</t>
  </si>
  <si>
    <t>130.38486220</t>
  </si>
  <si>
    <t>Батамай</t>
  </si>
  <si>
    <t>63.52144260</t>
  </si>
  <si>
    <t>129.42517746</t>
  </si>
  <si>
    <t>Б.Нимныр</t>
  </si>
  <si>
    <t>58.03812675</t>
  </si>
  <si>
    <t>125.47892730</t>
  </si>
  <si>
    <t>Якокит</t>
  </si>
  <si>
    <t>58.89989114</t>
  </si>
  <si>
    <t>125.83221327</t>
  </si>
  <si>
    <t>Радио-Уруйэтэ</t>
  </si>
  <si>
    <t>1.8 км от устья</t>
  </si>
  <si>
    <t>58.94158761</t>
  </si>
  <si>
    <t>126.33877219</t>
  </si>
  <si>
    <t>Тимптон</t>
  </si>
  <si>
    <t>Нагорный</t>
  </si>
  <si>
    <t>55.95178597</t>
  </si>
  <si>
    <t>124.91501273</t>
  </si>
  <si>
    <t>Усть-Баралас</t>
  </si>
  <si>
    <t>56.96995675</t>
  </si>
  <si>
    <t>125.39532126</t>
  </si>
  <si>
    <t>Усть-Тимптон</t>
  </si>
  <si>
    <t>58.73444194</t>
  </si>
  <si>
    <t>127.18540610</t>
  </si>
  <si>
    <t>Иенгра</t>
  </si>
  <si>
    <t>Золотинка</t>
  </si>
  <si>
    <t>56.18294565</t>
  </si>
  <si>
    <t>124.85298206</t>
  </si>
  <si>
    <t>Чульман</t>
  </si>
  <si>
    <t>56.86095032</t>
  </si>
  <si>
    <t>124.89703062</t>
  </si>
  <si>
    <t>В.Нерюнга</t>
  </si>
  <si>
    <t>Нерюнгри</t>
  </si>
  <si>
    <t>56.66630578</t>
  </si>
  <si>
    <t>124.66915640</t>
  </si>
  <si>
    <t>Б.Хатами</t>
  </si>
  <si>
    <t>57.37766850</t>
  </si>
  <si>
    <t>124.89221943</t>
  </si>
  <si>
    <t>Б.Ыллымах</t>
  </si>
  <si>
    <t>Ыллымах</t>
  </si>
  <si>
    <t>58.58122181</t>
  </si>
  <si>
    <t>126.68861808</t>
  </si>
  <si>
    <t>Чюльбю</t>
  </si>
  <si>
    <t>57.83253096</t>
  </si>
  <si>
    <t>131.04338427</t>
  </si>
  <si>
    <t>Мая</t>
  </si>
  <si>
    <t>Нелькан</t>
  </si>
  <si>
    <t>59.78136517</t>
  </si>
  <si>
    <t>134.80648459</t>
  </si>
  <si>
    <t>Аим</t>
  </si>
  <si>
    <t>58.77272617</t>
  </si>
  <si>
    <t>134.25201040</t>
  </si>
  <si>
    <t>Усть-Юдома</t>
  </si>
  <si>
    <t>59.16216686</t>
  </si>
  <si>
    <t>135.16221598</t>
  </si>
  <si>
    <t>Чабда</t>
  </si>
  <si>
    <t>59.77705590</t>
  </si>
  <si>
    <t>134.81419843</t>
  </si>
  <si>
    <t>Аллах-Юнь</t>
  </si>
  <si>
    <t>Аллах</t>
  </si>
  <si>
    <t>61.13734481</t>
  </si>
  <si>
    <t>138.05637778</t>
  </si>
  <si>
    <t>Таатта</t>
  </si>
  <si>
    <t>с.Харбала-2</t>
  </si>
  <si>
    <t>62.03736499</t>
  </si>
  <si>
    <t>132.74058022</t>
  </si>
  <si>
    <t>с. Черкех</t>
  </si>
  <si>
    <t>62.18217525</t>
  </si>
  <si>
    <t>133.23426505</t>
  </si>
  <si>
    <t>с. Боробул</t>
  </si>
  <si>
    <t>62.27879072</t>
  </si>
  <si>
    <t>133.50068351</t>
  </si>
  <si>
    <t>Амга</t>
  </si>
  <si>
    <t>Буяга</t>
  </si>
  <si>
    <t>59.64856824</t>
  </si>
  <si>
    <t>127.11296500</t>
  </si>
  <si>
    <t>60.89936631</t>
  </si>
  <si>
    <t>132.01838005</t>
  </si>
  <si>
    <t>с. Абага</t>
  </si>
  <si>
    <t>61.04971823</t>
  </si>
  <si>
    <t>132.32055981</t>
  </si>
  <si>
    <t>с. Мяндиги</t>
  </si>
  <si>
    <t>61.18220822</t>
  </si>
  <si>
    <t>132.56368243</t>
  </si>
  <si>
    <t>с. Мындагай</t>
  </si>
  <si>
    <t>61.64299639</t>
  </si>
  <si>
    <t>133.21708485</t>
  </si>
  <si>
    <t>с. Мырыла</t>
  </si>
  <si>
    <t>61.84499621</t>
  </si>
  <si>
    <t>133.67851426</t>
  </si>
  <si>
    <t>с. Дайа-Амгата</t>
  </si>
  <si>
    <t>61.90711760</t>
  </si>
  <si>
    <t>133.63044907</t>
  </si>
  <si>
    <t>Терють (Харбалах)</t>
  </si>
  <si>
    <t>62.20016481</t>
  </si>
  <si>
    <t>134.25495613</t>
  </si>
  <si>
    <t>с. Чымнайы</t>
  </si>
  <si>
    <t>62.24043598</t>
  </si>
  <si>
    <t>134.54416582</t>
  </si>
  <si>
    <t>Томпо</t>
  </si>
  <si>
    <t>63.91377153</t>
  </si>
  <si>
    <t>135.85570441</t>
  </si>
  <si>
    <t>Вилюй</t>
  </si>
  <si>
    <t>Усть-Амбардах</t>
  </si>
  <si>
    <t>64.05786405</t>
  </si>
  <si>
    <t>109.38467524</t>
  </si>
  <si>
    <t>Вилюйская ГЭС</t>
  </si>
  <si>
    <t>63.03184049</t>
  </si>
  <si>
    <t>112.48089255</t>
  </si>
  <si>
    <t>Сюльдюкар</t>
  </si>
  <si>
    <t>63.22720291</t>
  </si>
  <si>
    <t>113.72784079</t>
  </si>
  <si>
    <t>Крестях</t>
  </si>
  <si>
    <t>62.25649011</t>
  </si>
  <si>
    <t>116.16680564</t>
  </si>
  <si>
    <t>Сунтар</t>
  </si>
  <si>
    <t>62.15605809</t>
  </si>
  <si>
    <t>117.65899170</t>
  </si>
  <si>
    <t>Нюрба</t>
  </si>
  <si>
    <t>63.28064766</t>
  </si>
  <si>
    <t>118.36700905</t>
  </si>
  <si>
    <t>с. Хоро  (Булгунньахтах)</t>
  </si>
  <si>
    <t>63.52899249</t>
  </si>
  <si>
    <t>120.18078519</t>
  </si>
  <si>
    <t>Верхневилюйск</t>
  </si>
  <si>
    <t>63.45076961</t>
  </si>
  <si>
    <t>120.32008637</t>
  </si>
  <si>
    <t>Вилюйск</t>
  </si>
  <si>
    <t>63.75864148</t>
  </si>
  <si>
    <t>121.61415566</t>
  </si>
  <si>
    <t>Хатырык-Хомо</t>
  </si>
  <si>
    <t>63.95039823</t>
  </si>
  <si>
    <t>124.83237732</t>
  </si>
  <si>
    <t>Промышленный</t>
  </si>
  <si>
    <t>64.20191490</t>
  </si>
  <si>
    <t>126.40465636</t>
  </si>
  <si>
    <t>Чуркуо</t>
  </si>
  <si>
    <t>Лавинда</t>
  </si>
  <si>
    <t>63.32400660</t>
  </si>
  <si>
    <t>109.41330375</t>
  </si>
  <si>
    <t>Улахан-Эдьек</t>
  </si>
  <si>
    <t>Дальний</t>
  </si>
  <si>
    <t>63.58239887</t>
  </si>
  <si>
    <t>110.07008017</t>
  </si>
  <si>
    <t>Чона</t>
  </si>
  <si>
    <t>61.92491594</t>
  </si>
  <si>
    <t>109.60213437</t>
  </si>
  <si>
    <t>Ичода</t>
  </si>
  <si>
    <t>Майский</t>
  </si>
  <si>
    <t>NULL</t>
  </si>
  <si>
    <t>Дьэкиндэ</t>
  </si>
  <si>
    <t>Улар</t>
  </si>
  <si>
    <t>Ахтаранда</t>
  </si>
  <si>
    <t>Сюрях-Хая</t>
  </si>
  <si>
    <t>Батыр</t>
  </si>
  <si>
    <t>Ясный</t>
  </si>
  <si>
    <t>63.37621026</t>
  </si>
  <si>
    <t>111.98599280</t>
  </si>
  <si>
    <t>Улахан-Ботуобуйа</t>
  </si>
  <si>
    <t>Захар</t>
  </si>
  <si>
    <t>62.94670685</t>
  </si>
  <si>
    <t>112.80430259</t>
  </si>
  <si>
    <t>Марха</t>
  </si>
  <si>
    <t>Шелагонцы</t>
  </si>
  <si>
    <t>66.24811957</t>
  </si>
  <si>
    <t>114.29020347</t>
  </si>
  <si>
    <t>Чумпурук</t>
  </si>
  <si>
    <t>64.41616542</t>
  </si>
  <si>
    <t>116.88891135</t>
  </si>
  <si>
    <t>Малыкай</t>
  </si>
  <si>
    <t>63.50086776</t>
  </si>
  <si>
    <t>117.03129233</t>
  </si>
  <si>
    <t>Моркока</t>
  </si>
  <si>
    <t>Хабардино</t>
  </si>
  <si>
    <t>64.60665480</t>
  </si>
  <si>
    <t>112.51998362</t>
  </si>
  <si>
    <t>М.Куонапка</t>
  </si>
  <si>
    <t>Джалинда</t>
  </si>
  <si>
    <t>70.13792492</t>
  </si>
  <si>
    <t>113.99605192</t>
  </si>
  <si>
    <t>Анабар</t>
  </si>
  <si>
    <t>Саскылах</t>
  </si>
  <si>
    <t>71.96461484</t>
  </si>
  <si>
    <t>114.07678334</t>
  </si>
  <si>
    <t>Оленёк</t>
  </si>
  <si>
    <t>Ярольин</t>
  </si>
  <si>
    <t>67.10471457</t>
  </si>
  <si>
    <t>108.60281103</t>
  </si>
  <si>
    <t>68.50418186</t>
  </si>
  <si>
    <t>112.44547277</t>
  </si>
  <si>
    <t>Сухана</t>
  </si>
  <si>
    <t>68.71712048</t>
  </si>
  <si>
    <t>118.02333396</t>
  </si>
  <si>
    <t>Тюмяти</t>
  </si>
  <si>
    <t>71.90946373</t>
  </si>
  <si>
    <t>123.57350721</t>
  </si>
  <si>
    <t>Таймылыр</t>
  </si>
  <si>
    <t>72.60880271</t>
  </si>
  <si>
    <t>121.91869290</t>
  </si>
  <si>
    <t>Усть-Оленёк</t>
  </si>
  <si>
    <t>72.98811162</t>
  </si>
  <si>
    <t>119.81549771</t>
  </si>
  <si>
    <t>Яна</t>
  </si>
  <si>
    <t>Верхоянск</t>
  </si>
  <si>
    <t>67.54831001</t>
  </si>
  <si>
    <t>133.37949307</t>
  </si>
  <si>
    <t>Батагай</t>
  </si>
  <si>
    <t>67.65871400</t>
  </si>
  <si>
    <t>134.63193448</t>
  </si>
  <si>
    <t>Сайды</t>
  </si>
  <si>
    <t>68.68326233</t>
  </si>
  <si>
    <t>134.52408587</t>
  </si>
  <si>
    <t>Усть-Куйга</t>
  </si>
  <si>
    <t>70.00073483</t>
  </si>
  <si>
    <t>135.53259242</t>
  </si>
  <si>
    <t>Юбилейная</t>
  </si>
  <si>
    <t>70.74169395</t>
  </si>
  <si>
    <t>136.08411288</t>
  </si>
  <si>
    <t>с. Усть-Янск</t>
  </si>
  <si>
    <t>70.91354080</t>
  </si>
  <si>
    <t>136.44704040</t>
  </si>
  <si>
    <t>Нижнеянск</t>
  </si>
  <si>
    <t>71.44037366</t>
  </si>
  <si>
    <t>136.14092260</t>
  </si>
  <si>
    <t>Сартанг</t>
  </si>
  <si>
    <t>Юнкюр</t>
  </si>
  <si>
    <t>66.55281590</t>
  </si>
  <si>
    <t>132.89556713</t>
  </si>
  <si>
    <t>Бала</t>
  </si>
  <si>
    <t>67.17610980</t>
  </si>
  <si>
    <t>132.84023068</t>
  </si>
  <si>
    <t>Дулгалах</t>
  </si>
  <si>
    <t>Томтор</t>
  </si>
  <si>
    <t>67.20078260</t>
  </si>
  <si>
    <t>132.16076785</t>
  </si>
  <si>
    <t>Адыча</t>
  </si>
  <si>
    <t>Усть-Чаркы</t>
  </si>
  <si>
    <t>66.79013077</t>
  </si>
  <si>
    <t>136.68785674</t>
  </si>
  <si>
    <t>Урдюк-Кумах</t>
  </si>
  <si>
    <t>68.13398721</t>
  </si>
  <si>
    <t>134.98978457</t>
  </si>
  <si>
    <t>Бытантай</t>
  </si>
  <si>
    <t>Асар</t>
  </si>
  <si>
    <t>68.68186016</t>
  </si>
  <si>
    <t>134.32311208</t>
  </si>
  <si>
    <t>Индигирка</t>
  </si>
  <si>
    <t>Юрты</t>
  </si>
  <si>
    <t>64.04652882</t>
  </si>
  <si>
    <t>141.89483108</t>
  </si>
  <si>
    <t>Индигирский (Усть-Нера)</t>
  </si>
  <si>
    <t>64.55323783</t>
  </si>
  <si>
    <t>143.13695865</t>
  </si>
  <si>
    <t>Усть-Мома (Хонуу)</t>
  </si>
  <si>
    <t>66.43974736</t>
  </si>
  <si>
    <t>143.18914370</t>
  </si>
  <si>
    <t>Белая Гора</t>
  </si>
  <si>
    <t>68.53904361</t>
  </si>
  <si>
    <t>146.17572296</t>
  </si>
  <si>
    <t>Чокурдах</t>
  </si>
  <si>
    <t>70.61600368</t>
  </si>
  <si>
    <t>147.90194977</t>
  </si>
  <si>
    <t>Индигирская</t>
  </si>
  <si>
    <t>71.25821528</t>
  </si>
  <si>
    <t>150.28439118</t>
  </si>
  <si>
    <t>Агаякан</t>
  </si>
  <si>
    <t>63.33511232</t>
  </si>
  <si>
    <t>141.73723178</t>
  </si>
  <si>
    <t>Эльги</t>
  </si>
  <si>
    <t>5км выше у.Артык-Юрях</t>
  </si>
  <si>
    <t>64.47394718</t>
  </si>
  <si>
    <t>141.81875877</t>
  </si>
  <si>
    <t>Б.Артык-Юрях</t>
  </si>
  <si>
    <t>3.5 км от устья</t>
  </si>
  <si>
    <t>64.43743519</t>
  </si>
  <si>
    <t>141.86374232</t>
  </si>
  <si>
    <t>Селеннях</t>
  </si>
  <si>
    <t>с. Сайылык</t>
  </si>
  <si>
    <t>68.96355162</t>
  </si>
  <si>
    <t>138.41276109</t>
  </si>
  <si>
    <t>Колыма</t>
  </si>
  <si>
    <t>Среднекан</t>
  </si>
  <si>
    <t>62.44418342</t>
  </si>
  <si>
    <t>152.31740909</t>
  </si>
  <si>
    <t>Сеймчан</t>
  </si>
  <si>
    <t>62.91855012</t>
  </si>
  <si>
    <t>152.45614889</t>
  </si>
  <si>
    <t>Балыгычан</t>
  </si>
  <si>
    <t>63.91260839</t>
  </si>
  <si>
    <t>154.08785624</t>
  </si>
  <si>
    <t>Коркодон</t>
  </si>
  <si>
    <t>64.74174046</t>
  </si>
  <si>
    <t>153.98295908</t>
  </si>
  <si>
    <t>Зырянка</t>
  </si>
  <si>
    <t>65.73989686</t>
  </si>
  <si>
    <t>150.90138901</t>
  </si>
  <si>
    <t>Среднеколымск</t>
  </si>
  <si>
    <t>67.45682409</t>
  </si>
  <si>
    <t>153.71599186</t>
  </si>
  <si>
    <t>с. Налимск</t>
  </si>
  <si>
    <t>67.58882514</t>
  </si>
  <si>
    <t>153.64228722</t>
  </si>
  <si>
    <t>Колымский</t>
  </si>
  <si>
    <t>68.75361553</t>
  </si>
  <si>
    <t>161.32473411</t>
  </si>
  <si>
    <t>Черский</t>
  </si>
  <si>
    <t>68.73170807</t>
  </si>
  <si>
    <t>158.70724143</t>
  </si>
  <si>
    <t>с.Походск</t>
  </si>
  <si>
    <t>69.07680885</t>
  </si>
  <si>
    <t>160.98073498</t>
  </si>
  <si>
    <t>Ясачная</t>
  </si>
  <si>
    <t>Нелемное</t>
  </si>
  <si>
    <t>65.49757519</t>
  </si>
  <si>
    <t>151.07217901</t>
  </si>
  <si>
    <t>с. Верхнеколымск</t>
  </si>
  <si>
    <t>65.71745364</t>
  </si>
  <si>
    <t>150.83738873</t>
  </si>
  <si>
    <t>Берёзовка</t>
  </si>
  <si>
    <t>67.13342994</t>
  </si>
  <si>
    <t>156.58614589</t>
  </si>
  <si>
    <t>Алазея</t>
  </si>
  <si>
    <t>Сватай</t>
  </si>
  <si>
    <t>68.07005704</t>
  </si>
  <si>
    <t>151.78695185</t>
  </si>
  <si>
    <t>Аргахтах</t>
  </si>
  <si>
    <t>68.44450297</t>
  </si>
  <si>
    <t>153.37639222</t>
  </si>
  <si>
    <t>Андрюшкино</t>
  </si>
  <si>
    <t>69.17256150</t>
  </si>
  <si>
    <t>154.43590386</t>
  </si>
  <si>
    <t>№</t>
  </si>
  <si>
    <t>Регион</t>
  </si>
  <si>
    <t>Код_региона (ОКТМО)</t>
  </si>
  <si>
    <t>Тип_МО</t>
  </si>
  <si>
    <t>Код_типа_МО</t>
  </si>
  <si>
    <t>Наименование_МО</t>
  </si>
  <si>
    <t>Код_наименования_МО</t>
  </si>
  <si>
    <t>Тип_НП_МО</t>
  </si>
  <si>
    <t>Наименование ГО, наслега</t>
  </si>
  <si>
    <t>тип НП (сокр)</t>
  </si>
  <si>
    <t>тип НП</t>
  </si>
  <si>
    <t>Наименование НП</t>
  </si>
  <si>
    <t>Население
(на 2023 год)</t>
  </si>
  <si>
    <t>тип населения</t>
  </si>
  <si>
    <t>Сумма населения</t>
  </si>
  <si>
    <t>Тип</t>
  </si>
  <si>
    <t>в процентах</t>
  </si>
  <si>
    <t>Количество ошибок геопозиции</t>
  </si>
  <si>
    <t>Муниципальные образования Республики Саха (Якутия)</t>
  </si>
  <si>
    <t>Измененный н.п.</t>
  </si>
  <si>
    <t>Городские округа Республики Саха (Якутии)</t>
  </si>
  <si>
    <t>Городской округ Город Якутск</t>
  </si>
  <si>
    <t>город Якутск</t>
  </si>
  <si>
    <t>г</t>
  </si>
  <si>
    <t>62.3488888888889</t>
  </si>
  <si>
    <t>129.968611111111</t>
  </si>
  <si>
    <t>Городское</t>
  </si>
  <si>
    <t>Ошибки (изменены вручную)</t>
  </si>
  <si>
    <t>Причина несовпадения с Координаты_ОКТМО</t>
  </si>
  <si>
    <t>формула не работает, не РС(Я)</t>
  </si>
  <si>
    <t>мкр</t>
  </si>
  <si>
    <t>Сельское</t>
  </si>
  <si>
    <t>Алданский</t>
  </si>
  <si>
    <t>город Алдан</t>
  </si>
  <si>
    <t>село</t>
  </si>
  <si>
    <t>Большой Нимныр</t>
  </si>
  <si>
    <t>старый ОКТМО</t>
  </si>
  <si>
    <t>с</t>
  </si>
  <si>
    <t>Маган</t>
  </si>
  <si>
    <t>62.1</t>
  </si>
  <si>
    <t>129.533333333333</t>
  </si>
  <si>
    <t>Верхневилюйский</t>
  </si>
  <si>
    <t>Намский</t>
  </si>
  <si>
    <t>Хомустах</t>
  </si>
  <si>
    <t>перепутали с Хомустахским Хомустахом</t>
  </si>
  <si>
    <t>Старая Табага</t>
  </si>
  <si>
    <t>61.8197222222222</t>
  </si>
  <si>
    <t>129.637777777778</t>
  </si>
  <si>
    <t>Ростат РС(Я)</t>
  </si>
  <si>
    <t>на 1 января 2023 года составила 997,6 тыс. человек</t>
  </si>
  <si>
    <t>Хомустахский</t>
  </si>
  <si>
    <t>есть Намский Хомустах</t>
  </si>
  <si>
    <t>61.855</t>
  </si>
  <si>
    <t>129.596388888889</t>
  </si>
  <si>
    <t>городской местности 670,3 тыс. человек</t>
  </si>
  <si>
    <t>Верхоянский</t>
  </si>
  <si>
    <t>Борулахский</t>
  </si>
  <si>
    <t>есть Дуглахский Томтор</t>
  </si>
  <si>
    <t>Тулагино</t>
  </si>
  <si>
    <t>62.255</t>
  </si>
  <si>
    <t>129.878611111111</t>
  </si>
  <si>
    <t>в сельской местности - 327,3 тыс. человек</t>
  </si>
  <si>
    <t>Эльгесский</t>
  </si>
  <si>
    <t>Юрдюк-Кумах</t>
  </si>
  <si>
    <t>участок (упразднен)</t>
  </si>
  <si>
    <t>Капитоновка</t>
  </si>
  <si>
    <t>62.3266666666667</t>
  </si>
  <si>
    <t>129.941111111111</t>
  </si>
  <si>
    <t>Вилюйский</t>
  </si>
  <si>
    <t>Баппагайинский</t>
  </si>
  <si>
    <t>Сортол</t>
  </si>
  <si>
    <t>Кильдемцы</t>
  </si>
  <si>
    <t>62.28</t>
  </si>
  <si>
    <t>129.81</t>
  </si>
  <si>
    <t>Тогусский</t>
  </si>
  <si>
    <t>Сеят</t>
  </si>
  <si>
    <t>Сырдах</t>
  </si>
  <si>
    <t>62.22</t>
  </si>
  <si>
    <t>129.84</t>
  </si>
  <si>
    <t>Количество МР</t>
  </si>
  <si>
    <t>Разница с суммой по ОКТМО</t>
  </si>
  <si>
    <t>Мегино-Кангаласский</t>
  </si>
  <si>
    <t>Мельжехсинский</t>
  </si>
  <si>
    <t>Хатассы</t>
  </si>
  <si>
    <t>61.9061111111111</t>
  </si>
  <si>
    <t>129.636388888889</t>
  </si>
  <si>
    <t>Население</t>
  </si>
  <si>
    <t>Морукский</t>
  </si>
  <si>
    <t>Владимировка</t>
  </si>
  <si>
    <t>61.8941666666667</t>
  </si>
  <si>
    <t>129.519722222222</t>
  </si>
  <si>
    <t>Мирнинский</t>
  </si>
  <si>
    <t>город Мирный</t>
  </si>
  <si>
    <t>Березовка</t>
  </si>
  <si>
    <t>Пригородный</t>
  </si>
  <si>
    <t>61.9727777777778</t>
  </si>
  <si>
    <t>129.688888888889</t>
  </si>
  <si>
    <t>Городской округ поселок Жатай</t>
  </si>
  <si>
    <t>Олекминский</t>
  </si>
  <si>
    <t>Кыллахский</t>
  </si>
  <si>
    <t>Кыллах</t>
  </si>
  <si>
    <t>Жатай</t>
  </si>
  <si>
    <t>п</t>
  </si>
  <si>
    <t>62.1658333333333</t>
  </si>
  <si>
    <t>129.8375</t>
  </si>
  <si>
    <t>Абыйский муниципальный район</t>
  </si>
  <si>
    <t>Оленекский</t>
  </si>
  <si>
    <t>Жилиндинский</t>
  </si>
  <si>
    <t>Жилинда</t>
  </si>
  <si>
    <t>8 значные номера</t>
  </si>
  <si>
    <t>Городские поселения Абыйского муниципального района</t>
  </si>
  <si>
    <t>поселок Белая Гора</t>
  </si>
  <si>
    <t>68.5375</t>
  </si>
  <si>
    <t>146.193333333333</t>
  </si>
  <si>
    <t>Алданский муниципальный район</t>
  </si>
  <si>
    <t>Оленек</t>
  </si>
  <si>
    <t>Сельские поселения Абыйского муниципального района</t>
  </si>
  <si>
    <t>Абыйский наслег</t>
  </si>
  <si>
    <t>Абый</t>
  </si>
  <si>
    <t>68.3936111111111</t>
  </si>
  <si>
    <t>145.068888888889</t>
  </si>
  <si>
    <t>Аллаиховский муниципальный район</t>
  </si>
  <si>
    <t>Шологонский</t>
  </si>
  <si>
    <t>Эйик</t>
  </si>
  <si>
    <t>Дёску</t>
  </si>
  <si>
    <t>68.37</t>
  </si>
  <si>
    <t>144.525</t>
  </si>
  <si>
    <t>Амгинский муниципальный район</t>
  </si>
  <si>
    <t>Хангаласский</t>
  </si>
  <si>
    <t>поселок Мохсоголлох</t>
  </si>
  <si>
    <t>поселок</t>
  </si>
  <si>
    <t>Мохсоголлох</t>
  </si>
  <si>
    <t>Майорский национальный наслег</t>
  </si>
  <si>
    <t>Куберганя</t>
  </si>
  <si>
    <t>67.7702777777778</t>
  </si>
  <si>
    <t>144.4875</t>
  </si>
  <si>
    <t>Анабарский национальный (долгано-эвенкийский) муниципальный район</t>
  </si>
  <si>
    <t>Сунтарский</t>
  </si>
  <si>
    <t>Тюбяй-Жарханский</t>
  </si>
  <si>
    <t>Арылах</t>
  </si>
  <si>
    <t>2 Арылаха в Сунтарском - другой  Жарханский</t>
  </si>
  <si>
    <t>Мугурдахский наслег</t>
  </si>
  <si>
    <t>Сыаганнах</t>
  </si>
  <si>
    <t>68.3708333333333</t>
  </si>
  <si>
    <t>143.633055555556</t>
  </si>
  <si>
    <t>Булунский муниципальный район</t>
  </si>
  <si>
    <t>Хаданский</t>
  </si>
  <si>
    <t>Толон</t>
  </si>
  <si>
    <t>2 Толона в Сунтарском - другой Толонский</t>
  </si>
  <si>
    <t>Уолбутский наслег</t>
  </si>
  <si>
    <t>Кенг-Кюёль</t>
  </si>
  <si>
    <t>68.0761111111111</t>
  </si>
  <si>
    <t>145.995277777778</t>
  </si>
  <si>
    <t>Верхневилюйский муниципальный район</t>
  </si>
  <si>
    <t>Усть-Алданский</t>
  </si>
  <si>
    <t>Борогонский</t>
  </si>
  <si>
    <t>Тумул</t>
  </si>
  <si>
    <t>отсутствовал</t>
  </si>
  <si>
    <t>Урасалахский наслег</t>
  </si>
  <si>
    <t>Сутуруоха</t>
  </si>
  <si>
    <t>68.5527777777778</t>
  </si>
  <si>
    <t>146.162222222222</t>
  </si>
  <si>
    <t>Верхнеколымский муниципальный район</t>
  </si>
  <si>
    <t>Легейский</t>
  </si>
  <si>
    <t>2 Хомустаха в Усть-Алданском - другой Батагайский</t>
  </si>
  <si>
    <t>Городские поселения Алданского муниципального района</t>
  </si>
  <si>
    <t>58.6030555555556</t>
  </si>
  <si>
    <t>125.384444444444</t>
  </si>
  <si>
    <t>Верхоянский муниципальный район</t>
  </si>
  <si>
    <t>Усть-Майский</t>
  </si>
  <si>
    <t>поселок Югоренок</t>
  </si>
  <si>
    <t>Югоренок</t>
  </si>
  <si>
    <t>Орочен 2-й</t>
  </si>
  <si>
    <t>58.5452777777778</t>
  </si>
  <si>
    <t>125.377777777778</t>
  </si>
  <si>
    <t>Вилюйский муниципальный район</t>
  </si>
  <si>
    <t>село Белькачи</t>
  </si>
  <si>
    <t>в ОКТМО 98654405000</t>
  </si>
  <si>
    <t>58.0416666666667</t>
  </si>
  <si>
    <t>125.482777777778</t>
  </si>
  <si>
    <t>Горный муниципальный район</t>
  </si>
  <si>
    <t>село Усть-Миль</t>
  </si>
  <si>
    <t>в ОКТМО 98654415000</t>
  </si>
  <si>
    <t>город Томмот</t>
  </si>
  <si>
    <t>58.9594444444444</t>
  </si>
  <si>
    <t>126.269722222222</t>
  </si>
  <si>
    <t>Жиганский национальный эвенкийский муниципальный район</t>
  </si>
  <si>
    <t>Усть-Янский</t>
  </si>
  <si>
    <t>Уяндинский</t>
  </si>
  <si>
    <t>Уянди</t>
  </si>
  <si>
    <t>в ОКТМО Уяндино написано</t>
  </si>
  <si>
    <t>Безымянный</t>
  </si>
  <si>
    <t>58.7436111111111</t>
  </si>
  <si>
    <t>126.387222222222</t>
  </si>
  <si>
    <t>Кобяйский муниципальный район</t>
  </si>
  <si>
    <t>Чурапчинский</t>
  </si>
  <si>
    <t>Чакырский</t>
  </si>
  <si>
    <t>2 Толона в Чурапчинском - другой Бахсытский</t>
  </si>
  <si>
    <t>58.5791666666667</t>
  </si>
  <si>
    <t>126.6875</t>
  </si>
  <si>
    <t>Ленский муниципальный район</t>
  </si>
  <si>
    <t>Верхняя Амга</t>
  </si>
  <si>
    <t>59.6488888888889</t>
  </si>
  <si>
    <t>127.116111111111</t>
  </si>
  <si>
    <t>Мегино-Кангаласский муниципальный район</t>
  </si>
  <si>
    <t>Улу</t>
  </si>
  <si>
    <t>60.315</t>
  </si>
  <si>
    <t>127.431666666667</t>
  </si>
  <si>
    <t>Мирнинский муниципальный район</t>
  </si>
  <si>
    <t>поселок Ленинский</t>
  </si>
  <si>
    <t>Ленинский</t>
  </si>
  <si>
    <t>58.5766666666667</t>
  </si>
  <si>
    <t>125.435277777778</t>
  </si>
  <si>
    <t>Момский муниципальный район</t>
  </si>
  <si>
    <t>Лебединый</t>
  </si>
  <si>
    <t>58.4922222222222</t>
  </si>
  <si>
    <t>125.501388888889</t>
  </si>
  <si>
    <t>Намский муниципальный район</t>
  </si>
  <si>
    <t>Орочен 1-й</t>
  </si>
  <si>
    <t>58.4841666666667</t>
  </si>
  <si>
    <t>125.424166666667</t>
  </si>
  <si>
    <t>Нерюнгринский муниципальный район</t>
  </si>
  <si>
    <t>Якокут</t>
  </si>
  <si>
    <t>58.5283333333333</t>
  </si>
  <si>
    <t>125.716388888889</t>
  </si>
  <si>
    <t>Нижнеколымский муниципальный район</t>
  </si>
  <si>
    <t>поселок Нижний Куранах</t>
  </si>
  <si>
    <t>Нижний Куранах</t>
  </si>
  <si>
    <t>58.8175</t>
  </si>
  <si>
    <t>125.527222222222</t>
  </si>
  <si>
    <t>Нюрбинский муниципальный район</t>
  </si>
  <si>
    <t>Верхний Куранах</t>
  </si>
  <si>
    <t>58.755</t>
  </si>
  <si>
    <t>125.483333333333</t>
  </si>
  <si>
    <t>Оймяконский муниципальный район</t>
  </si>
  <si>
    <t>58.8975</t>
  </si>
  <si>
    <t>125.8375</t>
  </si>
  <si>
    <t>Олекминский муниципальный район</t>
  </si>
  <si>
    <t>Сельские поселения Алданского муниципального района</t>
  </si>
  <si>
    <t>Национальный наслег Анамы</t>
  </si>
  <si>
    <t>Кутана</t>
  </si>
  <si>
    <t>59.015</t>
  </si>
  <si>
    <t>131.744444444444</t>
  </si>
  <si>
    <t>Оленекский эвенкийский национальный муниципальный район</t>
  </si>
  <si>
    <t>Беллетский эвенкийский национальный наслег</t>
  </si>
  <si>
    <t>Хатыстыр</t>
  </si>
  <si>
    <t>58.9230555555556</t>
  </si>
  <si>
    <t>125.16</t>
  </si>
  <si>
    <t>Среднеколымский муниципальный район</t>
  </si>
  <si>
    <t>Угоян</t>
  </si>
  <si>
    <t>59.2536111111111</t>
  </si>
  <si>
    <t>125.290555555556</t>
  </si>
  <si>
    <t>Сунтарский муниципальный район</t>
  </si>
  <si>
    <t>Чагдинский наслег</t>
  </si>
  <si>
    <t>Чагда</t>
  </si>
  <si>
    <t>58.7494444444444</t>
  </si>
  <si>
    <t>130.608333333333</t>
  </si>
  <si>
    <t>Таттинский муниципальный район</t>
  </si>
  <si>
    <t>Сельские поселения Таттинского муниципального района</t>
  </si>
  <si>
    <t>Алданский наслег</t>
  </si>
  <si>
    <t>Булун</t>
  </si>
  <si>
    <t>63.0166666666667</t>
  </si>
  <si>
    <t>133.470833333333</t>
  </si>
  <si>
    <t>Томпонский муниципальный район</t>
  </si>
  <si>
    <t>Амгинский наслег</t>
  </si>
  <si>
    <t>Чычымах</t>
  </si>
  <si>
    <t>62.1222222222222</t>
  </si>
  <si>
    <t>134.345</t>
  </si>
  <si>
    <t>Усть-Алданский муниципальный район</t>
  </si>
  <si>
    <t>Баягинский наслег</t>
  </si>
  <si>
    <t>62.6552777777778</t>
  </si>
  <si>
    <t>132.927777777778</t>
  </si>
  <si>
    <t>Усть-Майский муниципальный район</t>
  </si>
  <si>
    <t>Дайа-Амгинский наслег</t>
  </si>
  <si>
    <t>Дайа-Амгата</t>
  </si>
  <si>
    <t>61.9091666666667</t>
  </si>
  <si>
    <t>133.611388888889</t>
  </si>
  <si>
    <t>Усть-Янский муниципальный район</t>
  </si>
  <si>
    <t>Жохсогонский наслег</t>
  </si>
  <si>
    <t>Боробул</t>
  </si>
  <si>
    <t>62.2797222222222</t>
  </si>
  <si>
    <t>133.494166666667</t>
  </si>
  <si>
    <t>Чурапчинский муниципальный район</t>
  </si>
  <si>
    <t>Даккы</t>
  </si>
  <si>
    <t>62.4755555555556</t>
  </si>
  <si>
    <t>133.631666666667</t>
  </si>
  <si>
    <t>Хангаласский муниципальный район</t>
  </si>
  <si>
    <t>Жулейский наслег</t>
  </si>
  <si>
    <t>Туора-Кюёль</t>
  </si>
  <si>
    <t>62.3319444444444</t>
  </si>
  <si>
    <t>132.942777777778</t>
  </si>
  <si>
    <t>Эвено-Бытантайский национальный муниципальный район</t>
  </si>
  <si>
    <t>Игидейский наслег</t>
  </si>
  <si>
    <t>Дебдирге</t>
  </si>
  <si>
    <t>62.4108333333333</t>
  </si>
  <si>
    <t>132.874722222222</t>
  </si>
  <si>
    <t>Октябрьский наслег</t>
  </si>
  <si>
    <t>Черкёх</t>
  </si>
  <si>
    <t>62.1847222222222</t>
  </si>
  <si>
    <t>133.224444444444</t>
  </si>
  <si>
    <t>Средне-Амгинский наслег</t>
  </si>
  <si>
    <t>Харбалах</t>
  </si>
  <si>
    <t>62.1975</t>
  </si>
  <si>
    <t>134.249722222222</t>
  </si>
  <si>
    <t>Таттинский наслег</t>
  </si>
  <si>
    <t>Ытык-Кюёль</t>
  </si>
  <si>
    <t>62.3602777777778</t>
  </si>
  <si>
    <t>133.543611111111</t>
  </si>
  <si>
    <t>Тыарасинский наслег</t>
  </si>
  <si>
    <t>Кыйы</t>
  </si>
  <si>
    <t>62.1161111111111</t>
  </si>
  <si>
    <t>133.025833333333</t>
  </si>
  <si>
    <t>Уолбинский наслег</t>
  </si>
  <si>
    <t>Уолба</t>
  </si>
  <si>
    <t>62.6325</t>
  </si>
  <si>
    <t>133.593611111111</t>
  </si>
  <si>
    <t>Усть-Амгинский наслег</t>
  </si>
  <si>
    <t>Чымнайи</t>
  </si>
  <si>
    <t>62.2466666666667</t>
  </si>
  <si>
    <t>134.538055555556</t>
  </si>
  <si>
    <t>Хара-Алданский наслег</t>
  </si>
  <si>
    <t>Хара-Алдан</t>
  </si>
  <si>
    <t>63.2608333333333</t>
  </si>
  <si>
    <t>133.225277777778</t>
  </si>
  <si>
    <t>Городские поселения Аллаиховского муниципального района</t>
  </si>
  <si>
    <t>поселок Чокурдах</t>
  </si>
  <si>
    <t>70.6194444444444</t>
  </si>
  <si>
    <t>147.898333333333</t>
  </si>
  <si>
    <t>Сельские поселения Аллаиховского муниципального района</t>
  </si>
  <si>
    <t>Береляхский наслег</t>
  </si>
  <si>
    <t>Чкалов</t>
  </si>
  <si>
    <t>70.5327777777778</t>
  </si>
  <si>
    <t>144.7025</t>
  </si>
  <si>
    <t>Быягнырский наслег</t>
  </si>
  <si>
    <t>Нычалах</t>
  </si>
  <si>
    <t>69.9338888888889</t>
  </si>
  <si>
    <t>146.209722222222</t>
  </si>
  <si>
    <t>Русско-Устьинский наслег</t>
  </si>
  <si>
    <t>Русское Устье</t>
  </si>
  <si>
    <t>71.1330555555556</t>
  </si>
  <si>
    <t>149.278888888889</t>
  </si>
  <si>
    <t>Юкагирский национальный наслег</t>
  </si>
  <si>
    <t>Оленегорск</t>
  </si>
  <si>
    <t>69.8113888888889</t>
  </si>
  <si>
    <t>147.486388888889</t>
  </si>
  <si>
    <t>Воронцово</t>
  </si>
  <si>
    <t>69.5758333333333</t>
  </si>
  <si>
    <t>147.532777777778</t>
  </si>
  <si>
    <t>Межселенные территории Аллаиховского муниципального района</t>
  </si>
  <si>
    <t>Территория Ойотунгского национального (кочевого) наслега</t>
  </si>
  <si>
    <t>Ойотунг</t>
  </si>
  <si>
    <t>70.6522222222222</t>
  </si>
  <si>
    <t>148.682777777778</t>
  </si>
  <si>
    <t>Сельские поселения Амгинского муниципального района</t>
  </si>
  <si>
    <t>Абагинский наслег</t>
  </si>
  <si>
    <t>Абага</t>
  </si>
  <si>
    <t>61.0430555555556</t>
  </si>
  <si>
    <t>132.283333333333</t>
  </si>
  <si>
    <t>Алтанский наслег</t>
  </si>
  <si>
    <t>Алтанцы</t>
  </si>
  <si>
    <t>61.4702777777778</t>
  </si>
  <si>
    <t>131.501944444444</t>
  </si>
  <si>
    <t>Амгино-Нахаринский наслег</t>
  </si>
  <si>
    <t>Оннёс</t>
  </si>
  <si>
    <t>60.4613888888889</t>
  </si>
  <si>
    <t>131.099444444444</t>
  </si>
  <si>
    <t>Ефремово</t>
  </si>
  <si>
    <t>60.4797222222222</t>
  </si>
  <si>
    <t>131.189722222222</t>
  </si>
  <si>
    <t>Тегюльтя</t>
  </si>
  <si>
    <t>60.1586111111111</t>
  </si>
  <si>
    <t>130.188611111111</t>
  </si>
  <si>
    <t>60.8972222222222</t>
  </si>
  <si>
    <t>131.980555555556</t>
  </si>
  <si>
    <t>Бетюнский наслег</t>
  </si>
  <si>
    <t>Бетюнцы</t>
  </si>
  <si>
    <t>60.9272222222222</t>
  </si>
  <si>
    <t>132.150277777778</t>
  </si>
  <si>
    <t>Уорай</t>
  </si>
  <si>
    <t>60.9027777777778</t>
  </si>
  <si>
    <t>132.197777777778</t>
  </si>
  <si>
    <t>Болугурский наслег</t>
  </si>
  <si>
    <t>Болугур</t>
  </si>
  <si>
    <t>60.6025</t>
  </si>
  <si>
    <t>131.473611111111</t>
  </si>
  <si>
    <t>Майский наслег</t>
  </si>
  <si>
    <t>Покровка</t>
  </si>
  <si>
    <t>60.7586111111111</t>
  </si>
  <si>
    <t>131.781388888889</t>
  </si>
  <si>
    <t>60.6861111111111</t>
  </si>
  <si>
    <t>131.601111111111</t>
  </si>
  <si>
    <t>Мяндигинский наслег</t>
  </si>
  <si>
    <t>Мяндиги</t>
  </si>
  <si>
    <t>61.1808333333333</t>
  </si>
  <si>
    <t>132.551388888889</t>
  </si>
  <si>
    <t>Сатагайский наслег</t>
  </si>
  <si>
    <t>Сатагай</t>
  </si>
  <si>
    <t>61.5658333333333</t>
  </si>
  <si>
    <t>131.529722222222</t>
  </si>
  <si>
    <t>Соморсунский наслег</t>
  </si>
  <si>
    <t>Михайловка</t>
  </si>
  <si>
    <t>61.2136111111111</t>
  </si>
  <si>
    <t>132.681111111111</t>
  </si>
  <si>
    <t>Сулгачинский наслег</t>
  </si>
  <si>
    <t>Сулгаччы</t>
  </si>
  <si>
    <t>61.5388888888889</t>
  </si>
  <si>
    <t>132.901944444444</t>
  </si>
  <si>
    <t>Серге-Бес</t>
  </si>
  <si>
    <t>61.4883333333333</t>
  </si>
  <si>
    <t>132.891666666667</t>
  </si>
  <si>
    <t>Чакырский наслег</t>
  </si>
  <si>
    <t>Чакыр 2-й</t>
  </si>
  <si>
    <t>60.8458333333333</t>
  </si>
  <si>
    <t>131.838611111111</t>
  </si>
  <si>
    <t>Чапчылганский наслег</t>
  </si>
  <si>
    <t>Чапчылган</t>
  </si>
  <si>
    <t>60.9133333333333</t>
  </si>
  <si>
    <t>132.031111111111</t>
  </si>
  <si>
    <t>Промкомбинат</t>
  </si>
  <si>
    <t>132.031944444444</t>
  </si>
  <si>
    <t>Эмисский наслег</t>
  </si>
  <si>
    <t>Эмиссы</t>
  </si>
  <si>
    <t>61.3775</t>
  </si>
  <si>
    <t>131.178611111111</t>
  </si>
  <si>
    <t>Олом-Кюёле</t>
  </si>
  <si>
    <t>61.2788888888889</t>
  </si>
  <si>
    <t>130.877777777778</t>
  </si>
  <si>
    <t>Сельские поселения Анабарского национального (долгано-эвенкийского) муниципального района</t>
  </si>
  <si>
    <t>Саскылахский национальный (эвенкийский) наслег</t>
  </si>
  <si>
    <t>71.9652777777778</t>
  </si>
  <si>
    <t>114.092222222222</t>
  </si>
  <si>
    <t>Эбелях</t>
  </si>
  <si>
    <t>70.8902777777778</t>
  </si>
  <si>
    <t>113.506944444444</t>
  </si>
  <si>
    <t>Юрюнг-Хаинский национальный (долганский) наслег</t>
  </si>
  <si>
    <t>Юрюнг-Хая</t>
  </si>
  <si>
    <t>72.8119444444444</t>
  </si>
  <si>
    <t>113.232222222222</t>
  </si>
  <si>
    <t>Городские поселения Булунского муниципального района</t>
  </si>
  <si>
    <t>поселок Тикси</t>
  </si>
  <si>
    <t>Тикси</t>
  </si>
  <si>
    <t>71.6336111111111</t>
  </si>
  <si>
    <t>128.865833333333</t>
  </si>
  <si>
    <t>Сельские поселения Булунского муниципального района</t>
  </si>
  <si>
    <t>Борогонский наслег</t>
  </si>
  <si>
    <t>Намы</t>
  </si>
  <si>
    <t>69.5205555555556</t>
  </si>
  <si>
    <t>132.228888888889</t>
  </si>
  <si>
    <t>Булунский национальный (эвенкийский) наслег</t>
  </si>
  <si>
    <t>70.6861111111111</t>
  </si>
  <si>
    <t>127.361666666667</t>
  </si>
  <si>
    <t>Чекуровка</t>
  </si>
  <si>
    <t>71.0458333333333</t>
  </si>
  <si>
    <t>127.523888888889</t>
  </si>
  <si>
    <t>Быковский национальный (эвенкийский) наслег</t>
  </si>
  <si>
    <t>Быковский</t>
  </si>
  <si>
    <t>72.0044444444444</t>
  </si>
  <si>
    <t>129.109444444444</t>
  </si>
  <si>
    <t>Сиктяхский наслег</t>
  </si>
  <si>
    <t>Сиктях</t>
  </si>
  <si>
    <t>69.9116666666667</t>
  </si>
  <si>
    <t>125.105</t>
  </si>
  <si>
    <t>Тюметинский национальный (эвенкийский) наслег</t>
  </si>
  <si>
    <t>72.6119444444444</t>
  </si>
  <si>
    <t>121.911944444444</t>
  </si>
  <si>
    <t>Склад</t>
  </si>
  <si>
    <t>71.9091666666667</t>
  </si>
  <si>
    <t>123.5725</t>
  </si>
  <si>
    <t>Усть-Оленек</t>
  </si>
  <si>
    <t>72.9861111111111</t>
  </si>
  <si>
    <t>119.818611111111</t>
  </si>
  <si>
    <t>Хара-Улахский национальный (эвенский) наслег</t>
  </si>
  <si>
    <t>Найба</t>
  </si>
  <si>
    <t>70.8494444444444</t>
  </si>
  <si>
    <t>130.755</t>
  </si>
  <si>
    <t>Сельские поселения Верхневилюйского муниципального района</t>
  </si>
  <si>
    <t>Балаганнахский наслег</t>
  </si>
  <si>
    <t>Балаганнах</t>
  </si>
  <si>
    <t>63.5308333333333</t>
  </si>
  <si>
    <t>120.571944444444</t>
  </si>
  <si>
    <t>Ботулунский наслег</t>
  </si>
  <si>
    <t>Ботулу</t>
  </si>
  <si>
    <t>64.1377777777778</t>
  </si>
  <si>
    <t>119.768888888889</t>
  </si>
  <si>
    <t>Кетердех</t>
  </si>
  <si>
    <t>64.2522222222222</t>
  </si>
  <si>
    <t>119.748888888889</t>
  </si>
  <si>
    <t>Кырыкыйский наслег</t>
  </si>
  <si>
    <t>Кырыкый</t>
  </si>
  <si>
    <t>63.9561111111111</t>
  </si>
  <si>
    <t>120.7125</t>
  </si>
  <si>
    <t>Быраканский наслег</t>
  </si>
  <si>
    <t>Быракан</t>
  </si>
  <si>
    <t>63.0158333333333</t>
  </si>
  <si>
    <t>121.230555555556</t>
  </si>
  <si>
    <t>Верхневилюйский наслег</t>
  </si>
  <si>
    <t>63.4447222222222</t>
  </si>
  <si>
    <t>120.319722222222</t>
  </si>
  <si>
    <t>Дюллюкинский наслег</t>
  </si>
  <si>
    <t>Дюллюкю</t>
  </si>
  <si>
    <t>63.6877777777778</t>
  </si>
  <si>
    <t>120.468888888889</t>
  </si>
  <si>
    <t>Бютейдях</t>
  </si>
  <si>
    <t>63.7980555555556</t>
  </si>
  <si>
    <t>120.495</t>
  </si>
  <si>
    <t>Далырский наслег</t>
  </si>
  <si>
    <t>Далыр</t>
  </si>
  <si>
    <t>63.8677777777778</t>
  </si>
  <si>
    <t>120.2475</t>
  </si>
  <si>
    <t>Быччагдан</t>
  </si>
  <si>
    <t>63.9108333333333</t>
  </si>
  <si>
    <t>120.062777777778</t>
  </si>
  <si>
    <t>Кулусуннах</t>
  </si>
  <si>
    <t>63.8077777777778</t>
  </si>
  <si>
    <t>120.147222222222</t>
  </si>
  <si>
    <t>Едюгейский наслег</t>
  </si>
  <si>
    <t>Андреевский</t>
  </si>
  <si>
    <t>63.4363888888889</t>
  </si>
  <si>
    <t>120.305</t>
  </si>
  <si>
    <t>Куду</t>
  </si>
  <si>
    <t>63.2694444444444</t>
  </si>
  <si>
    <t>120.449166666667</t>
  </si>
  <si>
    <t>Кэнтикский наслег</t>
  </si>
  <si>
    <t>Харыялах</t>
  </si>
  <si>
    <t>63.4733333333333</t>
  </si>
  <si>
    <t>120.154444444444</t>
  </si>
  <si>
    <t>Магасский наслег</t>
  </si>
  <si>
    <t>Харбала</t>
  </si>
  <si>
    <t>64.1116666666667</t>
  </si>
  <si>
    <t>120.313055555556</t>
  </si>
  <si>
    <t>Ченгере</t>
  </si>
  <si>
    <t>64.1791666666667</t>
  </si>
  <si>
    <t>120.192777777778</t>
  </si>
  <si>
    <t>Мэйикский наслег</t>
  </si>
  <si>
    <t>Сайылык</t>
  </si>
  <si>
    <t>63.8430555555556</t>
  </si>
  <si>
    <t>120.063611111111</t>
  </si>
  <si>
    <t>Май</t>
  </si>
  <si>
    <t>63.7927777777778</t>
  </si>
  <si>
    <t>119.859166666667</t>
  </si>
  <si>
    <t>Намский наслег</t>
  </si>
  <si>
    <t>63.475</t>
  </si>
  <si>
    <t>120.530555555556</t>
  </si>
  <si>
    <t>Онхойский наслег</t>
  </si>
  <si>
    <t>Липпе-Атах</t>
  </si>
  <si>
    <t>63.7172222222222</t>
  </si>
  <si>
    <t>119.864444444444</t>
  </si>
  <si>
    <t>Оргетский наслег</t>
  </si>
  <si>
    <t>Оргёт</t>
  </si>
  <si>
    <t>63.1483333333333</t>
  </si>
  <si>
    <t>120.906111111111</t>
  </si>
  <si>
    <t>Оросунский наслег</t>
  </si>
  <si>
    <t>Оросу</t>
  </si>
  <si>
    <t>63.5016666666667</t>
  </si>
  <si>
    <t>120.750833333333</t>
  </si>
  <si>
    <t>Сургулукский наслег</t>
  </si>
  <si>
    <t>Багадя</t>
  </si>
  <si>
    <t>64.3308333333333</t>
  </si>
  <si>
    <t>119.725833333333</t>
  </si>
  <si>
    <t>64.425</t>
  </si>
  <si>
    <t>119.755</t>
  </si>
  <si>
    <t>Тамалаканский наслег</t>
  </si>
  <si>
    <t>Тамалакан</t>
  </si>
  <si>
    <t>63.5155555555556</t>
  </si>
  <si>
    <t>120.838611111111</t>
  </si>
  <si>
    <t>Туобуйинский наслег</t>
  </si>
  <si>
    <t>Туобуя</t>
  </si>
  <si>
    <t>61.9786111111111</t>
  </si>
  <si>
    <t>122.064166666667</t>
  </si>
  <si>
    <t>Харбалахский наслег</t>
  </si>
  <si>
    <t>Кюль</t>
  </si>
  <si>
    <t>63.5441666666667</t>
  </si>
  <si>
    <t>121.003888888889</t>
  </si>
  <si>
    <t>Хомустахский наслег</t>
  </si>
  <si>
    <t>63.70916591</t>
  </si>
  <si>
    <t>120.76000024</t>
  </si>
  <si>
    <t>Хоринский наслег</t>
  </si>
  <si>
    <t>Хоро</t>
  </si>
  <si>
    <t>63.5358333333333</t>
  </si>
  <si>
    <t>120.1875</t>
  </si>
  <si>
    <t>Городские поселения Верхнеколымского муниципального района</t>
  </si>
  <si>
    <t>поселок Зырянка</t>
  </si>
  <si>
    <t>65.7344444444444</t>
  </si>
  <si>
    <t>150.897777777778</t>
  </si>
  <si>
    <t>Сельские поселения Верхнеколымского муниципального района</t>
  </si>
  <si>
    <t>Арылахский наслег</t>
  </si>
  <si>
    <t>Усун-Кюёль</t>
  </si>
  <si>
    <t>66.345</t>
  </si>
  <si>
    <t>150.51</t>
  </si>
  <si>
    <t>Верхнеколымский наслег</t>
  </si>
  <si>
    <t>Верхнеколымск</t>
  </si>
  <si>
    <t>65.7183333333333</t>
  </si>
  <si>
    <t>150.833055555556</t>
  </si>
  <si>
    <t>Нелемнский юкагирский наслег</t>
  </si>
  <si>
    <t>65.4980555555556</t>
  </si>
  <si>
    <t>151.078611111111</t>
  </si>
  <si>
    <t>Угольнинский наслег</t>
  </si>
  <si>
    <t>Угольное</t>
  </si>
  <si>
    <t>65.7497222222222</t>
  </si>
  <si>
    <t>149.747777777778</t>
  </si>
  <si>
    <t>Утаинский эвенский национальный наслег</t>
  </si>
  <si>
    <t>Утая</t>
  </si>
  <si>
    <t>66.0683333333333</t>
  </si>
  <si>
    <t>148.210277777778</t>
  </si>
  <si>
    <t>Межселенные территории Верхнеколымского муниципального района</t>
  </si>
  <si>
    <t>Межселенная территория Верхнеколымского муниципального района, находящаяся вне границ городского и сельских поселений</t>
  </si>
  <si>
    <t>Городские поселения Верхоянского муниципального района</t>
  </si>
  <si>
    <t>город Верхоянск</t>
  </si>
  <si>
    <t>67.55</t>
  </si>
  <si>
    <t>133.383333333333</t>
  </si>
  <si>
    <t>поселок Батагай</t>
  </si>
  <si>
    <t>67.6536111111111</t>
  </si>
  <si>
    <t>134.631944444444</t>
  </si>
  <si>
    <t>Сентачан</t>
  </si>
  <si>
    <t>66.4627777777778</t>
  </si>
  <si>
    <t>136.934722222222</t>
  </si>
  <si>
    <t>66.7891666666667</t>
  </si>
  <si>
    <t>136.666388888889</t>
  </si>
  <si>
    <t>поселок Эсэ-Хайя</t>
  </si>
  <si>
    <t>Эсэ-Хайя</t>
  </si>
  <si>
    <t>67.5436111111111</t>
  </si>
  <si>
    <t>134.673611111111</t>
  </si>
  <si>
    <t>Сельские поселения Верхоянского муниципального района</t>
  </si>
  <si>
    <t>Адычинский наслег</t>
  </si>
  <si>
    <t>Бетенкёс</t>
  </si>
  <si>
    <t>67.65</t>
  </si>
  <si>
    <t>135.575</t>
  </si>
  <si>
    <t>Алысардах</t>
  </si>
  <si>
    <t>67.4519444444445</t>
  </si>
  <si>
    <t>135.508333333333</t>
  </si>
  <si>
    <t>Энгя-Сайылыга</t>
  </si>
  <si>
    <t>67.755</t>
  </si>
  <si>
    <t>135.646944444444</t>
  </si>
  <si>
    <t>67.1797222222222</t>
  </si>
  <si>
    <t>132.832777777778</t>
  </si>
  <si>
    <t>Метяки</t>
  </si>
  <si>
    <t>66.9255555555556</t>
  </si>
  <si>
    <t>132.269166666667</t>
  </si>
  <si>
    <t>Барыласский наслег</t>
  </si>
  <si>
    <t>Барылас</t>
  </si>
  <si>
    <t>65.8947222222222</t>
  </si>
  <si>
    <t>132.756944444444</t>
  </si>
  <si>
    <t>Борулахский наслег</t>
  </si>
  <si>
    <t>67.15402194</t>
  </si>
  <si>
    <t>134.68989235</t>
  </si>
  <si>
    <t>Токума</t>
  </si>
  <si>
    <t>67.0930555555556</t>
  </si>
  <si>
    <t>134.320833333333</t>
  </si>
  <si>
    <t>Дулгалахский наслег</t>
  </si>
  <si>
    <t>67.2030555555556</t>
  </si>
  <si>
    <t>132.138055555556</t>
  </si>
  <si>
    <t>Сартанский наслег</t>
  </si>
  <si>
    <t>66.5572222222222</t>
  </si>
  <si>
    <t>132.915833333333</t>
  </si>
  <si>
    <t>Сысы-Мейите</t>
  </si>
  <si>
    <t>66.7302777777778</t>
  </si>
  <si>
    <t>132.595277777778</t>
  </si>
  <si>
    <t>Столбинский наслег</t>
  </si>
  <si>
    <t>Столбы</t>
  </si>
  <si>
    <t>67.5316666666667</t>
  </si>
  <si>
    <t>134.088055555556</t>
  </si>
  <si>
    <t>Суордахский наслег</t>
  </si>
  <si>
    <t>Суордах</t>
  </si>
  <si>
    <t>66.6766666666667</t>
  </si>
  <si>
    <t>131.772777777778</t>
  </si>
  <si>
    <t>Табалахский наслег</t>
  </si>
  <si>
    <t>Улахан-Кюёль</t>
  </si>
  <si>
    <t>67.5411111111111</t>
  </si>
  <si>
    <t>136.508055555556</t>
  </si>
  <si>
    <t>Тала</t>
  </si>
  <si>
    <t>67.6155555555556</t>
  </si>
  <si>
    <t>136.431388888889</t>
  </si>
  <si>
    <t>Черюмчинский наслег</t>
  </si>
  <si>
    <t>Черюмче</t>
  </si>
  <si>
    <t>68.2291666666667</t>
  </si>
  <si>
    <t>134.964444444444</t>
  </si>
  <si>
    <t>Эгинский наслег</t>
  </si>
  <si>
    <t>68.6972222222222</t>
  </si>
  <si>
    <t>134.464722222222</t>
  </si>
  <si>
    <t>Осохтох</t>
  </si>
  <si>
    <t>69.1305555555556</t>
  </si>
  <si>
    <t>134.308333333333</t>
  </si>
  <si>
    <t>Эльгесский наслег</t>
  </si>
  <si>
    <t>Хайысардах</t>
  </si>
  <si>
    <t>67.9641666666667</t>
  </si>
  <si>
    <t>134.7425</t>
  </si>
  <si>
    <t>68.13394435</t>
  </si>
  <si>
    <t>134.99010664</t>
  </si>
  <si>
    <t>Бабушкинский наслег</t>
  </si>
  <si>
    <t>Боронук</t>
  </si>
  <si>
    <t>67.5783333333333</t>
  </si>
  <si>
    <t>133.449444444444</t>
  </si>
  <si>
    <t>Мачах</t>
  </si>
  <si>
    <t>67.5555555555556</t>
  </si>
  <si>
    <t>132.889722222222</t>
  </si>
  <si>
    <t>Янский наслег</t>
  </si>
  <si>
    <t>Юттях</t>
  </si>
  <si>
    <t>67.5997222222222</t>
  </si>
  <si>
    <t>134.451666666667</t>
  </si>
  <si>
    <t>Чолбон</t>
  </si>
  <si>
    <t>67.7502777777778</t>
  </si>
  <si>
    <t>134.6975</t>
  </si>
  <si>
    <t>Городские поселения Вилюйского муниципального района</t>
  </si>
  <si>
    <t>город Вилюйск</t>
  </si>
  <si>
    <t>63.75</t>
  </si>
  <si>
    <t>121.616666666667</t>
  </si>
  <si>
    <t>Сосновка</t>
  </si>
  <si>
    <t>63.7638888888889</t>
  </si>
  <si>
    <t>121.873888888889</t>
  </si>
  <si>
    <t>поселок Кысыл-Сыр</t>
  </si>
  <si>
    <t>Кысыл-Сыр</t>
  </si>
  <si>
    <t>63.8941666666667</t>
  </si>
  <si>
    <t>122.765833333333</t>
  </si>
  <si>
    <t>Сельские поселения Вилюйского муниципального района</t>
  </si>
  <si>
    <t>Хампа</t>
  </si>
  <si>
    <t>63.7430555555556</t>
  </si>
  <si>
    <t>122.943888888889</t>
  </si>
  <si>
    <t>Баппагайинский наслег</t>
  </si>
  <si>
    <t>Илбенге</t>
  </si>
  <si>
    <t>62.8311111111111</t>
  </si>
  <si>
    <t>124.391666666667</t>
  </si>
  <si>
    <t>62.6786111111111</t>
  </si>
  <si>
    <t>124.536388888889</t>
  </si>
  <si>
    <t>62.81596356</t>
  </si>
  <si>
    <t>124.68755208</t>
  </si>
  <si>
    <t>Бекчегинский наслег</t>
  </si>
  <si>
    <t>Бетюнг</t>
  </si>
  <si>
    <t>63.7069444444444</t>
  </si>
  <si>
    <t>122.345833333333</t>
  </si>
  <si>
    <t>Чай</t>
  </si>
  <si>
    <t>63.8427777777778</t>
  </si>
  <si>
    <t>123.545555555556</t>
  </si>
  <si>
    <t>Екюндюнский наслег</t>
  </si>
  <si>
    <t>Екюндю</t>
  </si>
  <si>
    <t>63.7802777777778</t>
  </si>
  <si>
    <t>122.152777777778</t>
  </si>
  <si>
    <t>Жемконский наслег</t>
  </si>
  <si>
    <t>Эбя</t>
  </si>
  <si>
    <t>63.4886111111111</t>
  </si>
  <si>
    <t>123.1775</t>
  </si>
  <si>
    <t>Кыргыдайский наслег</t>
  </si>
  <si>
    <t>64.4797222222222</t>
  </si>
  <si>
    <t>122.707222222222</t>
  </si>
  <si>
    <t>Кюлетский 1-й наслег</t>
  </si>
  <si>
    <t>Усун</t>
  </si>
  <si>
    <t>64.5183333333333</t>
  </si>
  <si>
    <t>121.049166666667</t>
  </si>
  <si>
    <t>Кюлетский 2-й наслег</t>
  </si>
  <si>
    <t>Кюлекянь</t>
  </si>
  <si>
    <t>64.8316666666667</t>
  </si>
  <si>
    <t>120.915277777778</t>
  </si>
  <si>
    <t>Лекеченский наслег</t>
  </si>
  <si>
    <t>Лёкёчён</t>
  </si>
  <si>
    <t>63.0613888888889</t>
  </si>
  <si>
    <t>123.980555555556</t>
  </si>
  <si>
    <t>Первый Тогусский наслег</t>
  </si>
  <si>
    <t>Тымпы</t>
  </si>
  <si>
    <t>63.8338888888889</t>
  </si>
  <si>
    <t>123.381944444444</t>
  </si>
  <si>
    <t>Тасагарский наслег</t>
  </si>
  <si>
    <t>Тасагар</t>
  </si>
  <si>
    <t>63.7669444444444</t>
  </si>
  <si>
    <t>122.686388888889</t>
  </si>
  <si>
    <t>Тогусский наслег</t>
  </si>
  <si>
    <t>Балагаччы</t>
  </si>
  <si>
    <t>64.3894444444445</t>
  </si>
  <si>
    <t>122.233055555556</t>
  </si>
  <si>
    <t>64.42240123</t>
  </si>
  <si>
    <t>122.03096352</t>
  </si>
  <si>
    <t>Тылгынинский наслег</t>
  </si>
  <si>
    <t>Тербяс</t>
  </si>
  <si>
    <t>64.3730555555556</t>
  </si>
  <si>
    <t>120.544722222222</t>
  </si>
  <si>
    <t>Хагынский наслег</t>
  </si>
  <si>
    <t>Кирово</t>
  </si>
  <si>
    <t>64.545</t>
  </si>
  <si>
    <t>122.241944444444</t>
  </si>
  <si>
    <t>Халбакинский наслег</t>
  </si>
  <si>
    <t>Тосу</t>
  </si>
  <si>
    <t>63.8777777777778</t>
  </si>
  <si>
    <t>121.611666666667</t>
  </si>
  <si>
    <t>Староватово</t>
  </si>
  <si>
    <t>63.7836111111111</t>
  </si>
  <si>
    <t>121.624444444444</t>
  </si>
  <si>
    <t>Чернышевский наслег</t>
  </si>
  <si>
    <t>Чинеке</t>
  </si>
  <si>
    <t>63.715</t>
  </si>
  <si>
    <t>121.941111111111</t>
  </si>
  <si>
    <t>Чочунский наслег</t>
  </si>
  <si>
    <t>Сыдыбыл</t>
  </si>
  <si>
    <t>63.5963888888889</t>
  </si>
  <si>
    <t>121.4775</t>
  </si>
  <si>
    <t>Кюнде</t>
  </si>
  <si>
    <t>63.6</t>
  </si>
  <si>
    <t>121.36</t>
  </si>
  <si>
    <t>Югюлятский наслег</t>
  </si>
  <si>
    <t>Кюбяинде</t>
  </si>
  <si>
    <t>64.6233333333333</t>
  </si>
  <si>
    <t>120.175277777778</t>
  </si>
  <si>
    <t>Сельские поселения Горного муниципального района</t>
  </si>
  <si>
    <t>Атамайский наслег</t>
  </si>
  <si>
    <t>Бясь-Кюель</t>
  </si>
  <si>
    <t>62.7672222222222</t>
  </si>
  <si>
    <t>127.085</t>
  </si>
  <si>
    <t>Бердигестяхский наслег</t>
  </si>
  <si>
    <t>Бердигестях</t>
  </si>
  <si>
    <t>62.0947222222222</t>
  </si>
  <si>
    <t>126.696666666667</t>
  </si>
  <si>
    <t>62.0261111111111</t>
  </si>
  <si>
    <t>126.674166666667</t>
  </si>
  <si>
    <t>Кировский наслег</t>
  </si>
  <si>
    <t>Асыма</t>
  </si>
  <si>
    <t>62.3625</t>
  </si>
  <si>
    <t>126.64</t>
  </si>
  <si>
    <t>Чекя-Бясь</t>
  </si>
  <si>
    <t>62.2380555555556</t>
  </si>
  <si>
    <t>126.660555555556</t>
  </si>
  <si>
    <t>Маганинский наслег</t>
  </si>
  <si>
    <t>Орто-Сурт</t>
  </si>
  <si>
    <t>62.5661111111111</t>
  </si>
  <si>
    <t>125.122777777778</t>
  </si>
  <si>
    <t>Малтанинский наслег</t>
  </si>
  <si>
    <t>Кептин</t>
  </si>
  <si>
    <t>62.3408333333333</t>
  </si>
  <si>
    <t>124.449722222222</t>
  </si>
  <si>
    <t>Тонгулах</t>
  </si>
  <si>
    <t>61.9583333333333</t>
  </si>
  <si>
    <t>124.529444444444</t>
  </si>
  <si>
    <t>Тысагаччы</t>
  </si>
  <si>
    <t>62.3297222222222</t>
  </si>
  <si>
    <t>124.636666666667</t>
  </si>
  <si>
    <t>Мытахский наслег</t>
  </si>
  <si>
    <t>Дикимдя</t>
  </si>
  <si>
    <t>61.8858333333333</t>
  </si>
  <si>
    <t>126.528055555556</t>
  </si>
  <si>
    <t>61.8677777777778</t>
  </si>
  <si>
    <t>126.6525</t>
  </si>
  <si>
    <t>Одунунский наслег</t>
  </si>
  <si>
    <t>Магарас</t>
  </si>
  <si>
    <t>62.1472222222222</t>
  </si>
  <si>
    <t>128.061388888889</t>
  </si>
  <si>
    <t>Улу-Сысы</t>
  </si>
  <si>
    <t>62.6891666666667</t>
  </si>
  <si>
    <t>128.438333333333</t>
  </si>
  <si>
    <t>62.1069444444444</t>
  </si>
  <si>
    <t>128.366944444444</t>
  </si>
  <si>
    <t>Кюёрелях</t>
  </si>
  <si>
    <t>62.5711111111111</t>
  </si>
  <si>
    <t>126.841944444444</t>
  </si>
  <si>
    <t>Шологонский наслег</t>
  </si>
  <si>
    <t>Ерт</t>
  </si>
  <si>
    <t>62.0194444444444</t>
  </si>
  <si>
    <t>125.793888888889</t>
  </si>
  <si>
    <t>Сельские поселения Жиганского национального эвенкийского муниципального района</t>
  </si>
  <si>
    <t>Бестяхский наслег</t>
  </si>
  <si>
    <t>Бестях</t>
  </si>
  <si>
    <t>65.2838888888889</t>
  </si>
  <si>
    <t>124.128055555556</t>
  </si>
  <si>
    <t>Жиганский эвенкийский национальный наслег</t>
  </si>
  <si>
    <t>66.7675</t>
  </si>
  <si>
    <t>123.374166666667</t>
  </si>
  <si>
    <t>Эвенкийское сельское поселение “Кыстатыам”</t>
  </si>
  <si>
    <t>Кыстатыам</t>
  </si>
  <si>
    <t>67.3213888888889</t>
  </si>
  <si>
    <t>123.344166666667</t>
  </si>
  <si>
    <t>Линдинский эвенкийский национальный наслег</t>
  </si>
  <si>
    <t>Баханай</t>
  </si>
  <si>
    <t>66.0166666666667</t>
  </si>
  <si>
    <t>123.654722222222</t>
  </si>
  <si>
    <t>Межселенные территории Жиганского национального эвенкийского муниципального района</t>
  </si>
  <si>
    <t>Межселенная территория Жиганского национального эвенкийского муниципального района, включая территорию участка Джарджан</t>
  </si>
  <si>
    <t>Городские поселения Кобяйского муниципального района</t>
  </si>
  <si>
    <t>поселок Сангар</t>
  </si>
  <si>
    <t>Сангар</t>
  </si>
  <si>
    <t>63.9194444444444</t>
  </si>
  <si>
    <t>127.485833333333</t>
  </si>
  <si>
    <t>Авиапорт</t>
  </si>
  <si>
    <t>63.9563888888889</t>
  </si>
  <si>
    <t>127.443611111111</t>
  </si>
  <si>
    <t>Смородичный</t>
  </si>
  <si>
    <t>63.89</t>
  </si>
  <si>
    <t>127.52</t>
  </si>
  <si>
    <t>Сельские поселения Кобяйского муниципального района</t>
  </si>
  <si>
    <t>Арыктахский наслег</t>
  </si>
  <si>
    <t>Арыктах</t>
  </si>
  <si>
    <t>63.5677777777778</t>
  </si>
  <si>
    <t>125.236666666667</t>
  </si>
  <si>
    <t>Люксюгюн</t>
  </si>
  <si>
    <t>63.7183333333333</t>
  </si>
  <si>
    <t>124.975</t>
  </si>
  <si>
    <t>63.9516666666667</t>
  </si>
  <si>
    <t>124.826666666667</t>
  </si>
  <si>
    <t>Кировский эвенский национальный наслег</t>
  </si>
  <si>
    <t>Сегян-Кюёль</t>
  </si>
  <si>
    <t>64.0030555555556</t>
  </si>
  <si>
    <t>130.309444444444</t>
  </si>
  <si>
    <t>63.5247222222222</t>
  </si>
  <si>
    <t>129.418611111111</t>
  </si>
  <si>
    <t>Кобяйский наслег</t>
  </si>
  <si>
    <t>Кобяй</t>
  </si>
  <si>
    <t>63.5761111111111</t>
  </si>
  <si>
    <t>126.495833333333</t>
  </si>
  <si>
    <t>Ойун-Унгуохтах</t>
  </si>
  <si>
    <t>63.8336111111111</t>
  </si>
  <si>
    <t>126.556111111111</t>
  </si>
  <si>
    <t>Сага</t>
  </si>
  <si>
    <t>63.7336111111111</t>
  </si>
  <si>
    <t>126.445</t>
  </si>
  <si>
    <t>Куокуйский наслег</t>
  </si>
  <si>
    <t>Аргас</t>
  </si>
  <si>
    <t>63.9633333333333</t>
  </si>
  <si>
    <t>126.621944444444</t>
  </si>
  <si>
    <t>Кальвица</t>
  </si>
  <si>
    <t>63.9388888888889</t>
  </si>
  <si>
    <t>127.025</t>
  </si>
  <si>
    <t>Ламынхинский эвенский национальный наслег</t>
  </si>
  <si>
    <t>Себян-Кюёль</t>
  </si>
  <si>
    <t>65.2886111111111</t>
  </si>
  <si>
    <t>130.008055555556</t>
  </si>
  <si>
    <t>Люччегинский 1-й наслег</t>
  </si>
  <si>
    <t>63.7133333333333</t>
  </si>
  <si>
    <t>123.775555555556</t>
  </si>
  <si>
    <t>63.7627777777778</t>
  </si>
  <si>
    <t>123.962222222222</t>
  </si>
  <si>
    <t>Люччегинский 2-й наслег</t>
  </si>
  <si>
    <t>Мастах</t>
  </si>
  <si>
    <t>63.7219444444444</t>
  </si>
  <si>
    <t>124.191666666667</t>
  </si>
  <si>
    <t>Быранатталах</t>
  </si>
  <si>
    <t>63.6808333333333</t>
  </si>
  <si>
    <t>124.4025</t>
  </si>
  <si>
    <t>Мастах 2-й</t>
  </si>
  <si>
    <t>63.7433333333333</t>
  </si>
  <si>
    <t>124.221666666667</t>
  </si>
  <si>
    <t>Мукучунский наслег</t>
  </si>
  <si>
    <t>63.8563888888889</t>
  </si>
  <si>
    <t>123.843888888889</t>
  </si>
  <si>
    <t>Нижилинский наслег</t>
  </si>
  <si>
    <t>63.3777777777778</t>
  </si>
  <si>
    <t>125.513333333333</t>
  </si>
  <si>
    <t>Ситтинский наслег</t>
  </si>
  <si>
    <t>Ситте</t>
  </si>
  <si>
    <t>63.4883333333333</t>
  </si>
  <si>
    <t>128.035277777778</t>
  </si>
  <si>
    <t>Тыайинский наслег</t>
  </si>
  <si>
    <t>Тыайа</t>
  </si>
  <si>
    <t>63.6894444444444</t>
  </si>
  <si>
    <t>125.964722222222</t>
  </si>
  <si>
    <t>Межселенные территории Кобяйского муниципального района</t>
  </si>
  <si>
    <t>Межселенная территория Кобяйского муниципального района, находящаяся вне границ городского и сельских поселений</t>
  </si>
  <si>
    <t>Городские поселения Нюрбинского муниципального района</t>
  </si>
  <si>
    <t>город Нюрба</t>
  </si>
  <si>
    <t>63.2825</t>
  </si>
  <si>
    <t>118.340833333333</t>
  </si>
  <si>
    <t>Сельские поселения Нюрбинского муниципального района</t>
  </si>
  <si>
    <t>Аканинский наслег</t>
  </si>
  <si>
    <t>Акана</t>
  </si>
  <si>
    <t>63.5969444444444</t>
  </si>
  <si>
    <t>119.093888888889</t>
  </si>
  <si>
    <t>63.6983333333333</t>
  </si>
  <si>
    <t>119.264722222222</t>
  </si>
  <si>
    <t>Бордонский наслег</t>
  </si>
  <si>
    <t>63.5061111111111</t>
  </si>
  <si>
    <t>117.033888888889</t>
  </si>
  <si>
    <t>Дикимдинский наслег</t>
  </si>
  <si>
    <t>63.3833333333333</t>
  </si>
  <si>
    <t>118.341944444444</t>
  </si>
  <si>
    <t>Едейский наслег</t>
  </si>
  <si>
    <t>Едей</t>
  </si>
  <si>
    <t>63.6013888888889</t>
  </si>
  <si>
    <t>119.440277777778</t>
  </si>
  <si>
    <t>Жарханский наслег</t>
  </si>
  <si>
    <t>Жархан</t>
  </si>
  <si>
    <t>63.5186111111111</t>
  </si>
  <si>
    <t>118.822777777778</t>
  </si>
  <si>
    <t>Кангаласский наслег</t>
  </si>
  <si>
    <t>Ынахсыт</t>
  </si>
  <si>
    <t>63.5686111111111</t>
  </si>
  <si>
    <t>119.205</t>
  </si>
  <si>
    <t>Кюндядинский наслег</t>
  </si>
  <si>
    <t>Кюндяде</t>
  </si>
  <si>
    <t>63.2183333333333</t>
  </si>
  <si>
    <t>118.144166666667</t>
  </si>
  <si>
    <t>Арангастах</t>
  </si>
  <si>
    <t>63.1883333333333</t>
  </si>
  <si>
    <t>117.876111111111</t>
  </si>
  <si>
    <t>Мальжагарский наслег</t>
  </si>
  <si>
    <t>Бысыттах</t>
  </si>
  <si>
    <t>63.5777777777778</t>
  </si>
  <si>
    <t>117.453333333333</t>
  </si>
  <si>
    <t>Мархинский наслег</t>
  </si>
  <si>
    <t>Энгольжа</t>
  </si>
  <si>
    <t>63.6586111111111</t>
  </si>
  <si>
    <t>118.275833333333</t>
  </si>
  <si>
    <t>Мегежекский наслег</t>
  </si>
  <si>
    <t>Хаты</t>
  </si>
  <si>
    <t>63.6258333333333</t>
  </si>
  <si>
    <t>116.673888888889</t>
  </si>
  <si>
    <t>Антоновка</t>
  </si>
  <si>
    <t>63.2861111111111</t>
  </si>
  <si>
    <t>118.400555555556</t>
  </si>
  <si>
    <t>Нефтебаза</t>
  </si>
  <si>
    <t>63.2725</t>
  </si>
  <si>
    <t>118.464444444444</t>
  </si>
  <si>
    <t>Нюрбачанский наслег</t>
  </si>
  <si>
    <t>Нюрбачан</t>
  </si>
  <si>
    <t>63.3347222222222</t>
  </si>
  <si>
    <t>118.108055555556</t>
  </si>
  <si>
    <t>Сюлинский наслег</t>
  </si>
  <si>
    <t>Сюля</t>
  </si>
  <si>
    <t>63.3341666666667</t>
  </si>
  <si>
    <t>118.288611111111</t>
  </si>
  <si>
    <t>Таркайинский наслег</t>
  </si>
  <si>
    <t>Хатын-Сысы</t>
  </si>
  <si>
    <t>63.5919444444444</t>
  </si>
  <si>
    <t>118.845555555556</t>
  </si>
  <si>
    <t>Киров</t>
  </si>
  <si>
    <t>63.5844444444444</t>
  </si>
  <si>
    <t>118.690833333333</t>
  </si>
  <si>
    <t>Тюмюкский наслег</t>
  </si>
  <si>
    <t>Мар</t>
  </si>
  <si>
    <t>63.5202777777778</t>
  </si>
  <si>
    <t>118.988055555556</t>
  </si>
  <si>
    <t>Хорулинский наслег</t>
  </si>
  <si>
    <t>63.9897222222222</t>
  </si>
  <si>
    <t>118.647222222222</t>
  </si>
  <si>
    <t>Чаппандинский наслег</t>
  </si>
  <si>
    <t>Чаппанда</t>
  </si>
  <si>
    <t>63.4211111111111</t>
  </si>
  <si>
    <t>118.613888888889</t>
  </si>
  <si>
    <t>Салтаны</t>
  </si>
  <si>
    <t>63.3605555555556</t>
  </si>
  <si>
    <t>118.72</t>
  </si>
  <si>
    <t>Чукарский наслег</t>
  </si>
  <si>
    <t>Чукар</t>
  </si>
  <si>
    <t>63.7475</t>
  </si>
  <si>
    <t>117.968611111111</t>
  </si>
  <si>
    <t>Городские поселения Ленского муниципального района</t>
  </si>
  <si>
    <t>город Ленск</t>
  </si>
  <si>
    <t>60.7244444444444</t>
  </si>
  <si>
    <t>114.928333333333</t>
  </si>
  <si>
    <t>поселок Витим</t>
  </si>
  <si>
    <t>59.4380555555556</t>
  </si>
  <si>
    <t>112.560277777778</t>
  </si>
  <si>
    <t>поселок Пеледуй</t>
  </si>
  <si>
    <t>59.6266666666667</t>
  </si>
  <si>
    <t>112.750555555556</t>
  </si>
  <si>
    <t>Крестовский лесоучасток</t>
  </si>
  <si>
    <t>59.7758333333333</t>
  </si>
  <si>
    <t>113.281388888889</t>
  </si>
  <si>
    <t>Сельские поселения Ленского муниципального района</t>
  </si>
  <si>
    <t>Беченчинский наслег</t>
  </si>
  <si>
    <t>Беченча</t>
  </si>
  <si>
    <t>60.9613888888889</t>
  </si>
  <si>
    <t>115.470555555556</t>
  </si>
  <si>
    <t>Мурбайский наслег</t>
  </si>
  <si>
    <t>Нюя Северная</t>
  </si>
  <si>
    <t>60.8988888888889</t>
  </si>
  <si>
    <t>114.818055555556</t>
  </si>
  <si>
    <t>Дорожный</t>
  </si>
  <si>
    <t>61.4458333333333</t>
  </si>
  <si>
    <t>114.358888888889</t>
  </si>
  <si>
    <t>Наторинский наслег</t>
  </si>
  <si>
    <t>Натора</t>
  </si>
  <si>
    <t>60.5375</t>
  </si>
  <si>
    <t>116.103333333333</t>
  </si>
  <si>
    <t>Нюйский наслег</t>
  </si>
  <si>
    <t>60.5355555555556</t>
  </si>
  <si>
    <t>116.220555555556</t>
  </si>
  <si>
    <t>Турукта</t>
  </si>
  <si>
    <t>60.4794444444444</t>
  </si>
  <si>
    <t>116.521666666667</t>
  </si>
  <si>
    <t>Орто-Нахаринский наслег</t>
  </si>
  <si>
    <t>Орто-Нахара</t>
  </si>
  <si>
    <t>60.8236111111111</t>
  </si>
  <si>
    <t>114.324166666667</t>
  </si>
  <si>
    <t>Чамча</t>
  </si>
  <si>
    <t>60.8483333333333</t>
  </si>
  <si>
    <t>114.698333333333</t>
  </si>
  <si>
    <t>Салдыкельский наслег</t>
  </si>
  <si>
    <t>Мурья</t>
  </si>
  <si>
    <t>60.7333333333333</t>
  </si>
  <si>
    <t>115.290833333333</t>
  </si>
  <si>
    <t>60.7533333333333</t>
  </si>
  <si>
    <t>115.3225</t>
  </si>
  <si>
    <t>Толонский наслег</t>
  </si>
  <si>
    <t>59.4577777777778</t>
  </si>
  <si>
    <t>111.535833333333</t>
  </si>
  <si>
    <t>59.5077777777778</t>
  </si>
  <si>
    <t>111.971388888889</t>
  </si>
  <si>
    <t>59.5172222222222</t>
  </si>
  <si>
    <t>111.211111111111</t>
  </si>
  <si>
    <t>Ярославский наслег</t>
  </si>
  <si>
    <t>Ярославский</t>
  </si>
  <si>
    <t>60.1566666666667</t>
  </si>
  <si>
    <t>113.933055555556</t>
  </si>
  <si>
    <t>Хамра</t>
  </si>
  <si>
    <t>60.2225</t>
  </si>
  <si>
    <t>114.126388888889</t>
  </si>
  <si>
    <t>Межселенные территории Ленского муниципального района</t>
  </si>
  <si>
    <t>Межселенная территория Ленского муниципального района, находящаяся вне границ городских и сельских поселений</t>
  </si>
  <si>
    <t>Городские поселения Мегино-Кангаласского муниципального района</t>
  </si>
  <si>
    <t>поселок Нижний Бестях</t>
  </si>
  <si>
    <t>Нижний Бестях</t>
  </si>
  <si>
    <t>61.9619444444444</t>
  </si>
  <si>
    <t>129.912222222222</t>
  </si>
  <si>
    <t>Сельские поселения Мегино-Кангаласского муниципального района</t>
  </si>
  <si>
    <t>Елечёй</t>
  </si>
  <si>
    <t>61.7041666666667</t>
  </si>
  <si>
    <t>131.270555555556</t>
  </si>
  <si>
    <t>Арангасский наслег</t>
  </si>
  <si>
    <t>Тарат</t>
  </si>
  <si>
    <t>62.2225</t>
  </si>
  <si>
    <t>130.6875</t>
  </si>
  <si>
    <t>Батаринский наслег</t>
  </si>
  <si>
    <t>Сымах</t>
  </si>
  <si>
    <t>61.9263888888889</t>
  </si>
  <si>
    <t>130.946388888889</t>
  </si>
  <si>
    <t>Батаринский 1-й наслег</t>
  </si>
  <si>
    <t>Бедемё</t>
  </si>
  <si>
    <t>62.0041666666667</t>
  </si>
  <si>
    <t>130.541944444444</t>
  </si>
  <si>
    <t>Мегюрёнский наслег</t>
  </si>
  <si>
    <t>62.3583333333333</t>
  </si>
  <si>
    <t>130.659444444444</t>
  </si>
  <si>
    <t>Жабыльский наслег</t>
  </si>
  <si>
    <t>Нуорагана</t>
  </si>
  <si>
    <t>62.1544444444444</t>
  </si>
  <si>
    <t>131.072222222222</t>
  </si>
  <si>
    <t>Бютейдяхский наслег</t>
  </si>
  <si>
    <t>61.6288888888889</t>
  </si>
  <si>
    <t>131.366666666667</t>
  </si>
  <si>
    <t>Жанхадинский наслег</t>
  </si>
  <si>
    <t>Тектюр</t>
  </si>
  <si>
    <t>62.1088888888889</t>
  </si>
  <si>
    <t>130.029444444444</t>
  </si>
  <si>
    <t>Беджелек</t>
  </si>
  <si>
    <t>61.9641666666667</t>
  </si>
  <si>
    <t>130.168055555556</t>
  </si>
  <si>
    <t>Доллунский наслег</t>
  </si>
  <si>
    <t>62.1883333333333</t>
  </si>
  <si>
    <t>130.674444444444</t>
  </si>
  <si>
    <t>Дойдунский наслег</t>
  </si>
  <si>
    <t>Хапчагай</t>
  </si>
  <si>
    <t>62.3755555555556</t>
  </si>
  <si>
    <t>130.140277777778</t>
  </si>
  <si>
    <t>Кердюген</t>
  </si>
  <si>
    <t>62.3391666666667</t>
  </si>
  <si>
    <t>130.131388888889</t>
  </si>
  <si>
    <t>село Майя</t>
  </si>
  <si>
    <t>Майя</t>
  </si>
  <si>
    <t>61.7433333333333</t>
  </si>
  <si>
    <t>130.275833333333</t>
  </si>
  <si>
    <t>Мегинский наслег</t>
  </si>
  <si>
    <t>Балыктах</t>
  </si>
  <si>
    <t>62.2563888888889</t>
  </si>
  <si>
    <t>130.723055555556</t>
  </si>
  <si>
    <t>Догдогинский наслег</t>
  </si>
  <si>
    <t>Бёкё</t>
  </si>
  <si>
    <t>61.785</t>
  </si>
  <si>
    <t>130.372777777778</t>
  </si>
  <si>
    <t>Сото</t>
  </si>
  <si>
    <t>61.8019444444444</t>
  </si>
  <si>
    <t>130.518055555556</t>
  </si>
  <si>
    <t>Мельжехсинский наслег</t>
  </si>
  <si>
    <t>61.90435675</t>
  </si>
  <si>
    <t>130.56732850</t>
  </si>
  <si>
    <t>Хоробутский наслег</t>
  </si>
  <si>
    <t>Хоробут</t>
  </si>
  <si>
    <t>61.8355555555556</t>
  </si>
  <si>
    <t>130.756111111111</t>
  </si>
  <si>
    <t>Харба-Атах</t>
  </si>
  <si>
    <t>61.7752777777778</t>
  </si>
  <si>
    <t>130.809444444444</t>
  </si>
  <si>
    <t>Морукский наслег</t>
  </si>
  <si>
    <t>61.7272222222222</t>
  </si>
  <si>
    <t>131.03</t>
  </si>
  <si>
    <t>Нахаринский 2-й наслег</t>
  </si>
  <si>
    <t>Хочо</t>
  </si>
  <si>
    <t>61.5669444444444</t>
  </si>
  <si>
    <t>130.740833333333</t>
  </si>
  <si>
    <t>Нерюктяйинский наслег</t>
  </si>
  <si>
    <t>Павловск</t>
  </si>
  <si>
    <t>61.8716666666667</t>
  </si>
  <si>
    <t>129.838055555556</t>
  </si>
  <si>
    <t>61.84</t>
  </si>
  <si>
    <t>129.860277777778</t>
  </si>
  <si>
    <t>Рассолодинский наслег</t>
  </si>
  <si>
    <t>Рассолода</t>
  </si>
  <si>
    <t>61.6730555555556</t>
  </si>
  <si>
    <t>129.648611111111</t>
  </si>
  <si>
    <t>Тарагайский наслег</t>
  </si>
  <si>
    <t>61.6675</t>
  </si>
  <si>
    <t>130.941666666667</t>
  </si>
  <si>
    <t>Нахаринский 1-й наслег</t>
  </si>
  <si>
    <t>Телиги</t>
  </si>
  <si>
    <t>61.3830555555556</t>
  </si>
  <si>
    <t>130.695</t>
  </si>
  <si>
    <t>Тыллыминский 1-й наслег</t>
  </si>
  <si>
    <t>Ломтука</t>
  </si>
  <si>
    <t>61.6383333333333</t>
  </si>
  <si>
    <t>130.089166666667</t>
  </si>
  <si>
    <t>Мельжехсинский 3-й наслег</t>
  </si>
  <si>
    <t>62.1483333333333</t>
  </si>
  <si>
    <t>130.049444444444</t>
  </si>
  <si>
    <t>Тыллыминский 2-й наслег</t>
  </si>
  <si>
    <t>Хатылыма</t>
  </si>
  <si>
    <t>61.5425</t>
  </si>
  <si>
    <t>129.886111111111</t>
  </si>
  <si>
    <t>Тюнгюлюнский наслег</t>
  </si>
  <si>
    <t>Тюнгюлю</t>
  </si>
  <si>
    <t>130.710555555556</t>
  </si>
  <si>
    <t>Хаптагайский наслег</t>
  </si>
  <si>
    <t>Хаптагай</t>
  </si>
  <si>
    <t>61.7858333333333</t>
  </si>
  <si>
    <t>129.790833333333</t>
  </si>
  <si>
    <t>Харанский наслег</t>
  </si>
  <si>
    <t>Петровка</t>
  </si>
  <si>
    <t>61.7269444444444</t>
  </si>
  <si>
    <t>130.259166666667</t>
  </si>
  <si>
    <t>Ходоринский наслег</t>
  </si>
  <si>
    <t>Чюйя</t>
  </si>
  <si>
    <t>61.7275</t>
  </si>
  <si>
    <t>130.3675</t>
  </si>
  <si>
    <t>Холгуминский наслег</t>
  </si>
  <si>
    <t>Бырама</t>
  </si>
  <si>
    <t>61.4794444444444</t>
  </si>
  <si>
    <t>130.946666666667</t>
  </si>
  <si>
    <t>Чыамайыкинский наслег</t>
  </si>
  <si>
    <t>Даркылах</t>
  </si>
  <si>
    <t>60.9730555555556</t>
  </si>
  <si>
    <t>130.371944444444</t>
  </si>
  <si>
    <t>Городские поселения Мирнинского муниципального района</t>
  </si>
  <si>
    <t>Мирный</t>
  </si>
  <si>
    <t>62.5425</t>
  </si>
  <si>
    <t>113.984166666667</t>
  </si>
  <si>
    <t>62.45426027</t>
  </si>
  <si>
    <t>114.13401695</t>
  </si>
  <si>
    <t>город Удачный</t>
  </si>
  <si>
    <t>Удачный</t>
  </si>
  <si>
    <t>66.4086111111111</t>
  </si>
  <si>
    <t>112.298888888889</t>
  </si>
  <si>
    <t>Полярный</t>
  </si>
  <si>
    <t>66.41</t>
  </si>
  <si>
    <t>112.12</t>
  </si>
  <si>
    <t>поселок Айхал</t>
  </si>
  <si>
    <t>Айхал</t>
  </si>
  <si>
    <t>65.9427777777778</t>
  </si>
  <si>
    <t>111.495277777778</t>
  </si>
  <si>
    <t>64.6080555555556</t>
  </si>
  <si>
    <t>112.5225</t>
  </si>
  <si>
    <t>поселок Алмазный</t>
  </si>
  <si>
    <t>Алмазный</t>
  </si>
  <si>
    <t>62.4502777777778</t>
  </si>
  <si>
    <t>114.321944444444</t>
  </si>
  <si>
    <t>Новый</t>
  </si>
  <si>
    <t>62.4208333333333</t>
  </si>
  <si>
    <t>114.357777777778</t>
  </si>
  <si>
    <t>поселок Светлый</t>
  </si>
  <si>
    <t>Светлый</t>
  </si>
  <si>
    <t>63.0508333333333</t>
  </si>
  <si>
    <t>113.428611111111</t>
  </si>
  <si>
    <t>поселок Чернышевский</t>
  </si>
  <si>
    <t>Чернышевский</t>
  </si>
  <si>
    <t>112.461944444444</t>
  </si>
  <si>
    <t>Сельские поселения Мирнинского муниципального района</t>
  </si>
  <si>
    <t>Ботуобуйинский наслег</t>
  </si>
  <si>
    <t>Тас-Юрях</t>
  </si>
  <si>
    <t>61.7863888888889</t>
  </si>
  <si>
    <t>113.023611111111</t>
  </si>
  <si>
    <t>Садынский национальный эвенкийский наслег</t>
  </si>
  <si>
    <t>63.2283333333333</t>
  </si>
  <si>
    <t>113.721388888889</t>
  </si>
  <si>
    <t>Чуонинский наслег</t>
  </si>
  <si>
    <t>62.38</t>
  </si>
  <si>
    <t>114.343055555556</t>
  </si>
  <si>
    <t>Заря</t>
  </si>
  <si>
    <t>62.105</t>
  </si>
  <si>
    <t>114.189166666667</t>
  </si>
  <si>
    <t>Межселенные территории Мирнинского муниципального района</t>
  </si>
  <si>
    <t>Межселенная территория Мирнинского муниципального района, находящаяся вне границ городских и сельских поселений</t>
  </si>
  <si>
    <t>Сельские поселения Момского муниципального района</t>
  </si>
  <si>
    <t>Чыбагалахский национальный наслег</t>
  </si>
  <si>
    <t>Кулун-Елбют</t>
  </si>
  <si>
    <t>66.7925</t>
  </si>
  <si>
    <t>142.735833333333</t>
  </si>
  <si>
    <t>Индигирский национальный наслег</t>
  </si>
  <si>
    <t>Буор-Сысы</t>
  </si>
  <si>
    <t>66.4886111111111</t>
  </si>
  <si>
    <t>143.049166666667</t>
  </si>
  <si>
    <t>Момский национальный наслег</t>
  </si>
  <si>
    <t>Хонуу</t>
  </si>
  <si>
    <t>66.455</t>
  </si>
  <si>
    <t>143.219722222222</t>
  </si>
  <si>
    <t>66.4319444444444</t>
  </si>
  <si>
    <t>143.252777777778</t>
  </si>
  <si>
    <t>Соболохский национальный наслег</t>
  </si>
  <si>
    <t>Соболох</t>
  </si>
  <si>
    <t>66.2530555555556</t>
  </si>
  <si>
    <t>143.313333333333</t>
  </si>
  <si>
    <t>Тебюляхский национальный наслег</t>
  </si>
  <si>
    <t>Чумпу-Кытыл</t>
  </si>
  <si>
    <t>65.3711111111111</t>
  </si>
  <si>
    <t>143.150555555556</t>
  </si>
  <si>
    <t>Улахан-Чистайский национальный наслег</t>
  </si>
  <si>
    <t>Сасыр</t>
  </si>
  <si>
    <t>65.1622222222222</t>
  </si>
  <si>
    <t>147.082222222222</t>
  </si>
  <si>
    <t>Сельские поселения Намского муниципального района</t>
  </si>
  <si>
    <t>Арбынский наслег</t>
  </si>
  <si>
    <t>Сыгыннах</t>
  </si>
  <si>
    <t>63.3677777777778</t>
  </si>
  <si>
    <t>129.657777777778</t>
  </si>
  <si>
    <t>Бютяй-Юрдя</t>
  </si>
  <si>
    <t>62.8272222222222</t>
  </si>
  <si>
    <t>129.601111111111</t>
  </si>
  <si>
    <t>Ымыяхтах</t>
  </si>
  <si>
    <t>62.4561111111111</t>
  </si>
  <si>
    <t>129.885277777778</t>
  </si>
  <si>
    <t>Искровский наслег</t>
  </si>
  <si>
    <t>Кюренг-Ат</t>
  </si>
  <si>
    <t>62.7338888888889</t>
  </si>
  <si>
    <t>129.23</t>
  </si>
  <si>
    <t>Кебекенский наслег</t>
  </si>
  <si>
    <t>62.1408333333333</t>
  </si>
  <si>
    <t>129.736111111111</t>
  </si>
  <si>
    <t>Ленский наслег</t>
  </si>
  <si>
    <t>Намцы</t>
  </si>
  <si>
    <t>62.7186111111111</t>
  </si>
  <si>
    <t>129.665</t>
  </si>
  <si>
    <t>Модутский наслег</t>
  </si>
  <si>
    <t>62.9025</t>
  </si>
  <si>
    <t>129.559722222222</t>
  </si>
  <si>
    <t>Никольский наслег</t>
  </si>
  <si>
    <t>Никольский</t>
  </si>
  <si>
    <t>62.6288888888889</t>
  </si>
  <si>
    <t>129.713055555556</t>
  </si>
  <si>
    <t>Партизанский наслег</t>
  </si>
  <si>
    <t>Партизан</t>
  </si>
  <si>
    <t>62.5861111111111</t>
  </si>
  <si>
    <t>129.771111111111</t>
  </si>
  <si>
    <t>Салбанский наслег</t>
  </si>
  <si>
    <t>Хонгор-Бие</t>
  </si>
  <si>
    <t>62.8430555555556</t>
  </si>
  <si>
    <t>128.462222222222</t>
  </si>
  <si>
    <t>Тастахский наслег</t>
  </si>
  <si>
    <t>Ергёлёх</t>
  </si>
  <si>
    <t>62.5827777777778</t>
  </si>
  <si>
    <t>128.868333333333</t>
  </si>
  <si>
    <t>Тюбинский наслег</t>
  </si>
  <si>
    <t>Булус</t>
  </si>
  <si>
    <t>63.3052777777778</t>
  </si>
  <si>
    <t>129.456388888889</t>
  </si>
  <si>
    <t>Фрунзенский наслег</t>
  </si>
  <si>
    <t>Фрунзе</t>
  </si>
  <si>
    <t>63.0755555555556</t>
  </si>
  <si>
    <t>129.728611111111</t>
  </si>
  <si>
    <t>Хамагаттинский наслег</t>
  </si>
  <si>
    <t>Крест-Кытыл</t>
  </si>
  <si>
    <t>62.6647222222222</t>
  </si>
  <si>
    <t>129.703611111111</t>
  </si>
  <si>
    <t>Хатын-Арынский наслег</t>
  </si>
  <si>
    <t>Аппаны</t>
  </si>
  <si>
    <t>62.7594444444444</t>
  </si>
  <si>
    <t>129.651111111111</t>
  </si>
  <si>
    <t>Графский Берег</t>
  </si>
  <si>
    <t>62.7747222222222</t>
  </si>
  <si>
    <t>129.689722222222</t>
  </si>
  <si>
    <t>Кысыл-Деревня</t>
  </si>
  <si>
    <t>62.7830555555556</t>
  </si>
  <si>
    <t>129.642222222222</t>
  </si>
  <si>
    <t>Хатырыкский наслег</t>
  </si>
  <si>
    <t>62.9977777777778</t>
  </si>
  <si>
    <t>129.528333333333</t>
  </si>
  <si>
    <t>Хомустахский 1-й наслег</t>
  </si>
  <si>
    <t>62.5377777777778</t>
  </si>
  <si>
    <t>129.761944444444</t>
  </si>
  <si>
    <t>Хомустахский 2-й наслег</t>
  </si>
  <si>
    <t>Хатас</t>
  </si>
  <si>
    <t>62.6805555555556</t>
  </si>
  <si>
    <t>129.911944444444</t>
  </si>
  <si>
    <t>Воин</t>
  </si>
  <si>
    <t>62.6247222222222</t>
  </si>
  <si>
    <t>129.959166666667</t>
  </si>
  <si>
    <t>Тарагай-Бясь</t>
  </si>
  <si>
    <t>62.6613888888889</t>
  </si>
  <si>
    <t>129.942777777778</t>
  </si>
  <si>
    <t>Юнер-Олох</t>
  </si>
  <si>
    <t>62.7575</t>
  </si>
  <si>
    <t>129.855277777778</t>
  </si>
  <si>
    <t>Маймагинский наслег</t>
  </si>
  <si>
    <t>Маймага</t>
  </si>
  <si>
    <t>63.0438888888889</t>
  </si>
  <si>
    <t>129.519166666667</t>
  </si>
  <si>
    <t>Городские поселения Нижнеколымского муниципального района</t>
  </si>
  <si>
    <t>поселок Черский</t>
  </si>
  <si>
    <t>68.7519444444444</t>
  </si>
  <si>
    <t>161.33</t>
  </si>
  <si>
    <t>Сельские поселения Нижнеколымского муниципального района</t>
  </si>
  <si>
    <t>Национальный юкагирский "Олеринский Суктул"</t>
  </si>
  <si>
    <t>69.1725</t>
  </si>
  <si>
    <t>154.445</t>
  </si>
  <si>
    <t>Походский наслег</t>
  </si>
  <si>
    <t>Походск</t>
  </si>
  <si>
    <t>69.0794444444444</t>
  </si>
  <si>
    <t>160.969444444444</t>
  </si>
  <si>
    <t>Амбарчик</t>
  </si>
  <si>
    <t>69.6261111111111</t>
  </si>
  <si>
    <t>162.304722222222</t>
  </si>
  <si>
    <t>Две виски</t>
  </si>
  <si>
    <t>68.3558333333333</t>
  </si>
  <si>
    <t>160.768333333333</t>
  </si>
  <si>
    <t>Ермолово</t>
  </si>
  <si>
    <t>68.4836111111111</t>
  </si>
  <si>
    <t>160.491944444444</t>
  </si>
  <si>
    <t>Крестовая</t>
  </si>
  <si>
    <t>70.7152777777778</t>
  </si>
  <si>
    <t>159.435833333333</t>
  </si>
  <si>
    <t>Михалкино</t>
  </si>
  <si>
    <t>69.4169444444444</t>
  </si>
  <si>
    <t>161.512222222222</t>
  </si>
  <si>
    <t>Нижнеколымск</t>
  </si>
  <si>
    <t>68.5316666666667</t>
  </si>
  <si>
    <t>160.926666666667</t>
  </si>
  <si>
    <t>Тимкино</t>
  </si>
  <si>
    <t>68.5147222222222</t>
  </si>
  <si>
    <t>160.121666666667</t>
  </si>
  <si>
    <t>Чукочья</t>
  </si>
  <si>
    <t>70.1027777777778</t>
  </si>
  <si>
    <t>159.613333333333</t>
  </si>
  <si>
    <t>Чукотский национальный Халарчинский наслег</t>
  </si>
  <si>
    <t>Колымское</t>
  </si>
  <si>
    <t>68.7277777777778</t>
  </si>
  <si>
    <t>158.703611111111</t>
  </si>
  <si>
    <t>Городские поселения Оймяконского муниципального района</t>
  </si>
  <si>
    <t>поселок Усть-Нера</t>
  </si>
  <si>
    <t>Усть-Нера</t>
  </si>
  <si>
    <t>64.5708333333333</t>
  </si>
  <si>
    <t>143.239722222222</t>
  </si>
  <si>
    <t>поселок Артык</t>
  </si>
  <si>
    <t>Артык</t>
  </si>
  <si>
    <t>64.1805555555556</t>
  </si>
  <si>
    <t>145.130833333333</t>
  </si>
  <si>
    <t>Делянкир</t>
  </si>
  <si>
    <t>63.8377777777778</t>
  </si>
  <si>
    <t>145.603611111111</t>
  </si>
  <si>
    <t>Сельские поселения Оймяконского муниципального района</t>
  </si>
  <si>
    <t>Оймякон Полюс Холода</t>
  </si>
  <si>
    <t>Оймякон</t>
  </si>
  <si>
    <t>63.4636111111111</t>
  </si>
  <si>
    <t>142.786666666667</t>
  </si>
  <si>
    <t>Берег-Юрдя</t>
  </si>
  <si>
    <t>63.4541666666667</t>
  </si>
  <si>
    <t>142.896666666667</t>
  </si>
  <si>
    <t>Хара-Тумул</t>
  </si>
  <si>
    <t>63.4755555555556</t>
  </si>
  <si>
    <t>142.730555555556</t>
  </si>
  <si>
    <t>Борогонский 2-й наслег</t>
  </si>
  <si>
    <t>63.2636111111111</t>
  </si>
  <si>
    <t>143.210277777778</t>
  </si>
  <si>
    <t>63.3355555555556</t>
  </si>
  <si>
    <t>141.731388888889</t>
  </si>
  <si>
    <t>Аэропорт</t>
  </si>
  <si>
    <t>63.2452777777778</t>
  </si>
  <si>
    <t>143.182777777778</t>
  </si>
  <si>
    <t>Куйдусун</t>
  </si>
  <si>
    <t>63.2591666666667</t>
  </si>
  <si>
    <t>143.248333333333</t>
  </si>
  <si>
    <t>Сордоннохский национальный наслег</t>
  </si>
  <si>
    <t>Орто-Балаган</t>
  </si>
  <si>
    <t>63.1627777777778</t>
  </si>
  <si>
    <t>144.018055555556</t>
  </si>
  <si>
    <t>Куранах-Сала</t>
  </si>
  <si>
    <t>63.1402777777778</t>
  </si>
  <si>
    <t>144.442777777778</t>
  </si>
  <si>
    <t>Терютский наслег</t>
  </si>
  <si>
    <t>Терют</t>
  </si>
  <si>
    <t>64.2472222222222</t>
  </si>
  <si>
    <t>142.079166666667</t>
  </si>
  <si>
    <t>Ючюгейский национальный наслег</t>
  </si>
  <si>
    <t>Ючюгей</t>
  </si>
  <si>
    <t>63.3025</t>
  </si>
  <si>
    <t>142.167777777778</t>
  </si>
  <si>
    <t>Кюбеме</t>
  </si>
  <si>
    <t>63.4280555555556</t>
  </si>
  <si>
    <t>140.600277777778</t>
  </si>
  <si>
    <t>Межселенные территории Оймяконского муниципального района</t>
  </si>
  <si>
    <t>Межселенная территория Оймяконского муниципального района, находящаяся вне границ городских и сельских поселений</t>
  </si>
  <si>
    <t>Городские поселения Олекминского муниципального района</t>
  </si>
  <si>
    <t>город Олекминск</t>
  </si>
  <si>
    <t>60.3752777777778</t>
  </si>
  <si>
    <t>120.428888888889</t>
  </si>
  <si>
    <t>60.3963888888889</t>
  </si>
  <si>
    <t>120.466111111111</t>
  </si>
  <si>
    <t>Затон ЛОРПа</t>
  </si>
  <si>
    <t>60.3869444444444</t>
  </si>
  <si>
    <t>120.339444444444</t>
  </si>
  <si>
    <t>60.3772222222222</t>
  </si>
  <si>
    <t>120.601388888889</t>
  </si>
  <si>
    <t>Селиваново</t>
  </si>
  <si>
    <t>60.3822222222222</t>
  </si>
  <si>
    <t>120.523888888889</t>
  </si>
  <si>
    <t>Сельские поселения Олекминского муниципального района</t>
  </si>
  <si>
    <t>60.3233333333333</t>
  </si>
  <si>
    <t>120.018333333333</t>
  </si>
  <si>
    <t>Абага центральная</t>
  </si>
  <si>
    <t>60.3094444444444</t>
  </si>
  <si>
    <t>119.986388888889</t>
  </si>
  <si>
    <t>Дабанский наслег</t>
  </si>
  <si>
    <t>Дабан</t>
  </si>
  <si>
    <t>60.1222222222222</t>
  </si>
  <si>
    <t>119.205555555556</t>
  </si>
  <si>
    <t>Кочегарово</t>
  </si>
  <si>
    <t>59.9380555555556</t>
  </si>
  <si>
    <t>118.895</t>
  </si>
  <si>
    <t>Черендей</t>
  </si>
  <si>
    <t>60.2166666666667</t>
  </si>
  <si>
    <t>119.348055555556</t>
  </si>
  <si>
    <t>Дельгейский наслег</t>
  </si>
  <si>
    <t>Дельгей</t>
  </si>
  <si>
    <t>59.9061111111111</t>
  </si>
  <si>
    <t>118.602777777778</t>
  </si>
  <si>
    <t>Иннях</t>
  </si>
  <si>
    <t>59.7925</t>
  </si>
  <si>
    <t>118.460277777778</t>
  </si>
  <si>
    <t>Жарханский национальный наслег</t>
  </si>
  <si>
    <t>59.9802777777778</t>
  </si>
  <si>
    <t>119.833888888889</t>
  </si>
  <si>
    <t>59.9872222222222</t>
  </si>
  <si>
    <t>119.7925</t>
  </si>
  <si>
    <t>Уолбут</t>
  </si>
  <si>
    <t>59.9683333333333</t>
  </si>
  <si>
    <t>119.899722222222</t>
  </si>
  <si>
    <t>Киндигирский национальный наслег</t>
  </si>
  <si>
    <t>Куду-Кюёль</t>
  </si>
  <si>
    <t>59.4391666666667</t>
  </si>
  <si>
    <t>121.310277777778</t>
  </si>
  <si>
    <t>59.0355555555556</t>
  </si>
  <si>
    <t>121.765277777778</t>
  </si>
  <si>
    <t>Кыллахский наслег</t>
  </si>
  <si>
    <t>60.20832002</t>
  </si>
  <si>
    <t>119.93807636</t>
  </si>
  <si>
    <t>Даппарай</t>
  </si>
  <si>
    <t>60.1877777777778</t>
  </si>
  <si>
    <t>119.936944444444</t>
  </si>
  <si>
    <t>Кяччинский наслег</t>
  </si>
  <si>
    <t>Кяччи</t>
  </si>
  <si>
    <t>60.3505555555556</t>
  </si>
  <si>
    <t>120.084722222222</t>
  </si>
  <si>
    <t>Килиер</t>
  </si>
  <si>
    <t>61.0213888888889</t>
  </si>
  <si>
    <t>119.104444444444</t>
  </si>
  <si>
    <t>Олом</t>
  </si>
  <si>
    <t>60.7363888888889</t>
  </si>
  <si>
    <t>119.47</t>
  </si>
  <si>
    <t>Тэгэн</t>
  </si>
  <si>
    <t>61.0230555555556</t>
  </si>
  <si>
    <t>119.285</t>
  </si>
  <si>
    <t>60.3986111111111</t>
  </si>
  <si>
    <t>120.300833333333</t>
  </si>
  <si>
    <t>Куранда</t>
  </si>
  <si>
    <t>60.4055555555556</t>
  </si>
  <si>
    <t>120.231944444444</t>
  </si>
  <si>
    <t>Тюбя</t>
  </si>
  <si>
    <t>60.4586111111111</t>
  </si>
  <si>
    <t>120.348611111111</t>
  </si>
  <si>
    <t>Мачинский наслег</t>
  </si>
  <si>
    <t>59.9044444444444</t>
  </si>
  <si>
    <t>117.588055555556</t>
  </si>
  <si>
    <t>Нерюктяйинский 1-й наслег</t>
  </si>
  <si>
    <t>Нерюктяйинск 1-й</t>
  </si>
  <si>
    <t>60.2591666666667</t>
  </si>
  <si>
    <t>119.669444444444</t>
  </si>
  <si>
    <t>Бирюк</t>
  </si>
  <si>
    <t>60.2602777777778</t>
  </si>
  <si>
    <t>119.646666666667</t>
  </si>
  <si>
    <t>Куду-Бясь</t>
  </si>
  <si>
    <t>60.2294444444444</t>
  </si>
  <si>
    <t>119.6425</t>
  </si>
  <si>
    <t>Тас-Анна</t>
  </si>
  <si>
    <t>119.723611111111</t>
  </si>
  <si>
    <t>Нерюктяйинский 2-й наслег</t>
  </si>
  <si>
    <t>Нерюктяйинск 2-й</t>
  </si>
  <si>
    <t>60.2588888888889</t>
  </si>
  <si>
    <t>119.889444444444</t>
  </si>
  <si>
    <t>Бердинка</t>
  </si>
  <si>
    <t>60.2794444444444</t>
  </si>
  <si>
    <t>119.946388888889</t>
  </si>
  <si>
    <t>Холго</t>
  </si>
  <si>
    <t>60.2983333333333</t>
  </si>
  <si>
    <t>119.98</t>
  </si>
  <si>
    <t>Олекминский наслег</t>
  </si>
  <si>
    <t>Олёкминский</t>
  </si>
  <si>
    <t>60.3855555555556</t>
  </si>
  <si>
    <t>120.181666666667</t>
  </si>
  <si>
    <t>Саныяхтахский наслег</t>
  </si>
  <si>
    <t>60.5861111111111</t>
  </si>
  <si>
    <t>124.069444444444</t>
  </si>
  <si>
    <t>Алексеевка</t>
  </si>
  <si>
    <t>60.4333333333333</t>
  </si>
  <si>
    <t>124.270277777778</t>
  </si>
  <si>
    <t>Малыкан</t>
  </si>
  <si>
    <t>60.6847222222222</t>
  </si>
  <si>
    <t>124.7325</t>
  </si>
  <si>
    <t>60.6</t>
  </si>
  <si>
    <t>123.289166666667</t>
  </si>
  <si>
    <t>Солянский наслег</t>
  </si>
  <si>
    <t>60.4738888888889</t>
  </si>
  <si>
    <t>120.725277777778</t>
  </si>
  <si>
    <t>60.6711111111111</t>
  </si>
  <si>
    <t>120.793333333333</t>
  </si>
  <si>
    <t>Троицкий наслег</t>
  </si>
  <si>
    <t>Троицк</t>
  </si>
  <si>
    <t>60.3513888888889</t>
  </si>
  <si>
    <t>120.671666666667</t>
  </si>
  <si>
    <t>Тянский национальный наслег</t>
  </si>
  <si>
    <t>Торго</t>
  </si>
  <si>
    <t>58.4563888888889</t>
  </si>
  <si>
    <t>119.528888888889</t>
  </si>
  <si>
    <t>59.0555555555556</t>
  </si>
  <si>
    <t>119.795277777778</t>
  </si>
  <si>
    <t>Улахан-Мунгкунский наслег</t>
  </si>
  <si>
    <t>Улахан-Мунгку</t>
  </si>
  <si>
    <t>60.4191666666667</t>
  </si>
  <si>
    <t>120.175555555556</t>
  </si>
  <si>
    <t>Урицкий наслег</t>
  </si>
  <si>
    <t>Урицкое</t>
  </si>
  <si>
    <t>60.5597222222222</t>
  </si>
  <si>
    <t>122.390277777778</t>
  </si>
  <si>
    <t>60.5872222222222</t>
  </si>
  <si>
    <t>122.898333333333</t>
  </si>
  <si>
    <t>Хоринцы</t>
  </si>
  <si>
    <t>60.6652777777778</t>
  </si>
  <si>
    <t>121.442777777778</t>
  </si>
  <si>
    <t>60.6505555555556</t>
  </si>
  <si>
    <t>121.177222222222</t>
  </si>
  <si>
    <t>Мекимдя</t>
  </si>
  <si>
    <t>60.7980555555556</t>
  </si>
  <si>
    <t>120.97</t>
  </si>
  <si>
    <t>Чапаевский наслег</t>
  </si>
  <si>
    <t>Чапаево</t>
  </si>
  <si>
    <t>60.1283333333333</t>
  </si>
  <si>
    <t>117.121111111111</t>
  </si>
  <si>
    <t>Тинная</t>
  </si>
  <si>
    <t>60.3561111111111</t>
  </si>
  <si>
    <t>116.971111111111</t>
  </si>
  <si>
    <t>Чаринский национальный наслег</t>
  </si>
  <si>
    <t>Бясь-Кюёль</t>
  </si>
  <si>
    <t>59.4741666666667</t>
  </si>
  <si>
    <t>119.302777777778</t>
  </si>
  <si>
    <t>поселок Заречный</t>
  </si>
  <si>
    <t>Заречный</t>
  </si>
  <si>
    <t>60.345</t>
  </si>
  <si>
    <t>120.440833333333</t>
  </si>
  <si>
    <t>Сельские поселения Оленекского эвенкийского национального муниципального района</t>
  </si>
  <si>
    <t>Жилиндинский национальный наслег</t>
  </si>
  <si>
    <t>70.13940627</t>
  </si>
  <si>
    <t>113.98730035</t>
  </si>
  <si>
    <t>Кирбейский национальный наслег</t>
  </si>
  <si>
    <t>68.4977777777778</t>
  </si>
  <si>
    <t>112.410555555556</t>
  </si>
  <si>
    <t>Оленекский национальный наслег</t>
  </si>
  <si>
    <t>68.50318568</t>
  </si>
  <si>
    <t>112.44887109</t>
  </si>
  <si>
    <t>Шологонский национальный наслег</t>
  </si>
  <si>
    <t>66.03505522</t>
  </si>
  <si>
    <t>117.39901096</t>
  </si>
  <si>
    <t>Межселенные территории Оленекского эвенкийского национального муниципального района</t>
  </si>
  <si>
    <t>Межселенные территории Оленекского эвенкийского национального муниципального района, включая территории ресурсных резерватов (эркээйи-сирдэри) "Бэкэ", "Бириктэ", "Алакит", "Мархара" и месторождений редкоземельных металлов</t>
  </si>
  <si>
    <t>Городские поселения Хангаласского муниципального района</t>
  </si>
  <si>
    <t>город Покровск</t>
  </si>
  <si>
    <t>61.4838888888889</t>
  </si>
  <si>
    <t>129.150555555556</t>
  </si>
  <si>
    <t>61.39573390</t>
  </si>
  <si>
    <t>128.94409687</t>
  </si>
  <si>
    <t>Сельские поселения Хангаласского муниципального района</t>
  </si>
  <si>
    <t>61.365</t>
  </si>
  <si>
    <t>128.861944444444</t>
  </si>
  <si>
    <t>Чаранг</t>
  </si>
  <si>
    <t>61.4252777777778</t>
  </si>
  <si>
    <t>128.779166666667</t>
  </si>
  <si>
    <t>Жемконский 1-й наслег</t>
  </si>
  <si>
    <t>Тит-Эбя</t>
  </si>
  <si>
    <t>61.4844444444444</t>
  </si>
  <si>
    <t>129.318333333333</t>
  </si>
  <si>
    <t>Хоточчу</t>
  </si>
  <si>
    <t>61.5344444444444</t>
  </si>
  <si>
    <t>129.408611111111</t>
  </si>
  <si>
    <t>Жемконский 2-й наслег</t>
  </si>
  <si>
    <t>Кердём</t>
  </si>
  <si>
    <t>61.4313888888889</t>
  </si>
  <si>
    <t>129.195555555556</t>
  </si>
  <si>
    <t>Нуочаха</t>
  </si>
  <si>
    <t>61.3033333333333</t>
  </si>
  <si>
    <t>129.568333333333</t>
  </si>
  <si>
    <t>Жерский наслег</t>
  </si>
  <si>
    <t>Улах-Ан</t>
  </si>
  <si>
    <t>61.6144444444444</t>
  </si>
  <si>
    <t>129.227777777778</t>
  </si>
  <si>
    <t>Иситский наслег</t>
  </si>
  <si>
    <t>Исит</t>
  </si>
  <si>
    <t>60.8122222222222</t>
  </si>
  <si>
    <t>125.328333333333</t>
  </si>
  <si>
    <t>Нохорой</t>
  </si>
  <si>
    <t>60.8177777777778</t>
  </si>
  <si>
    <t>125.379444444444</t>
  </si>
  <si>
    <t>Качикатский наслег</t>
  </si>
  <si>
    <t>Качикатцы</t>
  </si>
  <si>
    <t>61.3191666666667</t>
  </si>
  <si>
    <t>128.955</t>
  </si>
  <si>
    <t>Кысыл-Юрюйя</t>
  </si>
  <si>
    <t>61.3611111111111</t>
  </si>
  <si>
    <t>129.025277777778</t>
  </si>
  <si>
    <t>Мальжагарский 1-й наслег</t>
  </si>
  <si>
    <t>Булгунняхтах</t>
  </si>
  <si>
    <t>61.2997222222222</t>
  </si>
  <si>
    <t>128.665277777778</t>
  </si>
  <si>
    <t>Тойон-Ары</t>
  </si>
  <si>
    <t>61.24</t>
  </si>
  <si>
    <t>128.386666666667</t>
  </si>
  <si>
    <t>Мальжагарский 2-й наслег</t>
  </si>
  <si>
    <t>Улахан-Ан</t>
  </si>
  <si>
    <t>61.3011111111111</t>
  </si>
  <si>
    <t>128.258611111111</t>
  </si>
  <si>
    <t>Еланка</t>
  </si>
  <si>
    <t>61.2697222222222</t>
  </si>
  <si>
    <t>128.11</t>
  </si>
  <si>
    <t>Мальжагарский 4-й наслег</t>
  </si>
  <si>
    <t>61.1047222222222</t>
  </si>
  <si>
    <t>126.370555555556</t>
  </si>
  <si>
    <t>Мальжагарский 5-й наслег</t>
  </si>
  <si>
    <t>Кытыл-Дюра</t>
  </si>
  <si>
    <t>60.9686111111111</t>
  </si>
  <si>
    <t>125.923888888889</t>
  </si>
  <si>
    <t>Немюгюнский наслег</t>
  </si>
  <si>
    <t>Ой</t>
  </si>
  <si>
    <t>61.5405555555556</t>
  </si>
  <si>
    <t>129.183888888889</t>
  </si>
  <si>
    <t>Октемский наслег</t>
  </si>
  <si>
    <t>Октёмцы</t>
  </si>
  <si>
    <t>61.6658333333333</t>
  </si>
  <si>
    <t>129.415277777778</t>
  </si>
  <si>
    <t>61.6555555555556</t>
  </si>
  <si>
    <t>129.387222222222</t>
  </si>
  <si>
    <t>Синский наслег</t>
  </si>
  <si>
    <t>Синск</t>
  </si>
  <si>
    <t>61.1319444444444</t>
  </si>
  <si>
    <t>126.839722222222</t>
  </si>
  <si>
    <t>Техтюрский наслег</t>
  </si>
  <si>
    <t>Техтюр</t>
  </si>
  <si>
    <t>61.7113888888889</t>
  </si>
  <si>
    <t>129.467777777778</t>
  </si>
  <si>
    <t>Карапатское</t>
  </si>
  <si>
    <t>61.6888888888889</t>
  </si>
  <si>
    <t>129.463888888889</t>
  </si>
  <si>
    <t>Тит-Арынский наслег</t>
  </si>
  <si>
    <t>Тит-Ары</t>
  </si>
  <si>
    <t>61.2247222222222</t>
  </si>
  <si>
    <t>127.730555555556</t>
  </si>
  <si>
    <t>61.2172222222222</t>
  </si>
  <si>
    <t>127.915833333333</t>
  </si>
  <si>
    <t>61.1930555555556</t>
  </si>
  <si>
    <t>127.753055555556</t>
  </si>
  <si>
    <t>Тумульский наслег</t>
  </si>
  <si>
    <t>127.535833333333</t>
  </si>
  <si>
    <t>Городские поселения Среднеколымского муниципального района</t>
  </si>
  <si>
    <t>город Среднеколымск</t>
  </si>
  <si>
    <t>67.4591666666667</t>
  </si>
  <si>
    <t>153.711388888889</t>
  </si>
  <si>
    <t>Лобуя</t>
  </si>
  <si>
    <t>67.4877777777778</t>
  </si>
  <si>
    <t>154.031944444444</t>
  </si>
  <si>
    <t>Сельские поселения Среднеколымского муниципального района</t>
  </si>
  <si>
    <t>Алазейский наслег</t>
  </si>
  <si>
    <t>68.4427777777778</t>
  </si>
  <si>
    <t>153.376111111111</t>
  </si>
  <si>
    <t>Байдинский наслег</t>
  </si>
  <si>
    <t>Налимск</t>
  </si>
  <si>
    <t>67.5841666666667</t>
  </si>
  <si>
    <t>153.645</t>
  </si>
  <si>
    <t>Березовский национальный (кочевой) наслег</t>
  </si>
  <si>
    <t>67.1319444444444</t>
  </si>
  <si>
    <t>156.583055555556</t>
  </si>
  <si>
    <t>Уродан</t>
  </si>
  <si>
    <t>66.655</t>
  </si>
  <si>
    <t>152.499722222222</t>
  </si>
  <si>
    <t>Кангаласский 1-й наслег</t>
  </si>
  <si>
    <t>Алеко-Кюёль</t>
  </si>
  <si>
    <t>68.6780555555556</t>
  </si>
  <si>
    <t>151.876666666667</t>
  </si>
  <si>
    <t>Соянги</t>
  </si>
  <si>
    <t>68.8702777777778</t>
  </si>
  <si>
    <t>150.304722222222</t>
  </si>
  <si>
    <t>Кангаласский 2-й наслег</t>
  </si>
  <si>
    <t>Эбях</t>
  </si>
  <si>
    <t>68.3944444444444</t>
  </si>
  <si>
    <t>150.75</t>
  </si>
  <si>
    <t>Мятисский 1-й наслег</t>
  </si>
  <si>
    <t>Сылгы-Ытар</t>
  </si>
  <si>
    <t>67.8513888888889</t>
  </si>
  <si>
    <t>154.8175</t>
  </si>
  <si>
    <t>Мятисский 2-й наслег</t>
  </si>
  <si>
    <t>68.0586111111111</t>
  </si>
  <si>
    <t>151.802222222222</t>
  </si>
  <si>
    <t>Суччино</t>
  </si>
  <si>
    <t>68.2461111111111</t>
  </si>
  <si>
    <t>152.382777777778</t>
  </si>
  <si>
    <t>Сень-Кюельский наслег</t>
  </si>
  <si>
    <t>Ойусардах</t>
  </si>
  <si>
    <t>68.2769444444444</t>
  </si>
  <si>
    <t>154.708611111111</t>
  </si>
  <si>
    <t>Роман</t>
  </si>
  <si>
    <t>68.4852777777778</t>
  </si>
  <si>
    <t>155.126388888889</t>
  </si>
  <si>
    <t>Хатынгнахский наслег</t>
  </si>
  <si>
    <t>Хатынгнах</t>
  </si>
  <si>
    <t>67.4930555555556</t>
  </si>
  <si>
    <t>152.603611111111</t>
  </si>
  <si>
    <t>Сельские поселения Сунтарского муниципального района</t>
  </si>
  <si>
    <t>Аллагинский наслег</t>
  </si>
  <si>
    <t>Аллага</t>
  </si>
  <si>
    <t>62.2286111111111</t>
  </si>
  <si>
    <t>117.05</t>
  </si>
  <si>
    <t>62.2858333333333</t>
  </si>
  <si>
    <t>116.864166666667</t>
  </si>
  <si>
    <t>Сарданга</t>
  </si>
  <si>
    <t>61.9286111111111</t>
  </si>
  <si>
    <t>117.165</t>
  </si>
  <si>
    <t>Вилючанский наслег</t>
  </si>
  <si>
    <t>Хордогой</t>
  </si>
  <si>
    <t>62.6063888888889</t>
  </si>
  <si>
    <t>115.678333333333</t>
  </si>
  <si>
    <t>Оюсут</t>
  </si>
  <si>
    <t>62.8183333333333</t>
  </si>
  <si>
    <t>115.211388888889</t>
  </si>
  <si>
    <t>Арылах (Жархан)</t>
  </si>
  <si>
    <t>62.3719444444444</t>
  </si>
  <si>
    <t>116.640833333333</t>
  </si>
  <si>
    <t>Илимнирский наслег</t>
  </si>
  <si>
    <t>Илимнир</t>
  </si>
  <si>
    <t>62.0255555555556</t>
  </si>
  <si>
    <t>117.423055555556</t>
  </si>
  <si>
    <t>Кемпендяйский наслег</t>
  </si>
  <si>
    <t>Кемпендяй</t>
  </si>
  <si>
    <t>62.0311111111111</t>
  </si>
  <si>
    <t>118.639722222222</t>
  </si>
  <si>
    <t>Чайыгда</t>
  </si>
  <si>
    <t>62.2561111111111</t>
  </si>
  <si>
    <t>119.743888888889</t>
  </si>
  <si>
    <t>Крестяхский наслег</t>
  </si>
  <si>
    <t>62.2516666666667</t>
  </si>
  <si>
    <t>116.171111111111</t>
  </si>
  <si>
    <t>Куокунинский наслег</t>
  </si>
  <si>
    <t>Куокуну</t>
  </si>
  <si>
    <t>62.0930555555556</t>
  </si>
  <si>
    <t>116.2225</t>
  </si>
  <si>
    <t>Кутанинский наслег</t>
  </si>
  <si>
    <t>62.7147222222222</t>
  </si>
  <si>
    <t>117.571944444444</t>
  </si>
  <si>
    <t>62.7230555555556</t>
  </si>
  <si>
    <t>117.749444444444</t>
  </si>
  <si>
    <t>Кюкяйский наслег</t>
  </si>
  <si>
    <t>Кюкей</t>
  </si>
  <si>
    <t>62.7677777777778</t>
  </si>
  <si>
    <t>117.7225</t>
  </si>
  <si>
    <t>Кюндяйинский наслег</t>
  </si>
  <si>
    <t>Кюндяе</t>
  </si>
  <si>
    <t>62.3455555555556</t>
  </si>
  <si>
    <t>117.701666666667</t>
  </si>
  <si>
    <t>Эльгян</t>
  </si>
  <si>
    <t>62.4016666666667</t>
  </si>
  <si>
    <t>117.540833333333</t>
  </si>
  <si>
    <t>62.4255555555556</t>
  </si>
  <si>
    <t>117.854444444444</t>
  </si>
  <si>
    <t>Мар-Кюельский наслег</t>
  </si>
  <si>
    <t>Мар-Кюёль</t>
  </si>
  <si>
    <t>62.3969444444444</t>
  </si>
  <si>
    <t>117.011111111111</t>
  </si>
  <si>
    <t>Нахаринский наслег</t>
  </si>
  <si>
    <t>Нахара</t>
  </si>
  <si>
    <t>62.4655555555556</t>
  </si>
  <si>
    <t>115.719444444444</t>
  </si>
  <si>
    <t>Сунтарский наслег</t>
  </si>
  <si>
    <t>62.16</t>
  </si>
  <si>
    <t>117.643888888889</t>
  </si>
  <si>
    <t>Тенкинский наслег</t>
  </si>
  <si>
    <t>Тенкя</t>
  </si>
  <si>
    <t>61.9983333333333</t>
  </si>
  <si>
    <t>116.561666666667</t>
  </si>
  <si>
    <t>62.58528805</t>
  </si>
  <si>
    <t>117.49992672</t>
  </si>
  <si>
    <t>Тойбохойский наслег</t>
  </si>
  <si>
    <t>Тойбохой</t>
  </si>
  <si>
    <t>62.1858333333333</t>
  </si>
  <si>
    <t>116.75</t>
  </si>
  <si>
    <t>Туойдахский наслег</t>
  </si>
  <si>
    <t>Туойдах</t>
  </si>
  <si>
    <t>62.0197222222222</t>
  </si>
  <si>
    <t>117.720277777778</t>
  </si>
  <si>
    <t>Тюбяй-Жарханский наслег</t>
  </si>
  <si>
    <t>62.99639760</t>
  </si>
  <si>
    <t>117.51056354</t>
  </si>
  <si>
    <t>Миляке</t>
  </si>
  <si>
    <t>63.0625</t>
  </si>
  <si>
    <t>116.412777777778</t>
  </si>
  <si>
    <t>Ыгыатта</t>
  </si>
  <si>
    <t>62.9738888888889</t>
  </si>
  <si>
    <t>117.487222222222</t>
  </si>
  <si>
    <t>Тюбяйский наслег</t>
  </si>
  <si>
    <t>Тюбяй</t>
  </si>
  <si>
    <t>62.8811111111111</t>
  </si>
  <si>
    <t>117.473055555556</t>
  </si>
  <si>
    <t>Нерюктяй</t>
  </si>
  <si>
    <t>62.8013888888889</t>
  </si>
  <si>
    <t>117.424722222222</t>
  </si>
  <si>
    <t>Хаданский наслег</t>
  </si>
  <si>
    <t>Агдары</t>
  </si>
  <si>
    <t>117.4775</t>
  </si>
  <si>
    <t>62.0105555555556</t>
  </si>
  <si>
    <t>117.483333333333</t>
  </si>
  <si>
    <t>Эйикяр</t>
  </si>
  <si>
    <t>61.8841666666667</t>
  </si>
  <si>
    <t>117.501944444444</t>
  </si>
  <si>
    <t>62.5533333333333</t>
  </si>
  <si>
    <t>117.807222222222</t>
  </si>
  <si>
    <t>Шеинский наслег</t>
  </si>
  <si>
    <t>Шея</t>
  </si>
  <si>
    <t>62.8588888888889</t>
  </si>
  <si>
    <t>117.549444444444</t>
  </si>
  <si>
    <t>Комсомол</t>
  </si>
  <si>
    <t>62.9027777777778</t>
  </si>
  <si>
    <t>117.619722222222</t>
  </si>
  <si>
    <t>Бясь-Шея</t>
  </si>
  <si>
    <t>62.8327777777778</t>
  </si>
  <si>
    <t>117.535555555556</t>
  </si>
  <si>
    <t>Эльгяйский наслег</t>
  </si>
  <si>
    <t>Эльгяй</t>
  </si>
  <si>
    <t>62.4855555555556</t>
  </si>
  <si>
    <t>117.510833333333</t>
  </si>
  <si>
    <t>Бордон 3-й</t>
  </si>
  <si>
    <t>62.6391666666667</t>
  </si>
  <si>
    <t>117.37</t>
  </si>
  <si>
    <t>Устьинский наслег</t>
  </si>
  <si>
    <t>Устье</t>
  </si>
  <si>
    <t>62.165</t>
  </si>
  <si>
    <t>117.733055555556</t>
  </si>
  <si>
    <t>Городские поселения Томпонского муниципального района</t>
  </si>
  <si>
    <t>поселок Хандыга</t>
  </si>
  <si>
    <t>62.6533333333333</t>
  </si>
  <si>
    <t>135.559166666667</t>
  </si>
  <si>
    <t>поселок Джебарики-Хая</t>
  </si>
  <si>
    <t>Джебарики-Хая</t>
  </si>
  <si>
    <t>62.2169444444444</t>
  </si>
  <si>
    <t>135.859444444444</t>
  </si>
  <si>
    <t>Сельские поселения Томпонского муниципального района</t>
  </si>
  <si>
    <t>Баягантайский наслег</t>
  </si>
  <si>
    <t>62.8133333333333</t>
  </si>
  <si>
    <t>134.512222222222</t>
  </si>
  <si>
    <t>Ары-Толон</t>
  </si>
  <si>
    <t>62.8519444444444</t>
  </si>
  <si>
    <t>134.292777777778</t>
  </si>
  <si>
    <t>Ударник</t>
  </si>
  <si>
    <t>62.9302777777778</t>
  </si>
  <si>
    <t>134.463611111111</t>
  </si>
  <si>
    <t>Мегино-Алданский наслег</t>
  </si>
  <si>
    <t>Мегино-Алдан</t>
  </si>
  <si>
    <t>62.6994444444444</t>
  </si>
  <si>
    <t>134.613611111111</t>
  </si>
  <si>
    <t>Охот-Перевозовский наслег</t>
  </si>
  <si>
    <t>Охотский-Перевоз</t>
  </si>
  <si>
    <t>61.8775</t>
  </si>
  <si>
    <t>135.527777777778</t>
  </si>
  <si>
    <t>Сасыльский наслег</t>
  </si>
  <si>
    <t>Кескил</t>
  </si>
  <si>
    <t>62.6516666666667</t>
  </si>
  <si>
    <t>135.007777777778</t>
  </si>
  <si>
    <t>Теплоключевской наслег</t>
  </si>
  <si>
    <t>Теплый Ключ</t>
  </si>
  <si>
    <t>62.7816666666667</t>
  </si>
  <si>
    <t>136.809444444444</t>
  </si>
  <si>
    <t>62.7861111111111</t>
  </si>
  <si>
    <t>136.846944444444</t>
  </si>
  <si>
    <t>Развилка</t>
  </si>
  <si>
    <t>63.0463888888889</t>
  </si>
  <si>
    <t>138.157777777778</t>
  </si>
  <si>
    <t>Томпонский национальный (эвенский) наслег</t>
  </si>
  <si>
    <t>Тополиное</t>
  </si>
  <si>
    <t>64.0733333333333</t>
  </si>
  <si>
    <t>135.963055555556</t>
  </si>
  <si>
    <t>Ынгинский наслег</t>
  </si>
  <si>
    <t>62.5883333333333</t>
  </si>
  <si>
    <t>135.527222222222</t>
  </si>
  <si>
    <t>62.6016666666667</t>
  </si>
  <si>
    <t>135.468888888889</t>
  </si>
  <si>
    <t>Сельские поселения Усть-Алданского муниципального района</t>
  </si>
  <si>
    <t>Батагайский наслег</t>
  </si>
  <si>
    <t>62.8761111111111</t>
  </si>
  <si>
    <t>130.323611111111</t>
  </si>
  <si>
    <t>Танда</t>
  </si>
  <si>
    <t>62.6469444444444</t>
  </si>
  <si>
    <t>131.993333333333</t>
  </si>
  <si>
    <t>62.55518416</t>
  </si>
  <si>
    <t>130.28481547</t>
  </si>
  <si>
    <t>Ары-Тит</t>
  </si>
  <si>
    <t>62.5102777777778</t>
  </si>
  <si>
    <t>130.045833333333</t>
  </si>
  <si>
    <t>Элясин</t>
  </si>
  <si>
    <t>62.6225</t>
  </si>
  <si>
    <t>130.537222222222</t>
  </si>
  <si>
    <t>Берт-Усовский наслег</t>
  </si>
  <si>
    <t>62.5594444444444</t>
  </si>
  <si>
    <t>130.889166666667</t>
  </si>
  <si>
    <t>Чиряпчи</t>
  </si>
  <si>
    <t>62.5041666666667</t>
  </si>
  <si>
    <t>131.0525</t>
  </si>
  <si>
    <t>Бярийинский наслег</t>
  </si>
  <si>
    <t>Бярийе</t>
  </si>
  <si>
    <t>62.8877777777778</t>
  </si>
  <si>
    <t>131.913611111111</t>
  </si>
  <si>
    <t>Дюпсюнский наслег</t>
  </si>
  <si>
    <t>Дюпся</t>
  </si>
  <si>
    <t>63.0227777777778</t>
  </si>
  <si>
    <t>130.725833333333</t>
  </si>
  <si>
    <t>Бяди</t>
  </si>
  <si>
    <t>63.1277777777778</t>
  </si>
  <si>
    <t>130.719444444444</t>
  </si>
  <si>
    <t>Стойка</t>
  </si>
  <si>
    <t>62.9797222222222</t>
  </si>
  <si>
    <t>130.848611111111</t>
  </si>
  <si>
    <t>Курбусахский наслег</t>
  </si>
  <si>
    <t>Ус-Кюёль</t>
  </si>
  <si>
    <t>62.4347222222222</t>
  </si>
  <si>
    <t>131.597777777778</t>
  </si>
  <si>
    <t>62.3930555555556</t>
  </si>
  <si>
    <t>131.838333333333</t>
  </si>
  <si>
    <t>Окоемовка</t>
  </si>
  <si>
    <t>62.4675</t>
  </si>
  <si>
    <t>131.341111111111</t>
  </si>
  <si>
    <t>Легойский наслег</t>
  </si>
  <si>
    <t>Кептени</t>
  </si>
  <si>
    <t>62.7947222222222</t>
  </si>
  <si>
    <t>130.752777777778</t>
  </si>
  <si>
    <t>Далы</t>
  </si>
  <si>
    <t>62.7366666666667</t>
  </si>
  <si>
    <t>130.485833333333</t>
  </si>
  <si>
    <t>62.69583830</t>
  </si>
  <si>
    <t>130.87060991</t>
  </si>
  <si>
    <t>Мюрюнский наслег</t>
  </si>
  <si>
    <t>Борогонцы</t>
  </si>
  <si>
    <t>62.6713888888889</t>
  </si>
  <si>
    <t>131.173333333333</t>
  </si>
  <si>
    <t>Мындаба</t>
  </si>
  <si>
    <t>62.6558333333333</t>
  </si>
  <si>
    <t>131.180833333333</t>
  </si>
  <si>
    <t>62.6975</t>
  </si>
  <si>
    <t>131.0975</t>
  </si>
  <si>
    <t>Наяхинский наслег</t>
  </si>
  <si>
    <t>63.0833333333333</t>
  </si>
  <si>
    <t>130.4125</t>
  </si>
  <si>
    <t>Ольтехский наслег</t>
  </si>
  <si>
    <t>Бейдинга</t>
  </si>
  <si>
    <t>62.3961111111111</t>
  </si>
  <si>
    <t>130.861388888889</t>
  </si>
  <si>
    <t>62.45</t>
  </si>
  <si>
    <t>130.94</t>
  </si>
  <si>
    <t>Онерский наслег</t>
  </si>
  <si>
    <t>Эселях</t>
  </si>
  <si>
    <t>62.9102777777778</t>
  </si>
  <si>
    <t>131.0475</t>
  </si>
  <si>
    <t>Оспехский наслег</t>
  </si>
  <si>
    <t>Дыгдал</t>
  </si>
  <si>
    <t>63.3044444444444</t>
  </si>
  <si>
    <t>130.379166666667</t>
  </si>
  <si>
    <t>Оспехский 1-й наслег</t>
  </si>
  <si>
    <t>62.87</t>
  </si>
  <si>
    <t>130.83</t>
  </si>
  <si>
    <t>Суоттунский наслег</t>
  </si>
  <si>
    <t>Огородтах</t>
  </si>
  <si>
    <t>62.4530555555556</t>
  </si>
  <si>
    <t>130.141388888889</t>
  </si>
  <si>
    <t>Сасылыкан</t>
  </si>
  <si>
    <t>62.4761111111111</t>
  </si>
  <si>
    <t>130.646944444444</t>
  </si>
  <si>
    <t>Хоногор</t>
  </si>
  <si>
    <t>62.47</t>
  </si>
  <si>
    <t>130.11</t>
  </si>
  <si>
    <t>Байагантайский 2-й наслег</t>
  </si>
  <si>
    <t>62.7544444444444</t>
  </si>
  <si>
    <t>131.960277777778</t>
  </si>
  <si>
    <t>Легойский 2-й наслег</t>
  </si>
  <si>
    <t>Тулуна</t>
  </si>
  <si>
    <t>62.8080555555556</t>
  </si>
  <si>
    <t>131.075833333333</t>
  </si>
  <si>
    <t>Тюляхский наслег</t>
  </si>
  <si>
    <t>Кылайы</t>
  </si>
  <si>
    <t>132.12</t>
  </si>
  <si>
    <t>Маягас</t>
  </si>
  <si>
    <t>62.6263888888889</t>
  </si>
  <si>
    <t>131.148333333333</t>
  </si>
  <si>
    <t>Чериктейский наслег</t>
  </si>
  <si>
    <t>Чериктей</t>
  </si>
  <si>
    <t>63.2327777777778</t>
  </si>
  <si>
    <t>130.989444444444</t>
  </si>
  <si>
    <t>Хоринский 1-й наслег</t>
  </si>
  <si>
    <t>62.64</t>
  </si>
  <si>
    <t>131.2</t>
  </si>
  <si>
    <t>Городские поселения Усть-Майского муниципального района</t>
  </si>
  <si>
    <t>поселок Усть-Мая</t>
  </si>
  <si>
    <t>Усть-Мая</t>
  </si>
  <si>
    <t>60.4152777777778</t>
  </si>
  <si>
    <t>134.543055555556</t>
  </si>
  <si>
    <t>59.1591666666667</t>
  </si>
  <si>
    <t>135.175277777778</t>
  </si>
  <si>
    <t>поселок Звездочка</t>
  </si>
  <si>
    <t>Звездочка</t>
  </si>
  <si>
    <t>60.4872222222222</t>
  </si>
  <si>
    <t>137.65</t>
  </si>
  <si>
    <t>поселок Солнечный</t>
  </si>
  <si>
    <t>Солнечный</t>
  </si>
  <si>
    <t>60.3022222222222</t>
  </si>
  <si>
    <t>137.556944444444</t>
  </si>
  <si>
    <t>Усть-Ыныкчан</t>
  </si>
  <si>
    <t>60.2647222222222</t>
  </si>
  <si>
    <t>137.506111111111</t>
  </si>
  <si>
    <t>поселок Эльдикан</t>
  </si>
  <si>
    <t>60.775</t>
  </si>
  <si>
    <t>135.148611111111</t>
  </si>
  <si>
    <t>8-й км</t>
  </si>
  <si>
    <t>60.7269444444444</t>
  </si>
  <si>
    <t>135.076944444444</t>
  </si>
  <si>
    <t>59.75380440</t>
  </si>
  <si>
    <t>137.69200388</t>
  </si>
  <si>
    <t>Сельские поселения Усть-Майского муниципального района</t>
  </si>
  <si>
    <t>59.18455060</t>
  </si>
  <si>
    <t>131.89336840</t>
  </si>
  <si>
    <t>Кюпский эвенкийский национальный наслег</t>
  </si>
  <si>
    <t>Кюпцы</t>
  </si>
  <si>
    <t>60.8633333333333</t>
  </si>
  <si>
    <t>135.325555555556</t>
  </si>
  <si>
    <t>60.9658333333333</t>
  </si>
  <si>
    <t>135.281111111111</t>
  </si>
  <si>
    <t>59.64020810</t>
  </si>
  <si>
    <t>133.11911646</t>
  </si>
  <si>
    <t>Петропавловский национальный наслег</t>
  </si>
  <si>
    <t>Петропавловск</t>
  </si>
  <si>
    <t>60.3691666666667</t>
  </si>
  <si>
    <t>134.458333333333</t>
  </si>
  <si>
    <t>60.3416666666667</t>
  </si>
  <si>
    <t>134.457777777778</t>
  </si>
  <si>
    <t>Эжанский национальный наслег</t>
  </si>
  <si>
    <t>Эжанцы</t>
  </si>
  <si>
    <t>135.168055555556</t>
  </si>
  <si>
    <t>Межселенные территории Усть-Майского муниципального района</t>
  </si>
  <si>
    <t>Межселенные территории Усть-Майского муниципального района, находящиеся вне границ городского и сельских поселений (бывшие территории поселков Аллах-Юнь, Бриндакит, Ыныкчан)</t>
  </si>
  <si>
    <t>Городские поселения Усть-Янского муниципального района</t>
  </si>
  <si>
    <t>поселок Депутатский</t>
  </si>
  <si>
    <t>Депутатский</t>
  </si>
  <si>
    <t>69.3408333333333</t>
  </si>
  <si>
    <t>139.950555555556</t>
  </si>
  <si>
    <t>поселок Нижнеянск</t>
  </si>
  <si>
    <t>71.4405555555556</t>
  </si>
  <si>
    <t>136.146944444444</t>
  </si>
  <si>
    <t>поселок Усть-Куйга</t>
  </si>
  <si>
    <t>70.0025</t>
  </si>
  <si>
    <t>135.544722222222</t>
  </si>
  <si>
    <t>Сельские поселения Усть-Янского муниципального района</t>
  </si>
  <si>
    <t>Казачинский национальный наслег</t>
  </si>
  <si>
    <t>Казачье</t>
  </si>
  <si>
    <t>70.7444444444444</t>
  </si>
  <si>
    <t>136.208055555556</t>
  </si>
  <si>
    <t>Омолойский национальный наслег</t>
  </si>
  <si>
    <t>Хайыр</t>
  </si>
  <si>
    <t>70.8130555555556</t>
  </si>
  <si>
    <t>133.498055555556</t>
  </si>
  <si>
    <t>Силянняхский национальный наслег</t>
  </si>
  <si>
    <t>68.9644444444444</t>
  </si>
  <si>
    <t>138.412222222222</t>
  </si>
  <si>
    <t>Туматский национальный наслег</t>
  </si>
  <si>
    <t>Тумат</t>
  </si>
  <si>
    <t>70.7222222222222</t>
  </si>
  <si>
    <t>139.226111111111</t>
  </si>
  <si>
    <t>Усть-Янский национальный наслег</t>
  </si>
  <si>
    <t>Усть-Янск</t>
  </si>
  <si>
    <t>70.9133333333333</t>
  </si>
  <si>
    <t>136.449722222222</t>
  </si>
  <si>
    <t>Уяндинский эвенский национальный наслег</t>
  </si>
  <si>
    <t>69.32036844</t>
  </si>
  <si>
    <t>140.93348566</t>
  </si>
  <si>
    <t>Юкагирский национальный (кочевой) наслег</t>
  </si>
  <si>
    <t>Юкагир</t>
  </si>
  <si>
    <t>71.7747222222222</t>
  </si>
  <si>
    <t>139.846666666667</t>
  </si>
  <si>
    <t>Сельские поселения Чурапчинского муниципального района</t>
  </si>
  <si>
    <t>Алагарский наслег</t>
  </si>
  <si>
    <t>Чыаппара</t>
  </si>
  <si>
    <t>62.1844444444444</t>
  </si>
  <si>
    <t>131.412222222222</t>
  </si>
  <si>
    <t>Бахсытский наслег</t>
  </si>
  <si>
    <t>62.29392083</t>
  </si>
  <si>
    <t>131.54723954</t>
  </si>
  <si>
    <t>Лебия</t>
  </si>
  <si>
    <t>62.3091666666667</t>
  </si>
  <si>
    <t>131.435833333333</t>
  </si>
  <si>
    <t>Болтогинский наслег</t>
  </si>
  <si>
    <t>Харбала 2-я</t>
  </si>
  <si>
    <t>62.0394444444444</t>
  </si>
  <si>
    <t>132.745833333333</t>
  </si>
  <si>
    <t>Кындал</t>
  </si>
  <si>
    <t>62.1302777777778</t>
  </si>
  <si>
    <t>132.741666666667</t>
  </si>
  <si>
    <t>Мындагай</t>
  </si>
  <si>
    <t>61.6433333333333</t>
  </si>
  <si>
    <t>133.200555555556</t>
  </si>
  <si>
    <t>Кыстык-Кугда</t>
  </si>
  <si>
    <t>61.6122222222222</t>
  </si>
  <si>
    <t>133.180277777778</t>
  </si>
  <si>
    <t>Кытанахский наслег</t>
  </si>
  <si>
    <t>Килянки</t>
  </si>
  <si>
    <t>62.2586111111111</t>
  </si>
  <si>
    <t>132.363055555556</t>
  </si>
  <si>
    <t>62.3652777777778</t>
  </si>
  <si>
    <t>132.610277777778</t>
  </si>
  <si>
    <t>Мугудайский наслег</t>
  </si>
  <si>
    <t>Маралайы</t>
  </si>
  <si>
    <t>61.9825</t>
  </si>
  <si>
    <t>131.922222222222</t>
  </si>
  <si>
    <t>Ожулунский наслег</t>
  </si>
  <si>
    <t>Дябыла</t>
  </si>
  <si>
    <t>61.9022222222222</t>
  </si>
  <si>
    <t>132.354444444444</t>
  </si>
  <si>
    <t>Юрях-Кюёре</t>
  </si>
  <si>
    <t>61.8147222222222</t>
  </si>
  <si>
    <t>132.405833333333</t>
  </si>
  <si>
    <t>Василий-Аласа</t>
  </si>
  <si>
    <t>61.79</t>
  </si>
  <si>
    <t>132.566388888889</t>
  </si>
  <si>
    <t>Соловьевский наслег</t>
  </si>
  <si>
    <t>Мырыла</t>
  </si>
  <si>
    <t>61.8338888888889</t>
  </si>
  <si>
    <t>133.640277777778</t>
  </si>
  <si>
    <t>Хахыях</t>
  </si>
  <si>
    <t>61.7405555555556</t>
  </si>
  <si>
    <t>133.6625</t>
  </si>
  <si>
    <t>Сыланский наслег</t>
  </si>
  <si>
    <t>62.1652777777778</t>
  </si>
  <si>
    <t>132.175833333333</t>
  </si>
  <si>
    <t>Беря</t>
  </si>
  <si>
    <t>62.1772222222222</t>
  </si>
  <si>
    <t>132.02</t>
  </si>
  <si>
    <t>62.2613888888889</t>
  </si>
  <si>
    <t>132.1375</t>
  </si>
  <si>
    <t>Огусур</t>
  </si>
  <si>
    <t>62.1386111111111</t>
  </si>
  <si>
    <t>132.431666666667</t>
  </si>
  <si>
    <t>Дярла</t>
  </si>
  <si>
    <t>62.0547222222222</t>
  </si>
  <si>
    <t>132.414722222222</t>
  </si>
  <si>
    <t>Телейский наслег</t>
  </si>
  <si>
    <t>Телей-Диринг</t>
  </si>
  <si>
    <t>61.985</t>
  </si>
  <si>
    <t>132.165</t>
  </si>
  <si>
    <t>Мяндийе</t>
  </si>
  <si>
    <t>61.9383333333333</t>
  </si>
  <si>
    <t>132.121388888889</t>
  </si>
  <si>
    <t>Хадарский наслег</t>
  </si>
  <si>
    <t>Юрюнг-Кюёль</t>
  </si>
  <si>
    <t>61.7580555555556</t>
  </si>
  <si>
    <t>132.009722222222</t>
  </si>
  <si>
    <t>Уорга</t>
  </si>
  <si>
    <t>61.7486111111111</t>
  </si>
  <si>
    <t>132.298055555556</t>
  </si>
  <si>
    <t>Хатылынский наслег</t>
  </si>
  <si>
    <t>Харбала 1-я</t>
  </si>
  <si>
    <t>61.9897222222222</t>
  </si>
  <si>
    <t>132.575555555556</t>
  </si>
  <si>
    <t>Хаяхсытский наслег</t>
  </si>
  <si>
    <t>131.943055555556</t>
  </si>
  <si>
    <t>Хоптогинский наслег</t>
  </si>
  <si>
    <t>Диринг</t>
  </si>
  <si>
    <t>61.8455555555556</t>
  </si>
  <si>
    <t>132.123055555556</t>
  </si>
  <si>
    <t>Улахан-Эбя</t>
  </si>
  <si>
    <t>61.8877777777778</t>
  </si>
  <si>
    <t>131.661111111111</t>
  </si>
  <si>
    <t>61.6588888888889</t>
  </si>
  <si>
    <t>132.082222222222</t>
  </si>
  <si>
    <t>Чурапчинский наслег</t>
  </si>
  <si>
    <t>Чурапча</t>
  </si>
  <si>
    <t>132.4275</t>
  </si>
  <si>
    <t>Сельские поселения Эвено-Бытантайского национального муниципального района</t>
  </si>
  <si>
    <t>Верхне-Бытантайский наслег</t>
  </si>
  <si>
    <t>Джаргалах</t>
  </si>
  <si>
    <t>67.2727777777778</t>
  </si>
  <si>
    <t>130.545</t>
  </si>
  <si>
    <t>Нижне-Бытантайский наслег</t>
  </si>
  <si>
    <t>Кустур</t>
  </si>
  <si>
    <t>68.1719444444444</t>
  </si>
  <si>
    <t>131.676666666667</t>
  </si>
  <si>
    <t>Алы</t>
  </si>
  <si>
    <t>68.4186111111111</t>
  </si>
  <si>
    <t>132.393333333333</t>
  </si>
  <si>
    <t>Тюгясирский наслег</t>
  </si>
  <si>
    <t>Батагай-Алыта</t>
  </si>
  <si>
    <t>67.7983333333333</t>
  </si>
  <si>
    <t>130.401388888889</t>
  </si>
  <si>
    <t>Городские поселения Нерюнгринского муниципального района</t>
  </si>
  <si>
    <t>город Нерюнгри</t>
  </si>
  <si>
    <t>56.6611111111111</t>
  </si>
  <si>
    <t>124.718888888889</t>
  </si>
  <si>
    <t>поселок Беркакит</t>
  </si>
  <si>
    <t>Беркакит</t>
  </si>
  <si>
    <t>56.5766666666667</t>
  </si>
  <si>
    <t>124.775833333333</t>
  </si>
  <si>
    <t>поселок Золотинка</t>
  </si>
  <si>
    <t>56.1811111111111</t>
  </si>
  <si>
    <t>124.8625</t>
  </si>
  <si>
    <t>поселок Серебряный Бор</t>
  </si>
  <si>
    <t>Серебряный Бор</t>
  </si>
  <si>
    <t>56.6744444444444</t>
  </si>
  <si>
    <t>124.836388888889</t>
  </si>
  <si>
    <t>поселок Хани</t>
  </si>
  <si>
    <t>Хани</t>
  </si>
  <si>
    <t>56.9186111111111</t>
  </si>
  <si>
    <t>119.972222222222</t>
  </si>
  <si>
    <t>поселок Чульман</t>
  </si>
  <si>
    <t>56.8713888888889</t>
  </si>
  <si>
    <t>124.892777777778</t>
  </si>
  <si>
    <t>Большой Хатыми</t>
  </si>
  <si>
    <t>57.3797222222222</t>
  </si>
  <si>
    <t>124.896666666667</t>
  </si>
  <si>
    <t>Сельские поселения Нерюнгринского муниципального района</t>
  </si>
  <si>
    <t>Иенгринский эвенкийский национальный наслег</t>
  </si>
  <si>
    <t>56.2225</t>
  </si>
  <si>
    <t>124.848888888889</t>
  </si>
  <si>
    <t>Муниципальные образования Иркутской области</t>
  </si>
  <si>
    <t>Муниципальные районы Иркутской области</t>
  </si>
  <si>
    <t>Усть-Кутский муниципальный район</t>
  </si>
  <si>
    <t>Городские поселения Усть-Кутского муниципального района</t>
  </si>
  <si>
    <t>Усть-Кутское</t>
  </si>
  <si>
    <t>56.78102276</t>
  </si>
  <si>
    <t>105.76494981</t>
  </si>
  <si>
    <t>Киренский муниципальный район</t>
  </si>
  <si>
    <t>Городские поселения Киренского муниципального района</t>
  </si>
  <si>
    <t>Киренское</t>
  </si>
  <si>
    <t>57.77852776</t>
  </si>
  <si>
    <t>108.30841352</t>
  </si>
  <si>
    <t>Межселенные территории Киренского муниципального района</t>
  </si>
  <si>
    <t>Межселенные территории Киренского муниципального района, на территории которых расположены земли следующих населенных пунктов: с Улькан, с Красноярово, п Визирный</t>
  </si>
  <si>
    <t>58.89274691</t>
  </si>
  <si>
    <t>111.25596811</t>
  </si>
  <si>
    <t>Бодайбинский муниципальный район</t>
  </si>
  <si>
    <t>Городские поселения Бодайбинского муниципального района</t>
  </si>
  <si>
    <t>Бодайбинское</t>
  </si>
  <si>
    <t>57.84838801</t>
  </si>
  <si>
    <t>114.20944501</t>
  </si>
  <si>
    <t>Муниципальные образования Республики Бурятии</t>
  </si>
  <si>
    <t>Муниципальные районы Республики Бурятии</t>
  </si>
  <si>
    <t>Баунтовский эвенкийский муниципальный район</t>
  </si>
  <si>
    <t>Сельские поселения Баунтовского эвенкийского муниципального района</t>
  </si>
  <si>
    <t>Витимское</t>
  </si>
  <si>
    <t>53.21692299</t>
  </si>
  <si>
    <t>112.77502109</t>
  </si>
  <si>
    <t>Муниципальные образования Забайкальского края</t>
  </si>
  <si>
    <t>Муниципальные округа Забайкальского края</t>
  </si>
  <si>
    <t>Каларский муниципальный округ</t>
  </si>
  <si>
    <t>56.48953977</t>
  </si>
  <si>
    <t>115.70212652</t>
  </si>
  <si>
    <t>Тунгиро-Олёкминский муниципальный район</t>
  </si>
  <si>
    <t>Межселенные территории Тунгиро-Олёкминского муниципального района</t>
  </si>
  <si>
    <t>Межселенная территория Тунгиро-Олёкминского муниципального района, находящаяся вне границ сельских поселений, с расположенными на этой территории с Моклакан, с Средняя Олёкма, с Гуля</t>
  </si>
  <si>
    <t>Средняя Олёкма</t>
  </si>
  <si>
    <t>55.42536657</t>
  </si>
  <si>
    <t>120.54409315</t>
  </si>
  <si>
    <t>Муниципальные образования Хабаровского края</t>
  </si>
  <si>
    <t>08000000</t>
  </si>
  <si>
    <t>Муниципальные районы Хабаровского края</t>
  </si>
  <si>
    <t>08600000</t>
  </si>
  <si>
    <t>Аяно-Майский муниципальный район</t>
  </si>
  <si>
    <t>08606000</t>
  </si>
  <si>
    <t>Сельские поселения Аяно-Майского муниципального района</t>
  </si>
  <si>
    <t>Нельканское</t>
  </si>
  <si>
    <t>57.65899991</t>
  </si>
  <si>
    <t>136.17261697</t>
  </si>
  <si>
    <t>Аимское</t>
  </si>
  <si>
    <t>58.77265568</t>
  </si>
  <si>
    <t>134.25318529</t>
  </si>
  <si>
    <t>Муниципальные образования Магаданской области</t>
  </si>
  <si>
    <t>Муниципальные округа Магаданской области</t>
  </si>
  <si>
    <t>Среднеканский</t>
  </si>
  <si>
    <t>пгт</t>
  </si>
  <si>
    <t>62.92780894</t>
  </si>
  <si>
    <t>152.40942289</t>
  </si>
  <si>
    <t>63.91556281</t>
  </si>
  <si>
    <t>154.09724046</t>
  </si>
  <si>
    <t>Сельские поселения Киренского муниципального района</t>
  </si>
  <si>
    <t>Коршуновское</t>
  </si>
  <si>
    <t>д</t>
  </si>
  <si>
    <t>Дарьина</t>
  </si>
  <si>
    <t>58.31825193</t>
  </si>
  <si>
    <t>109.65784360</t>
  </si>
  <si>
    <t>Сельские поселения Бодайбинского муниципального района</t>
  </si>
  <si>
    <t>Жуинское</t>
  </si>
  <si>
    <t>Большой Патом</t>
  </si>
  <si>
    <t>60.07808861</t>
  </si>
  <si>
    <t>116.89663221</t>
  </si>
  <si>
    <t>Сокращения населенных пунктов</t>
  </si>
  <si>
    <t>Снегозапасы</t>
  </si>
  <si>
    <t>Толщина льда</t>
  </si>
  <si>
    <t>Реестр затопленных населенных пунктов</t>
  </si>
  <si>
    <t>Метеоданные</t>
  </si>
  <si>
    <t>город</t>
  </si>
  <si>
    <t>Бассейн рек</t>
  </si>
  <si>
    <t>Изменен</t>
  </si>
  <si>
    <t>ОКТМО из ОКТМО</t>
  </si>
  <si>
    <t>Из ОКТМО</t>
  </si>
  <si>
    <t>Наслег из ОКТМО</t>
  </si>
  <si>
    <t>Оригинал</t>
  </si>
  <si>
    <t>Примечания</t>
  </si>
  <si>
    <t>Наслег (для проверки)</t>
  </si>
  <si>
    <t>Район (для проверки)</t>
  </si>
  <si>
    <t>Индексы</t>
  </si>
  <si>
    <t>измененный н.п.</t>
  </si>
  <si>
    <t>Район (проверка)</t>
  </si>
  <si>
    <t>Наслег (проверка)</t>
  </si>
  <si>
    <t xml:space="preserve">Витим </t>
  </si>
  <si>
    <t>удален пробел</t>
  </si>
  <si>
    <t>микрорайон</t>
  </si>
  <si>
    <t>поселок городского типа</t>
  </si>
  <si>
    <t>деревня</t>
  </si>
  <si>
    <t>Олекминск</t>
  </si>
  <si>
    <t>Саныяхтат</t>
  </si>
  <si>
    <t>Усть-Мома</t>
  </si>
  <si>
    <t>Исить</t>
  </si>
  <si>
    <t>Усть- Миль</t>
  </si>
  <si>
    <t>Чаран</t>
  </si>
  <si>
    <t>2 Чаранг - М-К и У-А - другие</t>
  </si>
  <si>
    <t>Охотский перевоз</t>
  </si>
  <si>
    <t>Охотский-перевоз</t>
  </si>
  <si>
    <t>Чернышевск</t>
  </si>
  <si>
    <t>р.Вилюй</t>
  </si>
  <si>
    <t>Терють</t>
  </si>
  <si>
    <t>Терютов тоже много</t>
  </si>
  <si>
    <t>В.Вилюйск</t>
  </si>
  <si>
    <t>Хатырык Хомо</t>
  </si>
  <si>
    <t>Вехоянск</t>
  </si>
  <si>
    <t>Дополнительно</t>
  </si>
  <si>
    <t>Кыллайы</t>
  </si>
  <si>
    <t>Крест-Кытыл (Хамагатта)</t>
  </si>
  <si>
    <t>Аппаны (Хатын-Ары)</t>
  </si>
  <si>
    <t>Кысыл-Деревня (Красная Деревня)</t>
  </si>
  <si>
    <t>Бютяй-Юрдя (Бетюн)</t>
  </si>
  <si>
    <t>Тумул (Модут)</t>
  </si>
  <si>
    <t>Модут Намский</t>
  </si>
  <si>
    <t>Столбы (Хатырык)</t>
  </si>
  <si>
    <t>Хатырык Намский</t>
  </si>
  <si>
    <t>Харыялах (Кебекен)</t>
  </si>
  <si>
    <t>Огородтах (Соттинцы) уч. Хоногор</t>
  </si>
  <si>
    <t>Дополнительные</t>
  </si>
  <si>
    <t>р.Лена</t>
  </si>
  <si>
    <t>Аргас (Куокуй)</t>
  </si>
  <si>
    <t>Джикимда</t>
  </si>
  <si>
    <t>р.Амга</t>
  </si>
  <si>
    <t>р.Алдан</t>
  </si>
  <si>
    <t>Токо</t>
  </si>
  <si>
    <t>Охотский Перевоз</t>
  </si>
  <si>
    <t>Сегян-Кюель</t>
  </si>
  <si>
    <t>р.Индигирка</t>
  </si>
  <si>
    <t>р.Яна</t>
  </si>
  <si>
    <t>р.Оленек</t>
  </si>
  <si>
    <t>р.Анабар</t>
  </si>
  <si>
    <t>Дая-Амгата</t>
  </si>
  <si>
    <t>Эйк</t>
  </si>
  <si>
    <t>Югаренок</t>
  </si>
  <si>
    <t>Жархан (р.Марха)</t>
  </si>
  <si>
    <t>В Сунтарском тоже есть</t>
  </si>
  <si>
    <t>Без населенных пунктов</t>
  </si>
  <si>
    <t>Бестяхская з/ф</t>
  </si>
  <si>
    <t>Кресты</t>
  </si>
  <si>
    <t>Килеер</t>
  </si>
  <si>
    <t>Канку</t>
  </si>
  <si>
    <t>Олекма</t>
  </si>
  <si>
    <t>Туой-Хая</t>
  </si>
  <si>
    <t>От-Юрях</t>
  </si>
  <si>
    <t>Оз. Сыаганнаах</t>
  </si>
  <si>
    <t>Хаар-Бала5ан</t>
  </si>
  <si>
    <t>Оз. Чагда</t>
  </si>
  <si>
    <t>Тюмети</t>
  </si>
  <si>
    <t>Дьюктюэнэ</t>
  </si>
  <si>
    <t>Иэма</t>
  </si>
  <si>
    <t>Екючю</t>
  </si>
  <si>
    <t>Куохара</t>
  </si>
  <si>
    <t>р. Индигирка</t>
  </si>
  <si>
    <t>Суола (Морук)</t>
  </si>
  <si>
    <t>Морук</t>
  </si>
  <si>
    <t>Бедьиме</t>
  </si>
  <si>
    <t>Верхоянский Перевоз</t>
  </si>
  <si>
    <t>Хорообут</t>
  </si>
  <si>
    <t>Мыла</t>
  </si>
  <si>
    <t>Оз. Мемен</t>
  </si>
  <si>
    <t>Туора-Кюель</t>
  </si>
  <si>
    <t>Салбанг (Хонгор-Биэ)</t>
  </si>
  <si>
    <t>Баяга</t>
  </si>
  <si>
    <t>Томтор (Борулахский)</t>
  </si>
  <si>
    <t>Борулах</t>
  </si>
  <si>
    <t>Томтор (Дулгалах)</t>
  </si>
  <si>
    <t>Уяндина</t>
  </si>
  <si>
    <t>Оз. Хатынгнах</t>
  </si>
  <si>
    <t>Нера</t>
  </si>
  <si>
    <t>Момыя</t>
  </si>
  <si>
    <t>Юдома</t>
  </si>
  <si>
    <t>Индигирский</t>
  </si>
  <si>
    <t>Бедеме</t>
  </si>
  <si>
    <t>oktmo</t>
  </si>
  <si>
    <t>region</t>
  </si>
  <si>
    <t>municipality</t>
  </si>
  <si>
    <t>settlement</t>
  </si>
  <si>
    <t>type</t>
  </si>
  <si>
    <t>Геоточка</t>
  </si>
  <si>
    <t>latitude_dms</t>
  </si>
  <si>
    <t>longitude_dms</t>
  </si>
  <si>
    <t>latitude_dd</t>
  </si>
  <si>
    <t>longitude_dd</t>
  </si>
  <si>
    <t>Республика Саха (Якутия)</t>
  </si>
  <si>
    <t>Абыйский</t>
  </si>
  <si>
    <t>[68.3936111111111,145.068888888889]</t>
  </si>
  <si>
    <t>68.23.37</t>
  </si>
  <si>
    <t>145.04.08</t>
  </si>
  <si>
    <t>[68.5375,146.193333333333]</t>
  </si>
  <si>
    <t>68.32.15</t>
  </si>
  <si>
    <t>146.11.36</t>
  </si>
  <si>
    <t>Деску</t>
  </si>
  <si>
    <t>[68.37,144.525]</t>
  </si>
  <si>
    <t>68.22.12</t>
  </si>
  <si>
    <t>144.31.30</t>
  </si>
  <si>
    <t>Кенг-Кюель</t>
  </si>
  <si>
    <t>[68.0761111111111,145.995277777778]</t>
  </si>
  <si>
    <t>68.04.34</t>
  </si>
  <si>
    <t>145.59.43</t>
  </si>
  <si>
    <t>[67.7702777777778,144.4875]</t>
  </si>
  <si>
    <t>67.46.13</t>
  </si>
  <si>
    <t>144.29.15</t>
  </si>
  <si>
    <t>[68.5527777777778,146.162222222222]</t>
  </si>
  <si>
    <t>68.33.10</t>
  </si>
  <si>
    <t>146.09.44</t>
  </si>
  <si>
    <t>[68.3708333333333,143.633055555556]</t>
  </si>
  <si>
    <t>68.22.15</t>
  </si>
  <si>
    <t>143.37.59</t>
  </si>
  <si>
    <t>[58.6030555555556,125.384444444444]</t>
  </si>
  <si>
    <t>58.36.11</t>
  </si>
  <si>
    <t>125.23.04</t>
  </si>
  <si>
    <t>[58.7436111111111,126.387222222222]</t>
  </si>
  <si>
    <t>58.44.37</t>
  </si>
  <si>
    <t>126.23.14</t>
  </si>
  <si>
    <t>[58.0416666666667,125.482777777778]</t>
  </si>
  <si>
    <t>58.02.30</t>
  </si>
  <si>
    <t>125.28.58</t>
  </si>
  <si>
    <t>[58.755,125.483333333333]</t>
  </si>
  <si>
    <t>58.45.18</t>
  </si>
  <si>
    <t>125.29.00</t>
  </si>
  <si>
    <t>[59.6488888888889,127.116111111111]</t>
  </si>
  <si>
    <t>59.38.56</t>
  </si>
  <si>
    <t>127.06.58</t>
  </si>
  <si>
    <t>[59.015,131.744444444444]</t>
  </si>
  <si>
    <t>59.00.54</t>
  </si>
  <si>
    <t>131.44.40</t>
  </si>
  <si>
    <t>[58.4922222222222,125.501388888889]</t>
  </si>
  <si>
    <t>58.29.32</t>
  </si>
  <si>
    <t>125.30.05</t>
  </si>
  <si>
    <t>[58.5766666666667,125.435277777778]</t>
  </si>
  <si>
    <t>58.34.36</t>
  </si>
  <si>
    <t>125.26.07</t>
  </si>
  <si>
    <t>[58.8175,125.527222222222]</t>
  </si>
  <si>
    <t>58.49.03</t>
  </si>
  <si>
    <t>125.31.38</t>
  </si>
  <si>
    <t>[58.4841666666667,125.424166666667]</t>
  </si>
  <si>
    <t>58.29.03</t>
  </si>
  <si>
    <t>125.25.27</t>
  </si>
  <si>
    <t>[58.5452777777778,125.377777777778]</t>
  </si>
  <si>
    <t>58.32.43</t>
  </si>
  <si>
    <t>125.22.40</t>
  </si>
  <si>
    <t>[58.9594444444444,126.269722222222]</t>
  </si>
  <si>
    <t>58.57.34</t>
  </si>
  <si>
    <t>126.16.11</t>
  </si>
  <si>
    <t>[59.2536111111111,125.290555555556]</t>
  </si>
  <si>
    <t>59.15.13</t>
  </si>
  <si>
    <t>125.17.26</t>
  </si>
  <si>
    <t>[60.315,127.431666666667]</t>
  </si>
  <si>
    <t>60.18.54</t>
  </si>
  <si>
    <t>127.25.54</t>
  </si>
  <si>
    <t>[58.9230555555556,125.16]</t>
  </si>
  <si>
    <t>58.55.23</t>
  </si>
  <si>
    <t>125.09.36</t>
  </si>
  <si>
    <t>[58.7494444444444,130.608333333333]</t>
  </si>
  <si>
    <t>58.44.58</t>
  </si>
  <si>
    <t>130.36.30</t>
  </si>
  <si>
    <t>[58.5791666666667,126.6875]</t>
  </si>
  <si>
    <t>58.34.45</t>
  </si>
  <si>
    <t>126.41.15</t>
  </si>
  <si>
    <t>[58.8975,125.8375]</t>
  </si>
  <si>
    <t>58.53.51</t>
  </si>
  <si>
    <t>125.50.15</t>
  </si>
  <si>
    <t>[58.5283333333333,125.716388888889]</t>
  </si>
  <si>
    <t>58.31.42</t>
  </si>
  <si>
    <t>125.42.59</t>
  </si>
  <si>
    <t>Аллаиховский</t>
  </si>
  <si>
    <t>[69.5758333333333,147.532777777778]</t>
  </si>
  <si>
    <t>69.34.33</t>
  </si>
  <si>
    <t>147.31.58</t>
  </si>
  <si>
    <t>[69.9338888888889,146.209722222222]</t>
  </si>
  <si>
    <t>69.56.02</t>
  </si>
  <si>
    <t>146.12.35</t>
  </si>
  <si>
    <t>[70.6522222222222,148.682777777778]</t>
  </si>
  <si>
    <t>70.39.08</t>
  </si>
  <si>
    <t>148.40.58</t>
  </si>
  <si>
    <t>[69.8113888888889,147.486388888889]</t>
  </si>
  <si>
    <t>69.48.41</t>
  </si>
  <si>
    <t>147.29.11</t>
  </si>
  <si>
    <t>[71.1330555555556,149.278888888889]</t>
  </si>
  <si>
    <t>71.07.59</t>
  </si>
  <si>
    <t>149.16.44</t>
  </si>
  <si>
    <t>[70.5327777777778,144.7025]</t>
  </si>
  <si>
    <t>70.31.58</t>
  </si>
  <si>
    <t>144.42.09</t>
  </si>
  <si>
    <t>[70.6194444444444,147.898333333333]</t>
  </si>
  <si>
    <t>70.37.10</t>
  </si>
  <si>
    <t>147.53.54</t>
  </si>
  <si>
    <t>Амгинский</t>
  </si>
  <si>
    <t>[61.0430555555556,132.283333333333]</t>
  </si>
  <si>
    <t>61.02.35</t>
  </si>
  <si>
    <t>132.17.00</t>
  </si>
  <si>
    <t>[61.4702777777778,131.501944444444]</t>
  </si>
  <si>
    <t>61.28.13</t>
  </si>
  <si>
    <t>131.30.07</t>
  </si>
  <si>
    <t>[60.8972222222222,131.980555555556]</t>
  </si>
  <si>
    <t>60.53.50</t>
  </si>
  <si>
    <t>131.58.50</t>
  </si>
  <si>
    <t>[60.9272222222222,132.150277777778]</t>
  </si>
  <si>
    <t>60.55.38</t>
  </si>
  <si>
    <t>132.09.01</t>
  </si>
  <si>
    <t>[60.6025,131.473611111111]</t>
  </si>
  <si>
    <t>60.36.09</t>
  </si>
  <si>
    <t>131.28.25</t>
  </si>
  <si>
    <t>[60.6861111111111,131.601111111111]</t>
  </si>
  <si>
    <t>60.41.10</t>
  </si>
  <si>
    <t>131.36.04</t>
  </si>
  <si>
    <t>[60.4797222222222,131.189722222222]</t>
  </si>
  <si>
    <t>60.28.47</t>
  </si>
  <si>
    <t>131.11.23</t>
  </si>
  <si>
    <t>[61.2136111111111,132.681111111111]</t>
  </si>
  <si>
    <t>61.12.49</t>
  </si>
  <si>
    <t>132.40.52</t>
  </si>
  <si>
    <t>[61.1808333333333,132.551388888889]</t>
  </si>
  <si>
    <t>61.10.51</t>
  </si>
  <si>
    <t>132.33.05</t>
  </si>
  <si>
    <t>[61.2788888888889,130.877777777778]</t>
  </si>
  <si>
    <t>61.16.44</t>
  </si>
  <si>
    <t>130.52.40</t>
  </si>
  <si>
    <t>Оннес</t>
  </si>
  <si>
    <t>[60.4613888888889,131.099444444444]</t>
  </si>
  <si>
    <t>60.27.41</t>
  </si>
  <si>
    <t>131.05.58</t>
  </si>
  <si>
    <t>[60.7586111111111,131.781388888889]</t>
  </si>
  <si>
    <t>60.45.31</t>
  </si>
  <si>
    <t>131.46.53</t>
  </si>
  <si>
    <t>[60.9027777777778,132.031944444444]</t>
  </si>
  <si>
    <t>60.54.10</t>
  </si>
  <si>
    <t>132.01.55</t>
  </si>
  <si>
    <t>[61.5658333333333,131.529722222222]</t>
  </si>
  <si>
    <t>61.33.57</t>
  </si>
  <si>
    <t>131.31.47</t>
  </si>
  <si>
    <t>[61.5388888888889,132.901944444444]</t>
  </si>
  <si>
    <t>61.32.20</t>
  </si>
  <si>
    <t>132.54.07</t>
  </si>
  <si>
    <t>Сэргэ-Бэс</t>
  </si>
  <si>
    <t>[61.4883333333333,132.891666666667]</t>
  </si>
  <si>
    <t>61.29.18</t>
  </si>
  <si>
    <t>132.53.30</t>
  </si>
  <si>
    <t>Тегюльте</t>
  </si>
  <si>
    <t>[60.1586111111111,130.188611111111]</t>
  </si>
  <si>
    <t>60.09.31</t>
  </si>
  <si>
    <t>130.11.19</t>
  </si>
  <si>
    <t>[60.9027777777778,132.197777777778]</t>
  </si>
  <si>
    <t>132.11.52</t>
  </si>
  <si>
    <t>[60.8458333333333,131.838611111111]</t>
  </si>
  <si>
    <t>60.50.45</t>
  </si>
  <si>
    <t>131.50.19</t>
  </si>
  <si>
    <t>[60.9133333333333,132.031111111111]</t>
  </si>
  <si>
    <t>60.54.48</t>
  </si>
  <si>
    <t>132.01.52</t>
  </si>
  <si>
    <t>[61.3775,131.178611111111]</t>
  </si>
  <si>
    <t>61.22.39</t>
  </si>
  <si>
    <t>131.10.43</t>
  </si>
  <si>
    <t>Анабарский национальный</t>
  </si>
  <si>
    <t>[71.9652777777778,114.092222222222]</t>
  </si>
  <si>
    <t>71.57.55</t>
  </si>
  <si>
    <t>114.05.32</t>
  </si>
  <si>
    <t>[70.8902777777778,113.506944444444]</t>
  </si>
  <si>
    <t>70.53.25</t>
  </si>
  <si>
    <t>113.30.25</t>
  </si>
  <si>
    <t>[72.8119444444444,113.232222222222]</t>
  </si>
  <si>
    <t>72.48.43</t>
  </si>
  <si>
    <t>113.13.56</t>
  </si>
  <si>
    <t>Булунский</t>
  </si>
  <si>
    <t>[72.0044444444444,129.109444444444]</t>
  </si>
  <si>
    <t>72.00.16</t>
  </si>
  <si>
    <t>129.06.34</t>
  </si>
  <si>
    <t>[70.6861111111111,127.361666666667]</t>
  </si>
  <si>
    <t>70.41.10</t>
  </si>
  <si>
    <t>127.21.42</t>
  </si>
  <si>
    <t>[70.8494444444444,130.755]</t>
  </si>
  <si>
    <t>70.50.58</t>
  </si>
  <si>
    <t>130.45.18</t>
  </si>
  <si>
    <t>[69.5205555555556,132.228888888889]</t>
  </si>
  <si>
    <t>69.31.14</t>
  </si>
  <si>
    <t>132.13.44</t>
  </si>
  <si>
    <t>[69.9116666666667,125.105]</t>
  </si>
  <si>
    <t>69.54.42</t>
  </si>
  <si>
    <t>125.06.18</t>
  </si>
  <si>
    <t>[71.9091666666667,123.5725]</t>
  </si>
  <si>
    <t>71.54.33</t>
  </si>
  <si>
    <t>123.34.21</t>
  </si>
  <si>
    <t>[72.6119444444444,121.911944444444]</t>
  </si>
  <si>
    <t>72.36.43</t>
  </si>
  <si>
    <t>121.54.43</t>
  </si>
  <si>
    <t>[71.6336111111111,128.865833333333]</t>
  </si>
  <si>
    <t>71.38.01</t>
  </si>
  <si>
    <t>128.51.57</t>
  </si>
  <si>
    <t>[72.9861111111111,119.818611111111]</t>
  </si>
  <si>
    <t>72.59.10</t>
  </si>
  <si>
    <t>119.49.07</t>
  </si>
  <si>
    <t>[71.0458333333333,127.523888888889]</t>
  </si>
  <si>
    <t>71.02.45</t>
  </si>
  <si>
    <t>127.31.26</t>
  </si>
  <si>
    <t>[63.4363888888889,120.305]</t>
  </si>
  <si>
    <t>63.26.11</t>
  </si>
  <si>
    <t>120.18.18</t>
  </si>
  <si>
    <t>[64.3308333333333,119.725833333333]</t>
  </si>
  <si>
    <t>64.19.51</t>
  </si>
  <si>
    <t>119.43.33</t>
  </si>
  <si>
    <t>[63.5308333333333,120.571944444444]</t>
  </si>
  <si>
    <t>63.31.51</t>
  </si>
  <si>
    <t>120.34.19</t>
  </si>
  <si>
    <t>[64.1377777777778,119.768888888889]</t>
  </si>
  <si>
    <t>64.08.16</t>
  </si>
  <si>
    <t>119.46.08</t>
  </si>
  <si>
    <t>[63.0158333333333,121.230555555556]</t>
  </si>
  <si>
    <t>63.00.57</t>
  </si>
  <si>
    <t>121.13.50</t>
  </si>
  <si>
    <t>[63.9108333333333,120.062777777778]</t>
  </si>
  <si>
    <t>63.54.39</t>
  </si>
  <si>
    <t>120.03.46</t>
  </si>
  <si>
    <t>[63.7980555555556,120.495]</t>
  </si>
  <si>
    <t>63.47.53</t>
  </si>
  <si>
    <t>120.29.42</t>
  </si>
  <si>
    <t>[63.4447222222222,120.319722222222]</t>
  </si>
  <si>
    <t>63.26.41</t>
  </si>
  <si>
    <t>120.19.11</t>
  </si>
  <si>
    <t>[63.8677777777778,120.2475]</t>
  </si>
  <si>
    <t>63.52.04</t>
  </si>
  <si>
    <t>120.14.51</t>
  </si>
  <si>
    <t>[63.6877777777778,120.468888888889]</t>
  </si>
  <si>
    <t>63.41.16</t>
  </si>
  <si>
    <t>120.28.08</t>
  </si>
  <si>
    <t>[64.425,119.755]</t>
  </si>
  <si>
    <t>64.25.30</t>
  </si>
  <si>
    <t>119.45.18</t>
  </si>
  <si>
    <t>[64.2522222222222,119.748888888889]</t>
  </si>
  <si>
    <t>64.15.08</t>
  </si>
  <si>
    <t>119.44.56</t>
  </si>
  <si>
    <t>[63.2694444444444,120.449166666667]</t>
  </si>
  <si>
    <t>63.16.10</t>
  </si>
  <si>
    <t>120.26.57</t>
  </si>
  <si>
    <t>[63.8077777777778,120.147222222222]</t>
  </si>
  <si>
    <t>63.48.28</t>
  </si>
  <si>
    <t>120.08.50</t>
  </si>
  <si>
    <t>[63.9561111111111,120.7125]</t>
  </si>
  <si>
    <t>63.57.22</t>
  </si>
  <si>
    <t>120.42.45</t>
  </si>
  <si>
    <t>[63.5441666666667,121.003888888889]</t>
  </si>
  <si>
    <t>63.32.39</t>
  </si>
  <si>
    <t>121.00.14</t>
  </si>
  <si>
    <t>[63.7172222222222,119.864444444444]</t>
  </si>
  <si>
    <t>63.43.02</t>
  </si>
  <si>
    <t>119.51.52</t>
  </si>
  <si>
    <t>[63.7927777777778,119.859166666667]</t>
  </si>
  <si>
    <t>63.47.34</t>
  </si>
  <si>
    <t>119.51.33</t>
  </si>
  <si>
    <t>Оргет</t>
  </si>
  <si>
    <t>[63.1483333333333,120.906111111111]</t>
  </si>
  <si>
    <t>63.08.54</t>
  </si>
  <si>
    <t>120.54.22</t>
  </si>
  <si>
    <t>[63.5016666666667,120.750833333333]</t>
  </si>
  <si>
    <t>63.30.06</t>
  </si>
  <si>
    <t>120.45.03</t>
  </si>
  <si>
    <t>[63.8430555555556,120.063611111111]</t>
  </si>
  <si>
    <t>63.50.35</t>
  </si>
  <si>
    <t>120.03.49</t>
  </si>
  <si>
    <t>[63.5155555555556,120.838611111111]</t>
  </si>
  <si>
    <t>63.30.56</t>
  </si>
  <si>
    <t>120.50.19</t>
  </si>
  <si>
    <t>[61.9786111111111,122.064166666667]</t>
  </si>
  <si>
    <t>61.58.43</t>
  </si>
  <si>
    <t>122.03.51</t>
  </si>
  <si>
    <t>[64.1116666666667,120.313055555556]</t>
  </si>
  <si>
    <t>64.06.42</t>
  </si>
  <si>
    <t>120.18.47</t>
  </si>
  <si>
    <t>[63.4733333333333,120.154444444444]</t>
  </si>
  <si>
    <t>63.28.24</t>
  </si>
  <si>
    <t>120.09.16</t>
  </si>
  <si>
    <t>[63.475,120.530555555556]</t>
  </si>
  <si>
    <t>63.28.30</t>
  </si>
  <si>
    <t>120.31.50</t>
  </si>
  <si>
    <t>[63.5358333333333,120.1875]</t>
  </si>
  <si>
    <t>63.32.09</t>
  </si>
  <si>
    <t>120.11.15</t>
  </si>
  <si>
    <t>[64.1791666666667,120.192777777778]</t>
  </si>
  <si>
    <t>64.10.45</t>
  </si>
  <si>
    <t>120.11.34</t>
  </si>
  <si>
    <t>Верхнеколымский</t>
  </si>
  <si>
    <t>[65.7183333333333,150.833055555556]</t>
  </si>
  <si>
    <t>65.43.06</t>
  </si>
  <si>
    <t>150.49.59</t>
  </si>
  <si>
    <t>[65.7344444444444,150.897777777778]</t>
  </si>
  <si>
    <t>65.44.04</t>
  </si>
  <si>
    <t>150.53.52</t>
  </si>
  <si>
    <t>[65.4980555555556,151.078611111111]</t>
  </si>
  <si>
    <t>65.29.53</t>
  </si>
  <si>
    <t>151.04.43</t>
  </si>
  <si>
    <t>[65.7497222222222,149.747777777778]</t>
  </si>
  <si>
    <t>65.44.59</t>
  </si>
  <si>
    <t>149.44.52</t>
  </si>
  <si>
    <t>Усун-Кюель</t>
  </si>
  <si>
    <t>[66.345,150.51]</t>
  </si>
  <si>
    <t>66.20.42</t>
  </si>
  <si>
    <t>150.30.36</t>
  </si>
  <si>
    <t>[66.0683333333333,148.210277777778]</t>
  </si>
  <si>
    <t>66.04.06</t>
  </si>
  <si>
    <t>148.12.37</t>
  </si>
  <si>
    <t>[67.4519444444445,135.508333333333]</t>
  </si>
  <si>
    <t>67.27.07</t>
  </si>
  <si>
    <t>135.30.30</t>
  </si>
  <si>
    <t>[67.1797222222222,132.832777777778]</t>
  </si>
  <si>
    <t>67.10.47</t>
  </si>
  <si>
    <t>132.49.58</t>
  </si>
  <si>
    <t>[65.8947222222222,132.756944444444]</t>
  </si>
  <si>
    <t>65.53.41</t>
  </si>
  <si>
    <t>132.45.25</t>
  </si>
  <si>
    <t>[67.6536111111111,134.631944444444]</t>
  </si>
  <si>
    <t>67.39.13</t>
  </si>
  <si>
    <t>134.37.55</t>
  </si>
  <si>
    <t>Бетенкес</t>
  </si>
  <si>
    <t>[67.65,135.575]</t>
  </si>
  <si>
    <t>67.39.00</t>
  </si>
  <si>
    <t>135.34.30</t>
  </si>
  <si>
    <t>[67.5783333333333,133.449444444444]</t>
  </si>
  <si>
    <t>67.34.42</t>
  </si>
  <si>
    <t>133.26.58</t>
  </si>
  <si>
    <t>[67.55,133.383333333333]</t>
  </si>
  <si>
    <t>67.33.00</t>
  </si>
  <si>
    <t>133.23.00</t>
  </si>
  <si>
    <t>[67.5555555555556,132.889722222222]</t>
  </si>
  <si>
    <t>67.33.20</t>
  </si>
  <si>
    <t>132.53.23</t>
  </si>
  <si>
    <t>[66.9255555555556,132.269166666667]</t>
  </si>
  <si>
    <t>66.55.32</t>
  </si>
  <si>
    <t>132.16.09</t>
  </si>
  <si>
    <t>[69.1305555555556,134.308333333333]</t>
  </si>
  <si>
    <t>69.07.50</t>
  </si>
  <si>
    <t>134.18.30</t>
  </si>
  <si>
    <t>[68.6972222222222,134.464722222222]</t>
  </si>
  <si>
    <t>68.41.50</t>
  </si>
  <si>
    <t>134.27.53</t>
  </si>
  <si>
    <t>[66.4627777777778,136.934722222222]</t>
  </si>
  <si>
    <t>66.27.46</t>
  </si>
  <si>
    <t>136.56.05</t>
  </si>
  <si>
    <t>[67.5316666666667,134.088055555556]</t>
  </si>
  <si>
    <t>67.31.54</t>
  </si>
  <si>
    <t>134.05.17</t>
  </si>
  <si>
    <t>[66.6766666666667,131.772777777778]</t>
  </si>
  <si>
    <t>66.40.36</t>
  </si>
  <si>
    <t>131.46.22</t>
  </si>
  <si>
    <t>[66.7302777777778,132.595277777778]</t>
  </si>
  <si>
    <t>66.43.49</t>
  </si>
  <si>
    <t>132.35.43</t>
  </si>
  <si>
    <t>[67.6155555555556,136.431388888889]</t>
  </si>
  <si>
    <t>67.36.56</t>
  </si>
  <si>
    <t>136.25.53</t>
  </si>
  <si>
    <t>[67.0930555555556,134.320833333333]</t>
  </si>
  <si>
    <t>67.05.35</t>
  </si>
  <si>
    <t>134.19.15</t>
  </si>
  <si>
    <t>[67.2030555555556,132.138055555556]</t>
  </si>
  <si>
    <t>67.12.11</t>
  </si>
  <si>
    <t>132.08.17</t>
  </si>
  <si>
    <t>Улахан-Кюель</t>
  </si>
  <si>
    <t>[67.5411111111111,136.508055555556]</t>
  </si>
  <si>
    <t>67.32.28</t>
  </si>
  <si>
    <t>136.30.29</t>
  </si>
  <si>
    <t>[66.7891666666667,136.666388888889]</t>
  </si>
  <si>
    <t>66.47.21</t>
  </si>
  <si>
    <t>136.39.59</t>
  </si>
  <si>
    <t>[67.9641666666667,134.7425]</t>
  </si>
  <si>
    <t>67.57.51</t>
  </si>
  <si>
    <t>134.44.33</t>
  </si>
  <si>
    <t>[68.2291666666667,134.964444444444]</t>
  </si>
  <si>
    <t>68.13.45</t>
  </si>
  <si>
    <t>134.57.52</t>
  </si>
  <si>
    <t>[67.7502777777778,134.6975]</t>
  </si>
  <si>
    <t>67.45.01</t>
  </si>
  <si>
    <t>134.41.51</t>
  </si>
  <si>
    <t>[67.755,135.646944444444]</t>
  </si>
  <si>
    <t>67.45.18</t>
  </si>
  <si>
    <t>135.38.49</t>
  </si>
  <si>
    <t>[67.5436111111111,134.673611111111]</t>
  </si>
  <si>
    <t>67.32.37</t>
  </si>
  <si>
    <t>134.40.25</t>
  </si>
  <si>
    <t>[66.5572222222222,132.915833333333]</t>
  </si>
  <si>
    <t>66.33.26</t>
  </si>
  <si>
    <t>132.54.57</t>
  </si>
  <si>
    <t>[67.5997222222222,134.451666666667]</t>
  </si>
  <si>
    <t>67.35.59</t>
  </si>
  <si>
    <t>134.27.06</t>
  </si>
  <si>
    <t>[62.6786111111111,124.536388888889]</t>
  </si>
  <si>
    <t>62.40.43</t>
  </si>
  <si>
    <t>124.32.11</t>
  </si>
  <si>
    <t>[64.3894444444445,122.233055555556]</t>
  </si>
  <si>
    <t>64.23.22</t>
  </si>
  <si>
    <t>122.13.59</t>
  </si>
  <si>
    <t>[63.7069444444444,122.345833333333]</t>
  </si>
  <si>
    <t>63.42.25</t>
  </si>
  <si>
    <t>122.20.45</t>
  </si>
  <si>
    <t>[63.75,121.616666666667]</t>
  </si>
  <si>
    <t>63.45.00</t>
  </si>
  <si>
    <t>121.37.00</t>
  </si>
  <si>
    <t>[63.7802777777778,122.152777777778]</t>
  </si>
  <si>
    <t>63.46.49</t>
  </si>
  <si>
    <t>122.09.10</t>
  </si>
  <si>
    <t>[62.8311111111111,124.391666666667]</t>
  </si>
  <si>
    <t>62.49.52</t>
  </si>
  <si>
    <t>124.23.30</t>
  </si>
  <si>
    <t>[64.545,122.241944444444]</t>
  </si>
  <si>
    <t>64.32.42</t>
  </si>
  <si>
    <t>122.14.31</t>
  </si>
  <si>
    <t>[63.8941666666667,122.765833333333]</t>
  </si>
  <si>
    <t>63.53.39</t>
  </si>
  <si>
    <t>122.45.57</t>
  </si>
  <si>
    <t>[64.6233333333333,120.175277777778]</t>
  </si>
  <si>
    <t>64.37.24</t>
  </si>
  <si>
    <t>120.10.31</t>
  </si>
  <si>
    <t>[64.8316666666667,120.915277777778]</t>
  </si>
  <si>
    <t>64.49.54</t>
  </si>
  <si>
    <t>120.54.55</t>
  </si>
  <si>
    <t>[63.6,121.36]</t>
  </si>
  <si>
    <t>63.36.00</t>
  </si>
  <si>
    <t>121.21.36</t>
  </si>
  <si>
    <t>Лекечен</t>
  </si>
  <si>
    <t>[63.0613888888889,123.980555555556]</t>
  </si>
  <si>
    <t>63.03.41</t>
  </si>
  <si>
    <t>123.58.50</t>
  </si>
  <si>
    <t>[64.4797222222222,122.707222222222]</t>
  </si>
  <si>
    <t>64.28.47</t>
  </si>
  <si>
    <t>122.42.26</t>
  </si>
  <si>
    <t>[63.7638888888889,121.873888888889]</t>
  </si>
  <si>
    <t>63.45.50</t>
  </si>
  <si>
    <t>121.52.26</t>
  </si>
  <si>
    <t>[63.7836111111111,121.624444444444]</t>
  </si>
  <si>
    <t>63.47.01</t>
  </si>
  <si>
    <t>121.37.28</t>
  </si>
  <si>
    <t>[63.5963888888889,121.4775]</t>
  </si>
  <si>
    <t>63.35.47</t>
  </si>
  <si>
    <t>121.28.39</t>
  </si>
  <si>
    <t>[63.7669444444444,122.686388888889]</t>
  </si>
  <si>
    <t>63.46.01</t>
  </si>
  <si>
    <t>122.41.11</t>
  </si>
  <si>
    <t>[64.3730555555556,120.544722222222]</t>
  </si>
  <si>
    <t>64.22.23</t>
  </si>
  <si>
    <t>120.32.41</t>
  </si>
  <si>
    <t>[63.8777777777778,121.611666666667]</t>
  </si>
  <si>
    <t>63.52.40</t>
  </si>
  <si>
    <t>121.36.42</t>
  </si>
  <si>
    <t>[63.8338888888889,123.381944444444]</t>
  </si>
  <si>
    <t>63.50.02</t>
  </si>
  <si>
    <t>123.22.55</t>
  </si>
  <si>
    <t>[64.5183333333333,121.049166666667]</t>
  </si>
  <si>
    <t>64.31.06</t>
  </si>
  <si>
    <t>121.02.57</t>
  </si>
  <si>
    <t>[63.7430555555556,122.943888888889]</t>
  </si>
  <si>
    <t>63.44.35</t>
  </si>
  <si>
    <t>122.56.38</t>
  </si>
  <si>
    <t>[63.8427777777778,123.545555555556]</t>
  </si>
  <si>
    <t>63.50.34</t>
  </si>
  <si>
    <t>123.32.44</t>
  </si>
  <si>
    <t>[63.715,121.941111111111]</t>
  </si>
  <si>
    <t>63.42.54</t>
  </si>
  <si>
    <t>121.56.28</t>
  </si>
  <si>
    <t>[63.4886111111111,123.1775]</t>
  </si>
  <si>
    <t>63.29.19</t>
  </si>
  <si>
    <t>123.10.39</t>
  </si>
  <si>
    <t>Горный</t>
  </si>
  <si>
    <t>[62.3625,126.64]</t>
  </si>
  <si>
    <t>62.21.45</t>
  </si>
  <si>
    <t>126.38.24</t>
  </si>
  <si>
    <t>[62.0947222222222,126.696666666667]</t>
  </si>
  <si>
    <t>62.05.41</t>
  </si>
  <si>
    <t>126.41.48</t>
  </si>
  <si>
    <t>[62.7672222222222,127.085]</t>
  </si>
  <si>
    <t>62.46.02</t>
  </si>
  <si>
    <t>127.05.06</t>
  </si>
  <si>
    <t>[61.8858333333333,126.528055555556]</t>
  </si>
  <si>
    <t>61.53.09</t>
  </si>
  <si>
    <t>126.31.41</t>
  </si>
  <si>
    <t>[62.0194444444444,125.793888888889]</t>
  </si>
  <si>
    <t>62.01.10</t>
  </si>
  <si>
    <t>125.47.38</t>
  </si>
  <si>
    <t>[62.3408333333333,124.449722222222]</t>
  </si>
  <si>
    <t>62.20.27</t>
  </si>
  <si>
    <t>124.26.59</t>
  </si>
  <si>
    <t>Кюерелях</t>
  </si>
  <si>
    <t>[62.5711111111111,126.841944444444]</t>
  </si>
  <si>
    <t>62.34.16</t>
  </si>
  <si>
    <t>126.50.31</t>
  </si>
  <si>
    <t>[62.1472222222222,128.061388888889]</t>
  </si>
  <si>
    <t>62.08.50</t>
  </si>
  <si>
    <t>128.03.41</t>
  </si>
  <si>
    <t>[62.0261111111111,126.674166666667]</t>
  </si>
  <si>
    <t>62.01.34</t>
  </si>
  <si>
    <t>126.40.27</t>
  </si>
  <si>
    <t>[62.5661111111111,125.122777777778]</t>
  </si>
  <si>
    <t>62.33.58</t>
  </si>
  <si>
    <t>125.07.22</t>
  </si>
  <si>
    <t>[61.9583333333333,124.529444444444]</t>
  </si>
  <si>
    <t>61.57.30</t>
  </si>
  <si>
    <t>124.31.46</t>
  </si>
  <si>
    <t>[62.3297222222222,124.636666666667]</t>
  </si>
  <si>
    <t>62.19.47</t>
  </si>
  <si>
    <t>124.38.12</t>
  </si>
  <si>
    <t>[62.6891666666667,128.438333333333]</t>
  </si>
  <si>
    <t>62.41.21</t>
  </si>
  <si>
    <t>128.26.18</t>
  </si>
  <si>
    <t>[62.1069444444444,128.366944444444]</t>
  </si>
  <si>
    <t>62.06.25</t>
  </si>
  <si>
    <t>128.22.01</t>
  </si>
  <si>
    <t>[62.2380555555556,126.660555555556]</t>
  </si>
  <si>
    <t>62.14.17</t>
  </si>
  <si>
    <t>126.39.38</t>
  </si>
  <si>
    <t>[61.8677777777778,126.6525]</t>
  </si>
  <si>
    <t>61.52.04</t>
  </si>
  <si>
    <t>126.39.09</t>
  </si>
  <si>
    <t>Город Якутск</t>
  </si>
  <si>
    <t>[61.8941666666667,129.519722222222]</t>
  </si>
  <si>
    <t>61.53.39</t>
  </si>
  <si>
    <t>129.31.11</t>
  </si>
  <si>
    <t>[62.1658333333333,129.8375]</t>
  </si>
  <si>
    <t>62.09.57</t>
  </si>
  <si>
    <t>129.50.15</t>
  </si>
  <si>
    <t>[62.3488888888889,129.968611111111]</t>
  </si>
  <si>
    <t>62.20.56</t>
  </si>
  <si>
    <t>129.58.07</t>
  </si>
  <si>
    <t>[62.3266666666667,129.941111111111]</t>
  </si>
  <si>
    <t>62.19.36</t>
  </si>
  <si>
    <t>129.56.28</t>
  </si>
  <si>
    <t>Кильдямцы</t>
  </si>
  <si>
    <t>[62.28,129.81]</t>
  </si>
  <si>
    <t>62.16.48</t>
  </si>
  <si>
    <t>129.48.36</t>
  </si>
  <si>
    <t>[62.1,129.533333333333]</t>
  </si>
  <si>
    <t>62.06.00</t>
  </si>
  <si>
    <t>129.32.00</t>
  </si>
  <si>
    <t>[61.9727777777778,129.688888888889]</t>
  </si>
  <si>
    <t>61.58.22</t>
  </si>
  <si>
    <t>129.41.20</t>
  </si>
  <si>
    <t>[61.8197222222222,129.637777777778]</t>
  </si>
  <si>
    <t>61.49.11</t>
  </si>
  <si>
    <t>129.38.16</t>
  </si>
  <si>
    <t>[62.22,129.84]</t>
  </si>
  <si>
    <t>62.13.12</t>
  </si>
  <si>
    <t>129.50.24</t>
  </si>
  <si>
    <t>[61.855,129.596388888889]</t>
  </si>
  <si>
    <t>61.51.18</t>
  </si>
  <si>
    <t>129.35.47</t>
  </si>
  <si>
    <t>[62.255,129.878611111111]</t>
  </si>
  <si>
    <t>62.15.18</t>
  </si>
  <si>
    <t>129.52.43</t>
  </si>
  <si>
    <t>[61.9061111111111,129.636388888889]</t>
  </si>
  <si>
    <t>61.54.22</t>
  </si>
  <si>
    <t>129.38.11</t>
  </si>
  <si>
    <t>Жиганский национальный эвенкийский</t>
  </si>
  <si>
    <t>[66.0166666666667,123.654722222222]</t>
  </si>
  <si>
    <t>66.01.00</t>
  </si>
  <si>
    <t>123.39.17</t>
  </si>
  <si>
    <t>[65.2838888888889,124.128055555556]</t>
  </si>
  <si>
    <t>65.17.02</t>
  </si>
  <si>
    <t>124.07.41</t>
  </si>
  <si>
    <t>[68.7319444444445,124.019722222222]</t>
  </si>
  <si>
    <t>68.43.55</t>
  </si>
  <si>
    <t>124.01.11</t>
  </si>
  <si>
    <t>68.7319444444445</t>
  </si>
  <si>
    <t>124.019722222222</t>
  </si>
  <si>
    <t>[66.7675,123.374166666667]</t>
  </si>
  <si>
    <t>66.46.03</t>
  </si>
  <si>
    <t>123.22.27</t>
  </si>
  <si>
    <t>[67.3213888888889,123.344166666667]</t>
  </si>
  <si>
    <t>67.19.17</t>
  </si>
  <si>
    <t>123.20.39</t>
  </si>
  <si>
    <t>Кобяйский</t>
  </si>
  <si>
    <t>[63.9563888888889,127.443611111111]</t>
  </si>
  <si>
    <t>63.57.23</t>
  </si>
  <si>
    <t>127.26.37</t>
  </si>
  <si>
    <t>[63.9633333333333,126.621944444444]</t>
  </si>
  <si>
    <t>63.57.48</t>
  </si>
  <si>
    <t>126.37.19</t>
  </si>
  <si>
    <t>[63.5677777777778,125.236666666667]</t>
  </si>
  <si>
    <t>63.34.04</t>
  </si>
  <si>
    <t>125.14.12</t>
  </si>
  <si>
    <t>[63.7627777777778,123.962222222222]</t>
  </si>
  <si>
    <t>63.45.46</t>
  </si>
  <si>
    <t>123.57.44</t>
  </si>
  <si>
    <t>[63.7133333333333,123.775555555556]</t>
  </si>
  <si>
    <t>63.42.48</t>
  </si>
  <si>
    <t>123.46.32</t>
  </si>
  <si>
    <t>[63.5247222222222,129.418611111111]</t>
  </si>
  <si>
    <t>63.31.29</t>
  </si>
  <si>
    <t>129.25.07</t>
  </si>
  <si>
    <t>[63.6808333333333,124.4025]</t>
  </si>
  <si>
    <t>63.40.51</t>
  </si>
  <si>
    <t>124.24.09</t>
  </si>
  <si>
    <t>[63.9388888888889,127.025]</t>
  </si>
  <si>
    <t>63.56.20</t>
  </si>
  <si>
    <t>127.01.30</t>
  </si>
  <si>
    <t>[63.5761111111111,126.495833333333]</t>
  </si>
  <si>
    <t>63.34.34</t>
  </si>
  <si>
    <t>126.29.45</t>
  </si>
  <si>
    <t>[63.7183333333333,124.975]</t>
  </si>
  <si>
    <t>63.43.06</t>
  </si>
  <si>
    <t>124.58.30</t>
  </si>
  <si>
    <t>[63.7219444444444,124.191666666667]</t>
  </si>
  <si>
    <t>63.43.19</t>
  </si>
  <si>
    <t>124.11.30</t>
  </si>
  <si>
    <t>[63.7433333333333,124.221666666667]</t>
  </si>
  <si>
    <t>63.44.36</t>
  </si>
  <si>
    <t>124.13.18</t>
  </si>
  <si>
    <t>[63.8336111111111,126.556111111111]</t>
  </si>
  <si>
    <t>63.50.01</t>
  </si>
  <si>
    <t>126.33.22</t>
  </si>
  <si>
    <t>[63.7336111111111,126.445]</t>
  </si>
  <si>
    <t>63.44.01</t>
  </si>
  <si>
    <t>126.26.42</t>
  </si>
  <si>
    <t>[63.8563888888889,123.843888888889]</t>
  </si>
  <si>
    <t>63.51.23</t>
  </si>
  <si>
    <t>123.50.38</t>
  </si>
  <si>
    <t>[63.9194444444444,127.485833333333]</t>
  </si>
  <si>
    <t>63.55.10</t>
  </si>
  <si>
    <t>127.29.09</t>
  </si>
  <si>
    <t>Себян-Кюель</t>
  </si>
  <si>
    <t>[65.2886111111111,130.008055555556]</t>
  </si>
  <si>
    <t>65.17.19</t>
  </si>
  <si>
    <t>130.00.29</t>
  </si>
  <si>
    <t>[64.0030555555556,130.309444444444]</t>
  </si>
  <si>
    <t>64.00.11</t>
  </si>
  <si>
    <t>130.18.34</t>
  </si>
  <si>
    <t>[63.4883333333333,128.035277777778]</t>
  </si>
  <si>
    <t>63.29.18</t>
  </si>
  <si>
    <t>128.02.07</t>
  </si>
  <si>
    <t>[63.89,127.52]</t>
  </si>
  <si>
    <t>63.53.24</t>
  </si>
  <si>
    <t>127.31.12</t>
  </si>
  <si>
    <t>[63.6894444444444,125.964722222222]</t>
  </si>
  <si>
    <t>63.41.22</t>
  </si>
  <si>
    <t>125.57.53</t>
  </si>
  <si>
    <t>[63.9516666666667,124.826666666667]</t>
  </si>
  <si>
    <t>63.57.06</t>
  </si>
  <si>
    <t>124.49.36</t>
  </si>
  <si>
    <t>[63.3777777777778,125.513333333333]</t>
  </si>
  <si>
    <t>63.22.40</t>
  </si>
  <si>
    <t>125.30.48</t>
  </si>
  <si>
    <t>Ленский</t>
  </si>
  <si>
    <t>[59.5077777777778,111.971388888889]</t>
  </si>
  <si>
    <t>59.30.28</t>
  </si>
  <si>
    <t>111.58.17</t>
  </si>
  <si>
    <t>[60.7533333333333,115.3225]</t>
  </si>
  <si>
    <t>60.45.12</t>
  </si>
  <si>
    <t>115.19.21</t>
  </si>
  <si>
    <t>[60.9613888888889,115.470555555556]</t>
  </si>
  <si>
    <t>60.57.41</t>
  </si>
  <si>
    <t>115.28.14</t>
  </si>
  <si>
    <t>[59.4380555555556,112.560277777778]</t>
  </si>
  <si>
    <t>59.26.17</t>
  </si>
  <si>
    <t>112.33.37</t>
  </si>
  <si>
    <t>[61.4458333333333,114.358888888889]</t>
  </si>
  <si>
    <t>61.26.45</t>
  </si>
  <si>
    <t>114.21.32</t>
  </si>
  <si>
    <t>[59.5172222222222,111.211111111111]</t>
  </si>
  <si>
    <t>59.31.02</t>
  </si>
  <si>
    <t>111.12.40</t>
  </si>
  <si>
    <t>Крестовский Лесоучасток</t>
  </si>
  <si>
    <t>[59.7758333333333,113.281388888889]</t>
  </si>
  <si>
    <t>59.46.33</t>
  </si>
  <si>
    <t>113.16.53</t>
  </si>
  <si>
    <t>[60.7244444444444,114.928333333333]</t>
  </si>
  <si>
    <t>60.43.28</t>
  </si>
  <si>
    <t>114.55.42</t>
  </si>
  <si>
    <t>[60.7333333333333,115.290833333333]</t>
  </si>
  <si>
    <t>60.44.00</t>
  </si>
  <si>
    <t>115.17.27</t>
  </si>
  <si>
    <t>[60.5375,116.103333333333]</t>
  </si>
  <si>
    <t>60.32.15</t>
  </si>
  <si>
    <t>116.06.12</t>
  </si>
  <si>
    <t>[60.5355555555556,116.220555555556]</t>
  </si>
  <si>
    <t>60.32.08</t>
  </si>
  <si>
    <t>116.13.14</t>
  </si>
  <si>
    <t>[60.8988888888889,114.818055555556]</t>
  </si>
  <si>
    <t>60.53.56</t>
  </si>
  <si>
    <t>114.49.05</t>
  </si>
  <si>
    <t>[60.8236111111111,114.324166666667]</t>
  </si>
  <si>
    <t>60.49.25</t>
  </si>
  <si>
    <t>114.19.27</t>
  </si>
  <si>
    <t>[59.6266666666667,112.750555555556]</t>
  </si>
  <si>
    <t>59.37.36</t>
  </si>
  <si>
    <t>112.45.02</t>
  </si>
  <si>
    <t>[59.4577777777778,111.535833333333]</t>
  </si>
  <si>
    <t>59.27.28</t>
  </si>
  <si>
    <t>111.32.09</t>
  </si>
  <si>
    <t>[60.4794444444444,116.521666666667]</t>
  </si>
  <si>
    <t>60.28.46</t>
  </si>
  <si>
    <t>116.31.18</t>
  </si>
  <si>
    <t>[60.2225,114.126388888889]</t>
  </si>
  <si>
    <t>60.13.21</t>
  </si>
  <si>
    <t>114.07.35</t>
  </si>
  <si>
    <t>[60.8483333333333,114.698333333333]</t>
  </si>
  <si>
    <t>60.50.54</t>
  </si>
  <si>
    <t>114.41.54</t>
  </si>
  <si>
    <t>[60.1566666666667,113.933055555556]</t>
  </si>
  <si>
    <t>60.09.24</t>
  </si>
  <si>
    <t>113.55.59</t>
  </si>
  <si>
    <t>[62.2563888888889,130.723055555556]</t>
  </si>
  <si>
    <t>62.15.23</t>
  </si>
  <si>
    <t>130.43.23</t>
  </si>
  <si>
    <t>[62.0041666666667,130.541944444444]</t>
  </si>
  <si>
    <t>62.00.15</t>
  </si>
  <si>
    <t>130.32.31</t>
  </si>
  <si>
    <t>[61.9641666666667,130.168055555556]</t>
  </si>
  <si>
    <t>61.57.51</t>
  </si>
  <si>
    <t>130.10.05</t>
  </si>
  <si>
    <t>Беке</t>
  </si>
  <si>
    <t>[61.785,130.372777777778]</t>
  </si>
  <si>
    <t>61.47.06</t>
  </si>
  <si>
    <t>130.22.22</t>
  </si>
  <si>
    <t>[61.4794444444444,130.946666666667]</t>
  </si>
  <si>
    <t>61.28.46</t>
  </si>
  <si>
    <t>130.56.48</t>
  </si>
  <si>
    <t>[61.6288888888889,131.366666666667]</t>
  </si>
  <si>
    <t>61.37.44</t>
  </si>
  <si>
    <t>131.22.00</t>
  </si>
  <si>
    <t>[60.9730555555556,130.371944444444]</t>
  </si>
  <si>
    <t>60.58.23</t>
  </si>
  <si>
    <t>130.22.19</t>
  </si>
  <si>
    <t>Елечей</t>
  </si>
  <si>
    <t>[61.7041666666667,131.270555555556]</t>
  </si>
  <si>
    <t>61.42.15</t>
  </si>
  <si>
    <t>131.16.14</t>
  </si>
  <si>
    <t>[62.3391666666667,130.131388888889]</t>
  </si>
  <si>
    <t>62.20.21</t>
  </si>
  <si>
    <t>130.07.53</t>
  </si>
  <si>
    <t>[61.6383333333333,130.089166666667]</t>
  </si>
  <si>
    <t>61.38.18</t>
  </si>
  <si>
    <t>130.05.21</t>
  </si>
  <si>
    <t>[61.7433333333333,130.275833333333]</t>
  </si>
  <si>
    <t>61.44.36</t>
  </si>
  <si>
    <t>130.16.33</t>
  </si>
  <si>
    <t>[62.3583333333333,130.659444444444]</t>
  </si>
  <si>
    <t>62.21.30</t>
  </si>
  <si>
    <t>130.39.34</t>
  </si>
  <si>
    <t>[61.9619444444444,129.912222222222]</t>
  </si>
  <si>
    <t>61.57.43</t>
  </si>
  <si>
    <t>129.54.44</t>
  </si>
  <si>
    <t>[62.1544444444444,131.072222222222]</t>
  </si>
  <si>
    <t>62.09.16</t>
  </si>
  <si>
    <t>131.04.20</t>
  </si>
  <si>
    <t>[61.8716666666667,129.838055555556]</t>
  </si>
  <si>
    <t>61.52.18</t>
  </si>
  <si>
    <t>129.50.17</t>
  </si>
  <si>
    <t>[61.7269444444444,130.259166666667]</t>
  </si>
  <si>
    <t>61.43.37</t>
  </si>
  <si>
    <t>130.15.33</t>
  </si>
  <si>
    <t>[61.6730555555556,129.648611111111]</t>
  </si>
  <si>
    <t>61.40.23</t>
  </si>
  <si>
    <t>129.38.55</t>
  </si>
  <si>
    <t>[61.8019444444444,130.518055555556]</t>
  </si>
  <si>
    <t>61.48.07</t>
  </si>
  <si>
    <t>130.31.05</t>
  </si>
  <si>
    <t>[61.7272222222222,131.03]</t>
  </si>
  <si>
    <t>61.43.38</t>
  </si>
  <si>
    <t>131.01.48</t>
  </si>
  <si>
    <t>[61.9263888888889,130.946388888889]</t>
  </si>
  <si>
    <t>61.55.35</t>
  </si>
  <si>
    <t>130.56.47</t>
  </si>
  <si>
    <t>[61.6675,130.941666666667]</t>
  </si>
  <si>
    <t>61.40.03</t>
  </si>
  <si>
    <t>130.56.30</t>
  </si>
  <si>
    <t>[62.2225,130.6875]</t>
  </si>
  <si>
    <t>62.13.21</t>
  </si>
  <si>
    <t>130.41.15</t>
  </si>
  <si>
    <t>[62.1088888888889,130.029444444444]</t>
  </si>
  <si>
    <t>62.06.32</t>
  </si>
  <si>
    <t>130.01.46</t>
  </si>
  <si>
    <t>[61.3830555555556,130.695]</t>
  </si>
  <si>
    <t>61.22.59</t>
  </si>
  <si>
    <t>130.41.42</t>
  </si>
  <si>
    <t>[62.1483333333333,130.049444444444]</t>
  </si>
  <si>
    <t>62.08.54</t>
  </si>
  <si>
    <t>130.02.58</t>
  </si>
  <si>
    <t>[62.1883333333333,130.674444444444]</t>
  </si>
  <si>
    <t>62.11.18</t>
  </si>
  <si>
    <t>130.40.28</t>
  </si>
  <si>
    <t>[62.1975,130.710555555556]</t>
  </si>
  <si>
    <t>62.11.51</t>
  </si>
  <si>
    <t>130.42.38</t>
  </si>
  <si>
    <t>[61.7858333333333,129.790833333333]</t>
  </si>
  <si>
    <t>61.47.09</t>
  </si>
  <si>
    <t>129.47.27</t>
  </si>
  <si>
    <t>[62.3755555555556,130.140277777778]</t>
  </si>
  <si>
    <t>62.22.32</t>
  </si>
  <si>
    <t>130.08.25</t>
  </si>
  <si>
    <t>[61.7752777777778,130.809444444444]</t>
  </si>
  <si>
    <t>61.46.31</t>
  </si>
  <si>
    <t>130.48.34</t>
  </si>
  <si>
    <t>[61.5425,129.886111111111]</t>
  </si>
  <si>
    <t>61.32.33</t>
  </si>
  <si>
    <t>129.53.10</t>
  </si>
  <si>
    <t>[61.84,129.860277777778]</t>
  </si>
  <si>
    <t>61.50.24</t>
  </si>
  <si>
    <t>129.51.37</t>
  </si>
  <si>
    <t>[61.8355555555556,130.756111111111]</t>
  </si>
  <si>
    <t>61.50.08</t>
  </si>
  <si>
    <t>130.45.22</t>
  </si>
  <si>
    <t>[61.5669444444444,130.740833333333]</t>
  </si>
  <si>
    <t>61.34.01</t>
  </si>
  <si>
    <t>130.44.27</t>
  </si>
  <si>
    <t>[61.7275,130.3675]</t>
  </si>
  <si>
    <t>61.43.39</t>
  </si>
  <si>
    <t>130.22.03</t>
  </si>
  <si>
    <t>[65.9427777777778,111.495277777778]</t>
  </si>
  <si>
    <t>65.56.34</t>
  </si>
  <si>
    <t>111.29.43</t>
  </si>
  <si>
    <t>[62.4502777777778,114.321944444444]</t>
  </si>
  <si>
    <t>62.27.01</t>
  </si>
  <si>
    <t>114.19.19</t>
  </si>
  <si>
    <t>[62.38,114.343055555556]</t>
  </si>
  <si>
    <t>62.22.48</t>
  </si>
  <si>
    <t>114.20.35</t>
  </si>
  <si>
    <t>[62.4486111111111,114.1175]</t>
  </si>
  <si>
    <t>62.26.55</t>
  </si>
  <si>
    <t>114.07.03</t>
  </si>
  <si>
    <t>62.4486111111111</t>
  </si>
  <si>
    <t>114.1175</t>
  </si>
  <si>
    <t>[62.105,114.189166666667]</t>
  </si>
  <si>
    <t>62.06.18</t>
  </si>
  <si>
    <t>114.11.21</t>
  </si>
  <si>
    <t>[62.5425,113.984166666667]</t>
  </si>
  <si>
    <t>62.32.33</t>
  </si>
  <si>
    <t>113.59.03</t>
  </si>
  <si>
    <t>[64.6080555555556,112.5225]</t>
  </si>
  <si>
    <t>64.36.29</t>
  </si>
  <si>
    <t>112.31.21</t>
  </si>
  <si>
    <t>[62.4208333333333,114.357777777778]</t>
  </si>
  <si>
    <t>62.25.15</t>
  </si>
  <si>
    <t>114.21.28</t>
  </si>
  <si>
    <t>[66.41,112.12]</t>
  </si>
  <si>
    <t>66.24.36</t>
  </si>
  <si>
    <t>112.07.12</t>
  </si>
  <si>
    <t>[63.0508333333333,113.428611111111]</t>
  </si>
  <si>
    <t>63.03.03</t>
  </si>
  <si>
    <t>113.25.43</t>
  </si>
  <si>
    <t>[63.2283333333333,113.721388888889]</t>
  </si>
  <si>
    <t>63.13.42</t>
  </si>
  <si>
    <t>113.43.17</t>
  </si>
  <si>
    <t>[61.7863888888889,113.023611111111]</t>
  </si>
  <si>
    <t>61.47.11</t>
  </si>
  <si>
    <t>113.01.25</t>
  </si>
  <si>
    <t>[66.4086111111111,112.298888888889]</t>
  </si>
  <si>
    <t>66.24.31</t>
  </si>
  <si>
    <t>112.17.56</t>
  </si>
  <si>
    <t>[63.0166666666667,112.461944444444]</t>
  </si>
  <si>
    <t>63.01.00</t>
  </si>
  <si>
    <t>112.27.43</t>
  </si>
  <si>
    <t>Момский национальный</t>
  </si>
  <si>
    <t>[66.4886111111111,143.049166666667]</t>
  </si>
  <si>
    <t>66.29.19</t>
  </si>
  <si>
    <t>143.02.57</t>
  </si>
  <si>
    <t>[66.7925,142.735833333333]</t>
  </si>
  <si>
    <t>66.47.33</t>
  </si>
  <si>
    <t>142.44.09</t>
  </si>
  <si>
    <t>[65.1622222222222,147.082222222222]</t>
  </si>
  <si>
    <t>65.09.44</t>
  </si>
  <si>
    <t>147.04.56</t>
  </si>
  <si>
    <t>[66.2530555555556,143.313333333333]</t>
  </si>
  <si>
    <t>66.15.11</t>
  </si>
  <si>
    <t>143.18.48</t>
  </si>
  <si>
    <t>[66.4319444444444,143.252777777778]</t>
  </si>
  <si>
    <t>66.25.55</t>
  </si>
  <si>
    <t>143.15.10</t>
  </si>
  <si>
    <t>[66.455,143.219722222222]</t>
  </si>
  <si>
    <t>66.27.18</t>
  </si>
  <si>
    <t>143.13.11</t>
  </si>
  <si>
    <t>[65.3711111111111,143.150555555556]</t>
  </si>
  <si>
    <t>65.22.16</t>
  </si>
  <si>
    <t>143.09.02</t>
  </si>
  <si>
    <t>[62.7594444444444,129.651111111111]</t>
  </si>
  <si>
    <t>62.45.34</t>
  </si>
  <si>
    <t>129.39.04</t>
  </si>
  <si>
    <t>[63.3052777777778,129.456388888889]</t>
  </si>
  <si>
    <t>63.18.19</t>
  </si>
  <si>
    <t>129.27.23</t>
  </si>
  <si>
    <t>[62.8272222222222,129.601111111111]</t>
  </si>
  <si>
    <t>62.49.38</t>
  </si>
  <si>
    <t>129.36.04</t>
  </si>
  <si>
    <t>[62.6247222222222,129.959166666667]</t>
  </si>
  <si>
    <t>62.37.29</t>
  </si>
  <si>
    <t>129.57.33</t>
  </si>
  <si>
    <t>[62.7747222222222,129.689722222222]</t>
  </si>
  <si>
    <t>62.46.29</t>
  </si>
  <si>
    <t>129.41.23</t>
  </si>
  <si>
    <t>Ергелех</t>
  </si>
  <si>
    <t>[62.5827777777778,128.868333333333]</t>
  </si>
  <si>
    <t>62.34.58</t>
  </si>
  <si>
    <t>128.52.06</t>
  </si>
  <si>
    <t>[62.6647222222222,129.703611111111]</t>
  </si>
  <si>
    <t>62.39.53</t>
  </si>
  <si>
    <t>129.42.13</t>
  </si>
  <si>
    <t>[62.7830555555556,129.642222222222]</t>
  </si>
  <si>
    <t>62.46.59</t>
  </si>
  <si>
    <t>129.38.32</t>
  </si>
  <si>
    <t>[62.5377777777778,129.761944444444]</t>
  </si>
  <si>
    <t>62.32.16</t>
  </si>
  <si>
    <t>129.45.43</t>
  </si>
  <si>
    <t>[62.7338888888889,129.23]</t>
  </si>
  <si>
    <t>62.44.02</t>
  </si>
  <si>
    <t>129.13.48</t>
  </si>
  <si>
    <t>[63.0438888888889,129.519166666667]</t>
  </si>
  <si>
    <t>63.02.38</t>
  </si>
  <si>
    <t>129.31.09</t>
  </si>
  <si>
    <t>[62.7186111111111,129.665]</t>
  </si>
  <si>
    <t>62.43.07</t>
  </si>
  <si>
    <t>129.39.54</t>
  </si>
  <si>
    <t>[62.6288888888889,129.713055555556]</t>
  </si>
  <si>
    <t>62.37.44</t>
  </si>
  <si>
    <t>129.42.47</t>
  </si>
  <si>
    <t>[62.5861111111111,129.771111111111]</t>
  </si>
  <si>
    <t>62.35.10</t>
  </si>
  <si>
    <t>129.46.16</t>
  </si>
  <si>
    <t>[62.9977777777778,129.528333333333]</t>
  </si>
  <si>
    <t>62.59.52</t>
  </si>
  <si>
    <t>129.31.42</t>
  </si>
  <si>
    <t>[63.3677777777778,129.657777777778]</t>
  </si>
  <si>
    <t>63.22.04</t>
  </si>
  <si>
    <t>129.39.28</t>
  </si>
  <si>
    <t>[62.6613888888889,129.942777777778]</t>
  </si>
  <si>
    <t>62.39.41</t>
  </si>
  <si>
    <t>129.56.34</t>
  </si>
  <si>
    <t>[62.9025,129.559722222222]</t>
  </si>
  <si>
    <t>62.54.09</t>
  </si>
  <si>
    <t>129.33.35</t>
  </si>
  <si>
    <t>[63.0755555555556,129.728611111111]</t>
  </si>
  <si>
    <t>63.04.32</t>
  </si>
  <si>
    <t>129.43.43</t>
  </si>
  <si>
    <t>[62.1408333333333,129.736111111111]</t>
  </si>
  <si>
    <t>62.08.27</t>
  </si>
  <si>
    <t>129.44.10</t>
  </si>
  <si>
    <t>[62.6805555555556,129.911944444444]</t>
  </si>
  <si>
    <t>62.40.50</t>
  </si>
  <si>
    <t>129.54.43</t>
  </si>
  <si>
    <t>[62.8430555555556,128.462222222222]</t>
  </si>
  <si>
    <t>62.50.35</t>
  </si>
  <si>
    <t>128.27.44</t>
  </si>
  <si>
    <t>[62.4561111111111,129.885277777778]</t>
  </si>
  <si>
    <t>62.27.22</t>
  </si>
  <si>
    <t>129.53.07</t>
  </si>
  <si>
    <t>[62.7575,129.855277777778]</t>
  </si>
  <si>
    <t>62.45.27</t>
  </si>
  <si>
    <t>129.51.19</t>
  </si>
  <si>
    <t>Нерюнгринский</t>
  </si>
  <si>
    <t>[56.5766666666667,124.775833333333]</t>
  </si>
  <si>
    <t>56.34.36</t>
  </si>
  <si>
    <t>124.46.33</t>
  </si>
  <si>
    <t>[57.3797222222222,124.896666666667]</t>
  </si>
  <si>
    <t>57.22.47</t>
  </si>
  <si>
    <t>124.53.48</t>
  </si>
  <si>
    <t>[56.1811111111111,124.8625]</t>
  </si>
  <si>
    <t>56.10.52</t>
  </si>
  <si>
    <t>124.51.45</t>
  </si>
  <si>
    <t>[56.2225,124.848888888889]</t>
  </si>
  <si>
    <t>56.13.21</t>
  </si>
  <si>
    <t>124.50.56</t>
  </si>
  <si>
    <t>[55.9472222222222,124.9175]</t>
  </si>
  <si>
    <t>55.56.50</t>
  </si>
  <si>
    <t>124.55.03</t>
  </si>
  <si>
    <t>55.9472222222222</t>
  </si>
  <si>
    <t>124.9175</t>
  </si>
  <si>
    <t>[56.6611111111111,124.718888888889]</t>
  </si>
  <si>
    <t>56.39.40</t>
  </si>
  <si>
    <t>124.43.08</t>
  </si>
  <si>
    <t>[56.6744444444444,124.836388888889]</t>
  </si>
  <si>
    <t>56.40.28</t>
  </si>
  <si>
    <t>124.50.11</t>
  </si>
  <si>
    <t>[56.9186111111111,119.972222222222]</t>
  </si>
  <si>
    <t>56.55.07</t>
  </si>
  <si>
    <t>119.58.20</t>
  </si>
  <si>
    <t>[56.8713888888889,124.892777777778]</t>
  </si>
  <si>
    <t>56.52.17</t>
  </si>
  <si>
    <t>124.53.34</t>
  </si>
  <si>
    <t>Нижнеколымский</t>
  </si>
  <si>
    <t>[69.6261111111111,162.304722222222]</t>
  </si>
  <si>
    <t>69.37.34</t>
  </si>
  <si>
    <t>162.18.17</t>
  </si>
  <si>
    <t>[69.1725,154.445]</t>
  </si>
  <si>
    <t>69.10.21</t>
  </si>
  <si>
    <t>154.26.42</t>
  </si>
  <si>
    <t>Две Виски</t>
  </si>
  <si>
    <t>[68.3558333333333,160.768333333333]</t>
  </si>
  <si>
    <t>68.21.21</t>
  </si>
  <si>
    <t>160.46.06</t>
  </si>
  <si>
    <t>[68.4836111111111,160.491944444444]</t>
  </si>
  <si>
    <t>68.29.01</t>
  </si>
  <si>
    <t>160.29.31</t>
  </si>
  <si>
    <t>[68.7277777777778,158.703611111111]</t>
  </si>
  <si>
    <t>68.43.40</t>
  </si>
  <si>
    <t>158.42.13</t>
  </si>
  <si>
    <t>[70.7152777777778,159.435833333333]</t>
  </si>
  <si>
    <t>70.42.55</t>
  </si>
  <si>
    <t>159.26.09</t>
  </si>
  <si>
    <t>[69.4169444444444,161.512222222222]</t>
  </si>
  <si>
    <t>69.25.01</t>
  </si>
  <si>
    <t>161.30.44</t>
  </si>
  <si>
    <t>[68.5316666666667,160.926666666667]</t>
  </si>
  <si>
    <t>68.31.54</t>
  </si>
  <si>
    <t>160.55.36</t>
  </si>
  <si>
    <t>[69.0794444444444,160.969444444444]</t>
  </si>
  <si>
    <t>69.04.46</t>
  </si>
  <si>
    <t>160.58.10</t>
  </si>
  <si>
    <t>[68.5147222222222,160.121666666667]</t>
  </si>
  <si>
    <t>68.30.53</t>
  </si>
  <si>
    <t>160.07.18</t>
  </si>
  <si>
    <t>[68.7519444444444,161.33]</t>
  </si>
  <si>
    <t>68.45.07</t>
  </si>
  <si>
    <t>161.19.48</t>
  </si>
  <si>
    <t>[70.1027777777778,159.613333333333]</t>
  </si>
  <si>
    <t>70.06.10</t>
  </si>
  <si>
    <t>159.36.48</t>
  </si>
  <si>
    <t>Нюрбинский</t>
  </si>
  <si>
    <t>[63.5969444444444,119.093888888889]</t>
  </si>
  <si>
    <t>63.35.49</t>
  </si>
  <si>
    <t>119.05.38</t>
  </si>
  <si>
    <t>[63.2861111111111,118.400555555556]</t>
  </si>
  <si>
    <t>63.17.10</t>
  </si>
  <si>
    <t>118.24.02</t>
  </si>
  <si>
    <t>[63.1883333333333,117.876111111111]</t>
  </si>
  <si>
    <t>63.11.18</t>
  </si>
  <si>
    <t>117.52.34</t>
  </si>
  <si>
    <t>[63.5777777777778,117.453333333333]</t>
  </si>
  <si>
    <t>63.34.40</t>
  </si>
  <si>
    <t>117.27.12</t>
  </si>
  <si>
    <t>[63.3833333333333,118.341944444444]</t>
  </si>
  <si>
    <t>63.23.00</t>
  </si>
  <si>
    <t>118.20.31</t>
  </si>
  <si>
    <t>[63.6013888888889,119.440277777778]</t>
  </si>
  <si>
    <t>63.36.05</t>
  </si>
  <si>
    <t>119.26.25</t>
  </si>
  <si>
    <t>[63.5186111111111,118.822777777778]</t>
  </si>
  <si>
    <t>63.31.07</t>
  </si>
  <si>
    <t>118.49.22</t>
  </si>
  <si>
    <t>[63.5844444444444,118.690833333333]</t>
  </si>
  <si>
    <t>63.35.04</t>
  </si>
  <si>
    <t>118.41.27</t>
  </si>
  <si>
    <t>[63.2183333333333,118.144166666667]</t>
  </si>
  <si>
    <t>63.13.06</t>
  </si>
  <si>
    <t>118.08.39</t>
  </si>
  <si>
    <t>[63.5061111111111,117.033888888889]</t>
  </si>
  <si>
    <t>63.30.22</t>
  </si>
  <si>
    <t>117.02.02</t>
  </si>
  <si>
    <t>[63.5202777777778,118.988055555556]</t>
  </si>
  <si>
    <t>63.31.13</t>
  </si>
  <si>
    <t>118.59.17</t>
  </si>
  <si>
    <t>[63.2725,118.464444444444]</t>
  </si>
  <si>
    <t>63.16.21</t>
  </si>
  <si>
    <t>118.27.52</t>
  </si>
  <si>
    <t>[63.2825,118.340833333333]</t>
  </si>
  <si>
    <t>63.16.57</t>
  </si>
  <si>
    <t>118.20.27</t>
  </si>
  <si>
    <t>[63.3347222222222,118.108055555556]</t>
  </si>
  <si>
    <t>63.20.05</t>
  </si>
  <si>
    <t>118.06.29</t>
  </si>
  <si>
    <t>[63.9897222222222,118.647222222222]</t>
  </si>
  <si>
    <t>63.59.23</t>
  </si>
  <si>
    <t>118.38.50</t>
  </si>
  <si>
    <t>[63.3605555555556,118.72]</t>
  </si>
  <si>
    <t>63.21.38</t>
  </si>
  <si>
    <t>118.43.12</t>
  </si>
  <si>
    <t>[63.3341666666667,118.288611111111]</t>
  </si>
  <si>
    <t>63.20.03</t>
  </si>
  <si>
    <t>118.17.19</t>
  </si>
  <si>
    <t>[63.6258333333333,116.673888888889]</t>
  </si>
  <si>
    <t>63.37.33</t>
  </si>
  <si>
    <t>116.40.26</t>
  </si>
  <si>
    <t>[63.5919444444444,118.845555555556]</t>
  </si>
  <si>
    <t>63.35.31</t>
  </si>
  <si>
    <t>118.50.44</t>
  </si>
  <si>
    <t>[63.4211111111111,118.613888888889]</t>
  </si>
  <si>
    <t>63.25.16</t>
  </si>
  <si>
    <t>118.36.50</t>
  </si>
  <si>
    <t>[63.6983333333333,119.264722222222]</t>
  </si>
  <si>
    <t>63.41.54</t>
  </si>
  <si>
    <t>119.15.53</t>
  </si>
  <si>
    <t>[63.7475,117.968611111111]</t>
  </si>
  <si>
    <t>63.44.51</t>
  </si>
  <si>
    <t>117.58.07</t>
  </si>
  <si>
    <t>[63.5686111111111,119.205]</t>
  </si>
  <si>
    <t>63.34.07</t>
  </si>
  <si>
    <t>119.12.18</t>
  </si>
  <si>
    <t>[63.6586111111111,118.275833333333]</t>
  </si>
  <si>
    <t>63.39.31</t>
  </si>
  <si>
    <t>118.16.33</t>
  </si>
  <si>
    <t>Оймяконский</t>
  </si>
  <si>
    <t>[63.3355555555556,141.731388888889]</t>
  </si>
  <si>
    <t>63.20.08</t>
  </si>
  <si>
    <t>141.43.53</t>
  </si>
  <si>
    <t>[64.1805555555556,145.130833333333]</t>
  </si>
  <si>
    <t>64.10.50</t>
  </si>
  <si>
    <t>145.07.51</t>
  </si>
  <si>
    <t>[63.2452777777778,143.182777777778]</t>
  </si>
  <si>
    <t>63.14.43</t>
  </si>
  <si>
    <t>143.10.58</t>
  </si>
  <si>
    <t>[63.4541666666667,142.896666666667]</t>
  </si>
  <si>
    <t>63.27.15</t>
  </si>
  <si>
    <t>142.53.48</t>
  </si>
  <si>
    <t>[63.8377777777778,145.603611111111]</t>
  </si>
  <si>
    <t>63.50.16</t>
  </si>
  <si>
    <t>145.36.13</t>
  </si>
  <si>
    <t>[63.2591666666667,143.248333333333]</t>
  </si>
  <si>
    <t>63.15.33</t>
  </si>
  <si>
    <t>143.14.54</t>
  </si>
  <si>
    <t>[63.1402777777778,144.442777777778]</t>
  </si>
  <si>
    <t>63.08.25</t>
  </si>
  <si>
    <t>144.26.34</t>
  </si>
  <si>
    <t>[63.4280555555556,140.600277777778]</t>
  </si>
  <si>
    <t>63.25.41</t>
  </si>
  <si>
    <t>140.36.01</t>
  </si>
  <si>
    <t>[63.4636111111111,142.786666666667]</t>
  </si>
  <si>
    <t>63.27.49</t>
  </si>
  <si>
    <t>142.47.12</t>
  </si>
  <si>
    <t>[63.1627777777778,144.018055555556]</t>
  </si>
  <si>
    <t>63.09.46</t>
  </si>
  <si>
    <t>144.01.05</t>
  </si>
  <si>
    <t>[64.2472222222222,142.079166666667]</t>
  </si>
  <si>
    <t>64.14.50</t>
  </si>
  <si>
    <t>142.04.45</t>
  </si>
  <si>
    <t>[63.2636111111111,143.210277777778]</t>
  </si>
  <si>
    <t>63.15.49</t>
  </si>
  <si>
    <t>143.12.37</t>
  </si>
  <si>
    <t>[64.5708333333333,143.239722222222]</t>
  </si>
  <si>
    <t>64.34.15</t>
  </si>
  <si>
    <t>143.14.23</t>
  </si>
  <si>
    <t>[63.4755555555556,142.730555555556]</t>
  </si>
  <si>
    <t>63.28.32</t>
  </si>
  <si>
    <t>142.43.50</t>
  </si>
  <si>
    <t>[63.3025,142.167777777778]</t>
  </si>
  <si>
    <t>63.18.09</t>
  </si>
  <si>
    <t>142.10.04</t>
  </si>
  <si>
    <t>[60.3233333333333,120.018333333333]</t>
  </si>
  <si>
    <t>60.19.24</t>
  </si>
  <si>
    <t>120.01.06</t>
  </si>
  <si>
    <t>Абага Центральная</t>
  </si>
  <si>
    <t>[60.3094444444444,119.986388888889]</t>
  </si>
  <si>
    <t>60.18.34</t>
  </si>
  <si>
    <t>119.59.11</t>
  </si>
  <si>
    <t>[60.3963888888889,120.466111111111]</t>
  </si>
  <si>
    <t>60.23.47</t>
  </si>
  <si>
    <t>120.27.58</t>
  </si>
  <si>
    <t>[60.4333333333333,124.270277777778]</t>
  </si>
  <si>
    <t>60.25.60</t>
  </si>
  <si>
    <t>124.16.13</t>
  </si>
  <si>
    <t>[60.6505555555556,121.177222222222]</t>
  </si>
  <si>
    <t>60.39.02</t>
  </si>
  <si>
    <t>121.10.38</t>
  </si>
  <si>
    <t>[60.2794444444444,119.946388888889]</t>
  </si>
  <si>
    <t>60.16.46</t>
  </si>
  <si>
    <t>119.56.47</t>
  </si>
  <si>
    <t>[60.2602777777778,119.646666666667]</t>
  </si>
  <si>
    <t>60.15.37</t>
  </si>
  <si>
    <t>119.38.48</t>
  </si>
  <si>
    <t>[59.4741666666667,119.302777777778]</t>
  </si>
  <si>
    <t>59.28.27</t>
  </si>
  <si>
    <t>119.18.10</t>
  </si>
  <si>
    <t>[60.1222222222222,119.205555555556]</t>
  </si>
  <si>
    <t>60.07.20</t>
  </si>
  <si>
    <t>119.12.20</t>
  </si>
  <si>
    <t>[60.1877777777778,119.936944444444]</t>
  </si>
  <si>
    <t>60.11.16</t>
  </si>
  <si>
    <t>119.56.13</t>
  </si>
  <si>
    <t>[59.9061111111111,118.602777777778]</t>
  </si>
  <si>
    <t>59.54.22</t>
  </si>
  <si>
    <t>118.36.10</t>
  </si>
  <si>
    <t>[59.0355555555556,121.765277777778]</t>
  </si>
  <si>
    <t>59.02.08</t>
  </si>
  <si>
    <t>121.45.55</t>
  </si>
  <si>
    <t>[59.9872222222222,119.7925]</t>
  </si>
  <si>
    <t>59.59.14</t>
  </si>
  <si>
    <t>119.47.33</t>
  </si>
  <si>
    <t>[60.345,120.440833333333]</t>
  </si>
  <si>
    <t>60.20.42</t>
  </si>
  <si>
    <t>120.26.27</t>
  </si>
  <si>
    <t>Затон Лорпа</t>
  </si>
  <si>
    <t>[60.3869444444444,120.339444444444]</t>
  </si>
  <si>
    <t>60.23.13</t>
  </si>
  <si>
    <t>120.20.22</t>
  </si>
  <si>
    <t>[59.7925,118.460277777778]</t>
  </si>
  <si>
    <t>59.47.33</t>
  </si>
  <si>
    <t>118.27.37</t>
  </si>
  <si>
    <t>[61.0213888888889,119.104444444444]</t>
  </si>
  <si>
    <t>61.01.17</t>
  </si>
  <si>
    <t>119.06.16</t>
  </si>
  <si>
    <t>[59.9380555555556,118.895]</t>
  </si>
  <si>
    <t>59.56.17</t>
  </si>
  <si>
    <t>118.53.42</t>
  </si>
  <si>
    <t>[60.2294444444444,119.6425]</t>
  </si>
  <si>
    <t>60.13.46</t>
  </si>
  <si>
    <t>119.38.33</t>
  </si>
  <si>
    <t>[59.4391666666667,121.310277777778]</t>
  </si>
  <si>
    <t>59.26.21</t>
  </si>
  <si>
    <t>121.18.37</t>
  </si>
  <si>
    <t>[60.4055555555556,120.231944444444]</t>
  </si>
  <si>
    <t>60.24.20</t>
  </si>
  <si>
    <t>120.13.55</t>
  </si>
  <si>
    <t>[60.3505555555556,120.084722222222]</t>
  </si>
  <si>
    <t>60.21.02</t>
  </si>
  <si>
    <t>120.05.05</t>
  </si>
  <si>
    <t>[60.6847222222222,124.7325]</t>
  </si>
  <si>
    <t>60.41.05</t>
  </si>
  <si>
    <t>124.43.57</t>
  </si>
  <si>
    <t>[60.6,123.289166666667]</t>
  </si>
  <si>
    <t>60.36.00</t>
  </si>
  <si>
    <t>123.17.21</t>
  </si>
  <si>
    <t>[59.9044444444444,117.588055555556]</t>
  </si>
  <si>
    <t>59.54.16</t>
  </si>
  <si>
    <t>117.35.17</t>
  </si>
  <si>
    <t>[60.7980555555556,120.97]</t>
  </si>
  <si>
    <t>60.47.53</t>
  </si>
  <si>
    <t>120.58.12</t>
  </si>
  <si>
    <t>[60.2591666666667,119.669444444444]</t>
  </si>
  <si>
    <t>60.15.33</t>
  </si>
  <si>
    <t>119.40.10</t>
  </si>
  <si>
    <t>[60.2588888888889,119.889444444444]</t>
  </si>
  <si>
    <t>60.15.32</t>
  </si>
  <si>
    <t>119.53.22</t>
  </si>
  <si>
    <t>[60.3772222222222,120.601388888889]</t>
  </si>
  <si>
    <t>60.22.38</t>
  </si>
  <si>
    <t>120.36.05</t>
  </si>
  <si>
    <t>[60.3752777777778,120.428888888889]</t>
  </si>
  <si>
    <t>60.22.31</t>
  </si>
  <si>
    <t>120.25.44</t>
  </si>
  <si>
    <t>Олекминское</t>
  </si>
  <si>
    <t>[60.3855555555556,120.181666666667]</t>
  </si>
  <si>
    <t>60.23.08</t>
  </si>
  <si>
    <t>120.10.54</t>
  </si>
  <si>
    <t>[60.7363888888889,119.47]</t>
  </si>
  <si>
    <t>60.44.11</t>
  </si>
  <si>
    <t>119.28.12</t>
  </si>
  <si>
    <t>[60.5861111111111,124.069444444444]</t>
  </si>
  <si>
    <t>60.35.10</t>
  </si>
  <si>
    <t>124.04.10</t>
  </si>
  <si>
    <t>[60.3822222222222,120.523888888889]</t>
  </si>
  <si>
    <t>60.22.56</t>
  </si>
  <si>
    <t>120.31.26</t>
  </si>
  <si>
    <t>[60.4738888888889,120.725277777778]</t>
  </si>
  <si>
    <t>60.28.26</t>
  </si>
  <si>
    <t>120.43.31</t>
  </si>
  <si>
    <t>Таас-Анна</t>
  </si>
  <si>
    <t>[60.2591666666667,119.723611111111]</t>
  </si>
  <si>
    <t>119.43.25</t>
  </si>
  <si>
    <t>[60.3561111111111,116.971111111111]</t>
  </si>
  <si>
    <t>60.21.22</t>
  </si>
  <si>
    <t>116.58.16</t>
  </si>
  <si>
    <t>[59.9802777777778,119.833888888889]</t>
  </si>
  <si>
    <t>59.58.49</t>
  </si>
  <si>
    <t>119.50.02</t>
  </si>
  <si>
    <t>[58.4563888888889,119.528888888889]</t>
  </si>
  <si>
    <t>58.27.23</t>
  </si>
  <si>
    <t>119.31.44</t>
  </si>
  <si>
    <t>[60.3513888888889,120.671666666667]</t>
  </si>
  <si>
    <t>60.21.05</t>
  </si>
  <si>
    <t>120.40.18</t>
  </si>
  <si>
    <t>[61.0230555555556,119.285]</t>
  </si>
  <si>
    <t>61.01.23</t>
  </si>
  <si>
    <t>119.17.06</t>
  </si>
  <si>
    <t>[60.4586111111111,120.348611111111]</t>
  </si>
  <si>
    <t>60.27.31</t>
  </si>
  <si>
    <t>120.20.55</t>
  </si>
  <si>
    <t>[59.0555555555556,119.795277777778]</t>
  </si>
  <si>
    <t>59.03.20</t>
  </si>
  <si>
    <t>119.47.43</t>
  </si>
  <si>
    <t>[60.4191666666667,120.175555555556]</t>
  </si>
  <si>
    <t>60.25.09</t>
  </si>
  <si>
    <t>120.10.32</t>
  </si>
  <si>
    <t>[59.9683333333333,119.899722222222]</t>
  </si>
  <si>
    <t>59.58.06</t>
  </si>
  <si>
    <t>119.53.59</t>
  </si>
  <si>
    <t>[60.5597222222222,122.390277777778]</t>
  </si>
  <si>
    <t>60.33.35</t>
  </si>
  <si>
    <t>122.23.25</t>
  </si>
  <si>
    <t>[60.6711111111111,120.793333333333]</t>
  </si>
  <si>
    <t>60.40.16</t>
  </si>
  <si>
    <t>120.47.36</t>
  </si>
  <si>
    <t>[60.5872222222222,122.898333333333]</t>
  </si>
  <si>
    <t>60.35.14</t>
  </si>
  <si>
    <t>122.53.54</t>
  </si>
  <si>
    <t>[60.2983333333333,119.98]</t>
  </si>
  <si>
    <t>60.17.54</t>
  </si>
  <si>
    <t>119.58.48</t>
  </si>
  <si>
    <t>[60.6652777777778,121.442777777778]</t>
  </si>
  <si>
    <t>60.39.55</t>
  </si>
  <si>
    <t>121.26.34</t>
  </si>
  <si>
    <t>[60.1283333333333,117.121111111111]</t>
  </si>
  <si>
    <t>60.07.42</t>
  </si>
  <si>
    <t>117.07.16</t>
  </si>
  <si>
    <t>[60.2166666666667,119.348055555556]</t>
  </si>
  <si>
    <t>60.13.00</t>
  </si>
  <si>
    <t>119.20.53</t>
  </si>
  <si>
    <t>[60.3986111111111,120.300833333333]</t>
  </si>
  <si>
    <t>60.23.55</t>
  </si>
  <si>
    <t>120.18.03</t>
  </si>
  <si>
    <t>Оленёкский национальный эвенкийский</t>
  </si>
  <si>
    <t>[70.1394444444445,113.988055555556]</t>
  </si>
  <si>
    <t>70.08.22</t>
  </si>
  <si>
    <t>113.59.17</t>
  </si>
  <si>
    <t>70.1394444444445</t>
  </si>
  <si>
    <t>113.988055555556</t>
  </si>
  <si>
    <t>[68.5025,112.447222222222]</t>
  </si>
  <si>
    <t>68.30.09</t>
  </si>
  <si>
    <t>112.26.50</t>
  </si>
  <si>
    <t>68.5025</t>
  </si>
  <si>
    <t>112.447222222222</t>
  </si>
  <si>
    <t>[68.4977777777778,112.410555555556]</t>
  </si>
  <si>
    <t>68.29.52</t>
  </si>
  <si>
    <t>112.24.38</t>
  </si>
  <si>
    <t>[66.035,117.403055555556]</t>
  </si>
  <si>
    <t>66.02.06</t>
  </si>
  <si>
    <t>117.24.11</t>
  </si>
  <si>
    <t>66.035</t>
  </si>
  <si>
    <t>117.403055555556</t>
  </si>
  <si>
    <t>Среднеколымский</t>
  </si>
  <si>
    <t>Алеко-Кюель</t>
  </si>
  <si>
    <t>[68.6780555555556,151.876666666667]</t>
  </si>
  <si>
    <t>68.40.41</t>
  </si>
  <si>
    <t>151.52.36</t>
  </si>
  <si>
    <t>[68.4427777777778,153.376111111111]</t>
  </si>
  <si>
    <t>68.26.34</t>
  </si>
  <si>
    <t>153.22.34</t>
  </si>
  <si>
    <t>[67.1319444444444,156.583055555556]</t>
  </si>
  <si>
    <t>67.07.55</t>
  </si>
  <si>
    <t>156.34.59</t>
  </si>
  <si>
    <t>[67.4877777777778,154.031944444444]</t>
  </si>
  <si>
    <t>67.29.16</t>
  </si>
  <si>
    <t>154.01.55</t>
  </si>
  <si>
    <t>[67.5841666666667,153.645]</t>
  </si>
  <si>
    <t>67.35.03</t>
  </si>
  <si>
    <t>153.38.42</t>
  </si>
  <si>
    <t>[68.2769444444444,154.708611111111]</t>
  </si>
  <si>
    <t>68.16.37</t>
  </si>
  <si>
    <t>154.42.31</t>
  </si>
  <si>
    <t>[68.4852777777778,155.126388888889]</t>
  </si>
  <si>
    <t>68.29.07</t>
  </si>
  <si>
    <t>155.07.35</t>
  </si>
  <si>
    <t>[68.0586111111111,151.802222222222]</t>
  </si>
  <si>
    <t>68.03.31</t>
  </si>
  <si>
    <t>151.48.08</t>
  </si>
  <si>
    <t>[68.8702777777778,150.304722222222]</t>
  </si>
  <si>
    <t>68.52.13</t>
  </si>
  <si>
    <t>150.18.17</t>
  </si>
  <si>
    <t>[67.4591666666667,153.711388888889]</t>
  </si>
  <si>
    <t>67.27.33</t>
  </si>
  <si>
    <t>153.42.41</t>
  </si>
  <si>
    <t>[68.2461111111111,152.382777777778]</t>
  </si>
  <si>
    <t>68.14.46</t>
  </si>
  <si>
    <t>152.22.58</t>
  </si>
  <si>
    <t>[67.8513888888889,154.8175]</t>
  </si>
  <si>
    <t>67.51.05</t>
  </si>
  <si>
    <t>154.49.03</t>
  </si>
  <si>
    <t>[66.655,152.499722222222]</t>
  </si>
  <si>
    <t>66.39.18</t>
  </si>
  <si>
    <t>152.29.59</t>
  </si>
  <si>
    <t>[67.4930555555556,152.603611111111]</t>
  </si>
  <si>
    <t>67.29.35</t>
  </si>
  <si>
    <t>152.36.13</t>
  </si>
  <si>
    <t>[68.3944444444444,150.75]</t>
  </si>
  <si>
    <t>68.23.40</t>
  </si>
  <si>
    <t>150.44.60</t>
  </si>
  <si>
    <t>[61.9983333333333,117.4775]</t>
  </si>
  <si>
    <t>61.59.54</t>
  </si>
  <si>
    <t>117.28.39</t>
  </si>
  <si>
    <t>[62.2286111111111,117.05]</t>
  </si>
  <si>
    <t>62.13.43</t>
  </si>
  <si>
    <t>117.03.00</t>
  </si>
  <si>
    <t>[62.3719444444444,116.640833333333]</t>
  </si>
  <si>
    <t>62.22.19</t>
  </si>
  <si>
    <t>116.38.27</t>
  </si>
  <si>
    <t>[62.6391666666667,117.37]</t>
  </si>
  <si>
    <t>62.38.21</t>
  </si>
  <si>
    <t>117.22.12</t>
  </si>
  <si>
    <t>[62.8327777777778,117.535555555556]</t>
  </si>
  <si>
    <t>62.49.58</t>
  </si>
  <si>
    <t>117.32.08</t>
  </si>
  <si>
    <t>[62.0255555555556,117.423055555556]</t>
  </si>
  <si>
    <t>62.01.32</t>
  </si>
  <si>
    <t>117.25.23</t>
  </si>
  <si>
    <t>[62.0311111111111,118.639722222222]</t>
  </si>
  <si>
    <t>62.01.52</t>
  </si>
  <si>
    <t>118.38.23</t>
  </si>
  <si>
    <t>[62.9027777777778,117.619722222222]</t>
  </si>
  <si>
    <t>62.54.10</t>
  </si>
  <si>
    <t>117.37.11</t>
  </si>
  <si>
    <t>[62.2516666666667,116.171111111111]</t>
  </si>
  <si>
    <t>62.15.06</t>
  </si>
  <si>
    <t>116.10.16</t>
  </si>
  <si>
    <t>[62.0930555555556,116.2225]</t>
  </si>
  <si>
    <t>62.05.35</t>
  </si>
  <si>
    <t>116.13.21</t>
  </si>
  <si>
    <t>[62.7147222222222,117.571944444444]</t>
  </si>
  <si>
    <t>62.42.53</t>
  </si>
  <si>
    <t>117.34.19</t>
  </si>
  <si>
    <t>[62.7677777777778,117.7225]</t>
  </si>
  <si>
    <t>62.46.04</t>
  </si>
  <si>
    <t>117.43.21</t>
  </si>
  <si>
    <t>[62.3455555555556,117.701666666667]</t>
  </si>
  <si>
    <t>62.20.44</t>
  </si>
  <si>
    <t>117.42.06</t>
  </si>
  <si>
    <t>Мар-Кюель</t>
  </si>
  <si>
    <t>[62.3969444444444,117.011111111111]</t>
  </si>
  <si>
    <t>62.23.49</t>
  </si>
  <si>
    <t>117.00.40</t>
  </si>
  <si>
    <t>[63.0625,116.412777777778]</t>
  </si>
  <si>
    <t>63.03.45</t>
  </si>
  <si>
    <t>116.24.46</t>
  </si>
  <si>
    <t>[62.4655555555556,115.719444444444]</t>
  </si>
  <si>
    <t>62.27.56</t>
  </si>
  <si>
    <t>115.43.10</t>
  </si>
  <si>
    <t>[62.8013888888889,117.424722222222]</t>
  </si>
  <si>
    <t>62.48.05</t>
  </si>
  <si>
    <t>117.25.29</t>
  </si>
  <si>
    <t>[62.8183333333333,115.211388888889]</t>
  </si>
  <si>
    <t>62.49.06</t>
  </si>
  <si>
    <t>115.12.41</t>
  </si>
  <si>
    <t>[61.9286111111111,117.165]</t>
  </si>
  <si>
    <t>61.55.43</t>
  </si>
  <si>
    <t>117.09.54</t>
  </si>
  <si>
    <t>[62.16,117.643888888889]</t>
  </si>
  <si>
    <t>62.09.36</t>
  </si>
  <si>
    <t>117.38.38</t>
  </si>
  <si>
    <t>[61.9983333333333,116.561666666667]</t>
  </si>
  <si>
    <t>116.33.42</t>
  </si>
  <si>
    <t>[62.1858333333333,116.75]</t>
  </si>
  <si>
    <t>62.11.09</t>
  </si>
  <si>
    <t>116.45.00</t>
  </si>
  <si>
    <t>[62.0105555555556,117.483333333333]</t>
  </si>
  <si>
    <t>62.00.38</t>
  </si>
  <si>
    <t>117.29.00</t>
  </si>
  <si>
    <t>[62.7230555555556,117.749444444444]</t>
  </si>
  <si>
    <t>62.43.23</t>
  </si>
  <si>
    <t>117.44.58</t>
  </si>
  <si>
    <t>[62.0197222222222,117.720277777778]</t>
  </si>
  <si>
    <t>62.01.11</t>
  </si>
  <si>
    <t>117.43.13</t>
  </si>
  <si>
    <t>[62.8811111111111,117.473055555556]</t>
  </si>
  <si>
    <t>62.52.52</t>
  </si>
  <si>
    <t>117.28.23</t>
  </si>
  <si>
    <t>[62.165,117.733055555556]</t>
  </si>
  <si>
    <t>62.09.54</t>
  </si>
  <si>
    <t>117.43.59</t>
  </si>
  <si>
    <t>[62.2858333333333,116.864166666667]</t>
  </si>
  <si>
    <t>62.17.09</t>
  </si>
  <si>
    <t>116.51.51</t>
  </si>
  <si>
    <t>[62.4255555555556,117.854444444444]</t>
  </si>
  <si>
    <t>62.25.32</t>
  </si>
  <si>
    <t>117.51.16</t>
  </si>
  <si>
    <t>[62.6063888888889,115.678333333333]</t>
  </si>
  <si>
    <t>62.36.23</t>
  </si>
  <si>
    <t>115.40.42</t>
  </si>
  <si>
    <t>[62.5533333333333,117.807222222222]</t>
  </si>
  <si>
    <t>62.33.12</t>
  </si>
  <si>
    <t>117.48.26</t>
  </si>
  <si>
    <t>[62.2561111111111,119.743888888889]</t>
  </si>
  <si>
    <t>62.15.22</t>
  </si>
  <si>
    <t>119.44.38</t>
  </si>
  <si>
    <t>[62.8588888888889,117.549444444444]</t>
  </si>
  <si>
    <t>62.51.32</t>
  </si>
  <si>
    <t>117.32.58</t>
  </si>
  <si>
    <t>[62.9738888888889,117.487222222222]</t>
  </si>
  <si>
    <t>62.58.26</t>
  </si>
  <si>
    <t>117.29.14</t>
  </si>
  <si>
    <t>[61.8841666666667,117.501944444444]</t>
  </si>
  <si>
    <t>61.53.03</t>
  </si>
  <si>
    <t>117.30.07</t>
  </si>
  <si>
    <t>[62.4855555555556,117.510833333333]</t>
  </si>
  <si>
    <t>62.29.08</t>
  </si>
  <si>
    <t>117.30.39</t>
  </si>
  <si>
    <t>[62.4016666666667,117.540833333333]</t>
  </si>
  <si>
    <t>62.24.06</t>
  </si>
  <si>
    <t>117.32.27</t>
  </si>
  <si>
    <t>Таттинский</t>
  </si>
  <si>
    <t>[62.2797222222222,133.494166666667]</t>
  </si>
  <si>
    <t>62.16.47</t>
  </si>
  <si>
    <t>133.29.39</t>
  </si>
  <si>
    <t>[63.0166666666667,133.470833333333]</t>
  </si>
  <si>
    <t>133.28.15</t>
  </si>
  <si>
    <t>[61.9091666666667,133.611388888889]</t>
  </si>
  <si>
    <t>61.54.33</t>
  </si>
  <si>
    <t>133.36.41</t>
  </si>
  <si>
    <t>[62.4755555555556,133.631666666667]</t>
  </si>
  <si>
    <t>62.28.32</t>
  </si>
  <si>
    <t>133.37.54</t>
  </si>
  <si>
    <t>[62.4108333333333,132.874722222222]</t>
  </si>
  <si>
    <t>62.24.39</t>
  </si>
  <si>
    <t>132.52.29</t>
  </si>
  <si>
    <t>[62.1161111111111,133.025833333333]</t>
  </si>
  <si>
    <t>62.06.58</t>
  </si>
  <si>
    <t>133.01.33</t>
  </si>
  <si>
    <t>[62.6552777777778,132.927777777778]</t>
  </si>
  <si>
    <t>62.39.19</t>
  </si>
  <si>
    <t>132.55.40</t>
  </si>
  <si>
    <t>[62.3319444444444,132.942777777778]</t>
  </si>
  <si>
    <t>62.19.55</t>
  </si>
  <si>
    <t>132.56.34</t>
  </si>
  <si>
    <t>[62.6325,133.593611111111]</t>
  </si>
  <si>
    <t>62.37.57</t>
  </si>
  <si>
    <t>133.35.37</t>
  </si>
  <si>
    <t>[63.2608333333333,133.225277777778]</t>
  </si>
  <si>
    <t>63.15.39</t>
  </si>
  <si>
    <t>133.13.31</t>
  </si>
  <si>
    <t>[62.1975,134.249722222222]</t>
  </si>
  <si>
    <t>134.14.59</t>
  </si>
  <si>
    <t>Черкех</t>
  </si>
  <si>
    <t>[62.1847222222222,133.224444444444]</t>
  </si>
  <si>
    <t>62.11.05</t>
  </si>
  <si>
    <t>133.13.28</t>
  </si>
  <si>
    <t>[62.2466666666667,134.538055555556]</t>
  </si>
  <si>
    <t>62.14.48</t>
  </si>
  <si>
    <t>134.32.17</t>
  </si>
  <si>
    <t>[62.1222222222222,134.345]</t>
  </si>
  <si>
    <t>62.07.20</t>
  </si>
  <si>
    <t>134.20.42</t>
  </si>
  <si>
    <t>Ытык-Кюель</t>
  </si>
  <si>
    <t>[62.3602777777778,133.543611111111]</t>
  </si>
  <si>
    <t>62.21.37</t>
  </si>
  <si>
    <t>133.32.37</t>
  </si>
  <si>
    <t>Томпонский</t>
  </si>
  <si>
    <t>[62.8519444444444,134.292777777778]</t>
  </si>
  <si>
    <t>62.51.07</t>
  </si>
  <si>
    <t>134.17.34</t>
  </si>
  <si>
    <t>[62.7861111111111,136.846944444444]</t>
  </si>
  <si>
    <t>62.47.10</t>
  </si>
  <si>
    <t>136.50.49</t>
  </si>
  <si>
    <t>[62.2169444444444,135.859444444444]</t>
  </si>
  <si>
    <t>62.13.01</t>
  </si>
  <si>
    <t>135.51.34</t>
  </si>
  <si>
    <t>[62.6516666666667,135.007777777778]</t>
  </si>
  <si>
    <t>62.39.06</t>
  </si>
  <si>
    <t>135.00.28</t>
  </si>
  <si>
    <t>[62.8133333333333,134.512222222222]</t>
  </si>
  <si>
    <t>62.48.48</t>
  </si>
  <si>
    <t>134.30.44</t>
  </si>
  <si>
    <t>[62.6994444444444,134.613611111111]</t>
  </si>
  <si>
    <t>62.41.58</t>
  </si>
  <si>
    <t>134.36.49</t>
  </si>
  <si>
    <t>[62.5883333333333,135.527222222222]</t>
  </si>
  <si>
    <t>62.35.18</t>
  </si>
  <si>
    <t>135.31.38</t>
  </si>
  <si>
    <t>[61.8775,135.527777777778]</t>
  </si>
  <si>
    <t>61.52.39</t>
  </si>
  <si>
    <t>135.31.40</t>
  </si>
  <si>
    <t>[63.0463888888889,138.157777777778]</t>
  </si>
  <si>
    <t>63.02.47</t>
  </si>
  <si>
    <t>138.09.28</t>
  </si>
  <si>
    <t>[62.6016666666667,135.468888888889]</t>
  </si>
  <si>
    <t>62.36.06</t>
  </si>
  <si>
    <t>135.28.08</t>
  </si>
  <si>
    <t>[62.7816666666667,136.809444444444]</t>
  </si>
  <si>
    <t>62.46.54</t>
  </si>
  <si>
    <t>136.48.34</t>
  </si>
  <si>
    <t>[64.0733333333333,135.963055555556]</t>
  </si>
  <si>
    <t>64.04.24</t>
  </si>
  <si>
    <t>135.57.47</t>
  </si>
  <si>
    <t>[62.9302777777778,134.463611111111]</t>
  </si>
  <si>
    <t>62.55.49</t>
  </si>
  <si>
    <t>134.27.49</t>
  </si>
  <si>
    <t>[62.6533333333333,135.559166666667]</t>
  </si>
  <si>
    <t>62.39.12</t>
  </si>
  <si>
    <t>135.33.33</t>
  </si>
  <si>
    <t>[62.45,130.94]</t>
  </si>
  <si>
    <t>62.27.00</t>
  </si>
  <si>
    <t>130.56.24</t>
  </si>
  <si>
    <t>[62.5102777777778,130.045833333333]</t>
  </si>
  <si>
    <t>62.30.37</t>
  </si>
  <si>
    <t>130.02.45</t>
  </si>
  <si>
    <t>[62.3930555555556,131.838333333333]</t>
  </si>
  <si>
    <t>62.23.35</t>
  </si>
  <si>
    <t>131.50.18</t>
  </si>
  <si>
    <t>[63.0833333333333,130.4125]</t>
  </si>
  <si>
    <t>63.05.00</t>
  </si>
  <si>
    <t>130.24.45</t>
  </si>
  <si>
    <t>[62.3961111111111,130.861388888889]</t>
  </si>
  <si>
    <t>62.23.46</t>
  </si>
  <si>
    <t>130.51.41</t>
  </si>
  <si>
    <t>[62.6713888888889,131.173333333333]</t>
  </si>
  <si>
    <t>62.40.17</t>
  </si>
  <si>
    <t>131.10.24</t>
  </si>
  <si>
    <t>[63.1277777777778,130.719444444444]</t>
  </si>
  <si>
    <t>63.07.40</t>
  </si>
  <si>
    <t>130.43.10</t>
  </si>
  <si>
    <t>[62.8877777777778,131.913611111111]</t>
  </si>
  <si>
    <t>62.53.16</t>
  </si>
  <si>
    <t>131.54.49</t>
  </si>
  <si>
    <t>[62.7366666666667,130.485833333333]</t>
  </si>
  <si>
    <t>62.44.12</t>
  </si>
  <si>
    <t>130.29.09</t>
  </si>
  <si>
    <t>[63.3044444444444,130.379166666667]</t>
  </si>
  <si>
    <t>63.18.16</t>
  </si>
  <si>
    <t>130.22.45</t>
  </si>
  <si>
    <t>[63.0227777777778,130.725833333333]</t>
  </si>
  <si>
    <t>63.01.22</t>
  </si>
  <si>
    <t>130.43.33</t>
  </si>
  <si>
    <t>[62.7947222222222,130.752777777778]</t>
  </si>
  <si>
    <t>62.47.41</t>
  </si>
  <si>
    <t>130.45.10</t>
  </si>
  <si>
    <t>[63.2283333333333,132.12]</t>
  </si>
  <si>
    <t>132.07.12</t>
  </si>
  <si>
    <t>[62.6263888888889,131.148333333333]</t>
  </si>
  <si>
    <t>62.37.35</t>
  </si>
  <si>
    <t>131.08.54</t>
  </si>
  <si>
    <t>[62.6558333333333,131.180833333333]</t>
  </si>
  <si>
    <t>62.39.21</t>
  </si>
  <si>
    <t>131.10.51</t>
  </si>
  <si>
    <t>[62.4530555555556,130.141388888889]</t>
  </si>
  <si>
    <t>62.27.11</t>
  </si>
  <si>
    <t>130.08.29</t>
  </si>
  <si>
    <t>[62.4675,131.341111111111]</t>
  </si>
  <si>
    <t>62.28.03</t>
  </si>
  <si>
    <t>131.20.28</t>
  </si>
  <si>
    <t>[62.4761111111111,130.646944444444]</t>
  </si>
  <si>
    <t>62.28.34</t>
  </si>
  <si>
    <t>130.38.49</t>
  </si>
  <si>
    <t>[62.9797222222222,130.848611111111]</t>
  </si>
  <si>
    <t>62.58.47</t>
  </si>
  <si>
    <t>130.50.55</t>
  </si>
  <si>
    <t>[62.5594444444444,130.889166666667]</t>
  </si>
  <si>
    <t>62.33.34</t>
  </si>
  <si>
    <t>130.53.21</t>
  </si>
  <si>
    <t>[62.6469444444444,131.993333333333]</t>
  </si>
  <si>
    <t>62.38.49</t>
  </si>
  <si>
    <t>131.59.36</t>
  </si>
  <si>
    <t>[62.7544444444444,131.960277777778]</t>
  </si>
  <si>
    <t>62.45.16</t>
  </si>
  <si>
    <t>131.57.37</t>
  </si>
  <si>
    <t>[62.6975,131.0975]</t>
  </si>
  <si>
    <t>62.41.51</t>
  </si>
  <si>
    <t>131.05.51</t>
  </si>
  <si>
    <t>[62.8080555555556,131.075833333333]</t>
  </si>
  <si>
    <t>62.48.29</t>
  </si>
  <si>
    <t>131.04.33</t>
  </si>
  <si>
    <t>Ус-Кюель</t>
  </si>
  <si>
    <t>[62.4347222222222,131.597777777778]</t>
  </si>
  <si>
    <t>62.26.05</t>
  </si>
  <si>
    <t>131.35.52</t>
  </si>
  <si>
    <t>[62.87,130.83]</t>
  </si>
  <si>
    <t>62.52.12</t>
  </si>
  <si>
    <t>130.49.48</t>
  </si>
  <si>
    <t>[62.8761111111111,130.323611111111]</t>
  </si>
  <si>
    <t>62.52.34</t>
  </si>
  <si>
    <t>130.19.25</t>
  </si>
  <si>
    <t>[62.47,130.11]</t>
  </si>
  <si>
    <t>62.28.12</t>
  </si>
  <si>
    <t>130.06.36</t>
  </si>
  <si>
    <t>[62.64,131.2]</t>
  </si>
  <si>
    <t>62.38.24</t>
  </si>
  <si>
    <t>131.12.00</t>
  </si>
  <si>
    <t>[63.2327777777778,130.989444444444]</t>
  </si>
  <si>
    <t>63.13.58</t>
  </si>
  <si>
    <t>130.59.22</t>
  </si>
  <si>
    <t>[62.5041666666667,131.0525]</t>
  </si>
  <si>
    <t>62.30.15</t>
  </si>
  <si>
    <t>131.03.09</t>
  </si>
  <si>
    <t>[62.6225,130.537222222222]</t>
  </si>
  <si>
    <t>62.37.21</t>
  </si>
  <si>
    <t>130.32.14</t>
  </si>
  <si>
    <t>[62.9102777777778,131.0475]</t>
  </si>
  <si>
    <t>62.54.37</t>
  </si>
  <si>
    <t>131.02.51</t>
  </si>
  <si>
    <t>[60.7269444444444,135.076944444444]</t>
  </si>
  <si>
    <t>60.43.37</t>
  </si>
  <si>
    <t>135.04.37</t>
  </si>
  <si>
    <t>[61.1341666666667,138.044444444444]</t>
  </si>
  <si>
    <t>61.08.03</t>
  </si>
  <si>
    <t>138.02.40</t>
  </si>
  <si>
    <t>61.1341666666667</t>
  </si>
  <si>
    <t>138.044444444444</t>
  </si>
  <si>
    <t>[59.1844444444444,131.891111111111]</t>
  </si>
  <si>
    <t>59.11.04</t>
  </si>
  <si>
    <t>131.53.28</t>
  </si>
  <si>
    <t>59.1844444444444</t>
  </si>
  <si>
    <t>131.891111111111</t>
  </si>
  <si>
    <t>[60.4872222222222,137.65]</t>
  </si>
  <si>
    <t>60.29.14</t>
  </si>
  <si>
    <t>137.39.00</t>
  </si>
  <si>
    <t>[60.8633333333333,135.325555555556]</t>
  </si>
  <si>
    <t>60.51.48</t>
  </si>
  <si>
    <t>135.19.32</t>
  </si>
  <si>
    <t>[60.3691666666667,134.458333333333]</t>
  </si>
  <si>
    <t>60.22.09</t>
  </si>
  <si>
    <t>134.27.30</t>
  </si>
  <si>
    <t>[60.3022222222222,137.556944444444]</t>
  </si>
  <si>
    <t>60.18.08</t>
  </si>
  <si>
    <t>137.33.25</t>
  </si>
  <si>
    <t>[60.3416666666667,134.457777777778]</t>
  </si>
  <si>
    <t>60.20.30</t>
  </si>
  <si>
    <t>134.27.28</t>
  </si>
  <si>
    <t>[60.9658333333333,135.281111111111]</t>
  </si>
  <si>
    <t>60.57.57</t>
  </si>
  <si>
    <t>135.16.52</t>
  </si>
  <si>
    <t>[60.4152777777778,134.543055555556]</t>
  </si>
  <si>
    <t>60.24.55</t>
  </si>
  <si>
    <t>134.32.35</t>
  </si>
  <si>
    <t>[59.64,133.110277777778]</t>
  </si>
  <si>
    <t>59.38.24</t>
  </si>
  <si>
    <t>133.06.37</t>
  </si>
  <si>
    <t>59.64</t>
  </si>
  <si>
    <t>133.110277777778</t>
  </si>
  <si>
    <t>[60.2647222222222,137.506111111111]</t>
  </si>
  <si>
    <t>60.15.53</t>
  </si>
  <si>
    <t>137.30.22</t>
  </si>
  <si>
    <t>[59.1591666666667,135.175277777778]</t>
  </si>
  <si>
    <t>59.09.33</t>
  </si>
  <si>
    <t>135.10.31</t>
  </si>
  <si>
    <t>[60.4794444444444,135.168055555556]</t>
  </si>
  <si>
    <t>135.10.05</t>
  </si>
  <si>
    <t>[60.775,135.148611111111]</t>
  </si>
  <si>
    <t>60.46.30</t>
  </si>
  <si>
    <t>135.08.55</t>
  </si>
  <si>
    <t>[59.7544444444444,137.693055555556]</t>
  </si>
  <si>
    <t>59.45.16</t>
  </si>
  <si>
    <t>137.41.35</t>
  </si>
  <si>
    <t>59.7544444444444</t>
  </si>
  <si>
    <t>137.693055555556</t>
  </si>
  <si>
    <t>[69.3408333333333,139.950555555556]</t>
  </si>
  <si>
    <t>69.20.27</t>
  </si>
  <si>
    <t>139.57.02</t>
  </si>
  <si>
    <t>[70.7444444444444,136.208055555556]</t>
  </si>
  <si>
    <t>70.44.40</t>
  </si>
  <si>
    <t>136.12.29</t>
  </si>
  <si>
    <t>[71.4405555555556,136.146944444444]</t>
  </si>
  <si>
    <t>71.26.26</t>
  </si>
  <si>
    <t>136.08.49</t>
  </si>
  <si>
    <t>[68.9644444444444,138.412222222222]</t>
  </si>
  <si>
    <t>68.57.52</t>
  </si>
  <si>
    <t>138.24.44</t>
  </si>
  <si>
    <t>[70.7222222222222,139.226111111111]</t>
  </si>
  <si>
    <t>70.43.20</t>
  </si>
  <si>
    <t>139.13.34</t>
  </si>
  <si>
    <t>[70.0025,135.544722222222]</t>
  </si>
  <si>
    <t>70.00.09</t>
  </si>
  <si>
    <t>135.32.41</t>
  </si>
  <si>
    <t>[70.9133333333333,136.449722222222]</t>
  </si>
  <si>
    <t>70.54.48</t>
  </si>
  <si>
    <t>136.26.59</t>
  </si>
  <si>
    <t>Уяндино</t>
  </si>
  <si>
    <t>[69.32,140.93]</t>
  </si>
  <si>
    <t>69.19.12</t>
  </si>
  <si>
    <t>140.55.48</t>
  </si>
  <si>
    <t>69.32</t>
  </si>
  <si>
    <t>140.93</t>
  </si>
  <si>
    <t>[70.8130555555556,133.498055555556]</t>
  </si>
  <si>
    <t>70.48.47</t>
  </si>
  <si>
    <t>133.29.53</t>
  </si>
  <si>
    <t>[71.7747222222222,139.846666666667]</t>
  </si>
  <si>
    <t>71.46.29</t>
  </si>
  <si>
    <t>139.50.48</t>
  </si>
  <si>
    <t>[61.365,128.861944444444]</t>
  </si>
  <si>
    <t>61.21.54</t>
  </si>
  <si>
    <t>128.51.43</t>
  </si>
  <si>
    <t>[61.2997222222222,128.665277777778]</t>
  </si>
  <si>
    <t>61.17.59</t>
  </si>
  <si>
    <t>128.39.55</t>
  </si>
  <si>
    <t>[61.1047222222222,126.370555555556]</t>
  </si>
  <si>
    <t>61.06.17</t>
  </si>
  <si>
    <t>126.22.14</t>
  </si>
  <si>
    <t>[61.2697222222222,128.11]</t>
  </si>
  <si>
    <t>61.16.11</t>
  </si>
  <si>
    <t>128.06.36</t>
  </si>
  <si>
    <t>[60.8122222222222,125.328333333333]</t>
  </si>
  <si>
    <t>60.48.44</t>
  </si>
  <si>
    <t>125.19.42</t>
  </si>
  <si>
    <t>[61.6888888888889,129.463888888889]</t>
  </si>
  <si>
    <t>61.41.20</t>
  </si>
  <si>
    <t>129.27.50</t>
  </si>
  <si>
    <t>[61.3191666666667,128.955]</t>
  </si>
  <si>
    <t>61.19.09</t>
  </si>
  <si>
    <t>128.57.18</t>
  </si>
  <si>
    <t>Кердем</t>
  </si>
  <si>
    <t>[61.4313888888889,129.195555555556]</t>
  </si>
  <si>
    <t>61.25.53</t>
  </si>
  <si>
    <t>129.11.44</t>
  </si>
  <si>
    <t>[61.3611111111111,129.025277777778]</t>
  </si>
  <si>
    <t>61.21.40</t>
  </si>
  <si>
    <t>129.01.31</t>
  </si>
  <si>
    <t>Кытаанах-Кырдал</t>
  </si>
  <si>
    <t>[61.24,128.386666666667]</t>
  </si>
  <si>
    <t>61.14.24</t>
  </si>
  <si>
    <t>128.23.12</t>
  </si>
  <si>
    <t>[60.9686111111111,125.923888888889]</t>
  </si>
  <si>
    <t>60.58.07</t>
  </si>
  <si>
    <t>125.55.26</t>
  </si>
  <si>
    <t>[61.3969444444444,128.943611111111]</t>
  </si>
  <si>
    <t>61.23.49</t>
  </si>
  <si>
    <t>128.56.37</t>
  </si>
  <si>
    <t>61.3969444444444</t>
  </si>
  <si>
    <t>128.943611111111</t>
  </si>
  <si>
    <t>[60.8177777777778,125.379444444444]</t>
  </si>
  <si>
    <t>60.49.04</t>
  </si>
  <si>
    <t>125.22.46</t>
  </si>
  <si>
    <t>[61.3033333333333,129.568333333333]</t>
  </si>
  <si>
    <t>61.18.12</t>
  </si>
  <si>
    <t>129.34.06</t>
  </si>
  <si>
    <t>[61.5405555555556,129.183888888889]</t>
  </si>
  <si>
    <t>61.32.26</t>
  </si>
  <si>
    <t>129.11.02</t>
  </si>
  <si>
    <t>Октемцы</t>
  </si>
  <si>
    <t>[61.6658333333333,129.415277777778]</t>
  </si>
  <si>
    <t>61.39.57</t>
  </si>
  <si>
    <t>129.24.55</t>
  </si>
  <si>
    <t>[61.4838888888889,129.150555555556]</t>
  </si>
  <si>
    <t>61.29.02</t>
  </si>
  <si>
    <t>129.09.02</t>
  </si>
  <si>
    <t>[61.1319444444444,126.839722222222]</t>
  </si>
  <si>
    <t>61.07.55</t>
  </si>
  <si>
    <t>126.50.23</t>
  </si>
  <si>
    <t>[61.7113888888889,129.467777777778]</t>
  </si>
  <si>
    <t>61.42.41</t>
  </si>
  <si>
    <t>129.28.04</t>
  </si>
  <si>
    <t>[61.2247222222222,127.730555555556]</t>
  </si>
  <si>
    <t>61.13.29</t>
  </si>
  <si>
    <t>127.43.50</t>
  </si>
  <si>
    <t>[61.4844444444444,129.318333333333]</t>
  </si>
  <si>
    <t>61.29.04</t>
  </si>
  <si>
    <t>129.19.06</t>
  </si>
  <si>
    <t>[61.1808333333333,127.535833333333]</t>
  </si>
  <si>
    <t>127.32.09</t>
  </si>
  <si>
    <t>[61.6144444444444,129.227777777778]</t>
  </si>
  <si>
    <t>61.36.52</t>
  </si>
  <si>
    <t>129.13.40</t>
  </si>
  <si>
    <t>[61.3011111111111,128.258611111111]</t>
  </si>
  <si>
    <t>61.18.04</t>
  </si>
  <si>
    <t>128.15.31</t>
  </si>
  <si>
    <t>[61.2172222222222,127.915833333333]</t>
  </si>
  <si>
    <t>61.13.02</t>
  </si>
  <si>
    <t>127.54.57</t>
  </si>
  <si>
    <t>[61.5344444444444,129.408611111111]</t>
  </si>
  <si>
    <t>61.32.04</t>
  </si>
  <si>
    <t>129.24.31</t>
  </si>
  <si>
    <t>[61.6555555555556,129.387222222222]</t>
  </si>
  <si>
    <t>61.39.20</t>
  </si>
  <si>
    <t>129.23.14</t>
  </si>
  <si>
    <t>[61.4252777777778,128.779166666667]</t>
  </si>
  <si>
    <t>61.25.31</t>
  </si>
  <si>
    <t>128.46.45</t>
  </si>
  <si>
    <t>[61.1930555555556,127.753055555556]</t>
  </si>
  <si>
    <t>61.11.35</t>
  </si>
  <si>
    <t>127.45.11</t>
  </si>
  <si>
    <t>[62.3652777777778,132.610277777778]</t>
  </si>
  <si>
    <t>62.21.55</t>
  </si>
  <si>
    <t>132.36.37</t>
  </si>
  <si>
    <t>[62.1772222222222,132.02]</t>
  </si>
  <si>
    <t>62.10.38</t>
  </si>
  <si>
    <t>132.01.12</t>
  </si>
  <si>
    <t>Василий Аласа</t>
  </si>
  <si>
    <t>[61.79,132.566388888889]</t>
  </si>
  <si>
    <t>61.47.24</t>
  </si>
  <si>
    <t>132.33.59</t>
  </si>
  <si>
    <t>[61.8455555555556,132.123055555556]</t>
  </si>
  <si>
    <t>61.50.44</t>
  </si>
  <si>
    <t>132.07.23</t>
  </si>
  <si>
    <t>[61.9022222222222,132.354444444444]</t>
  </si>
  <si>
    <t>61.54.08</t>
  </si>
  <si>
    <t>132.21.16</t>
  </si>
  <si>
    <t>[62.0547222222222,132.414722222222]</t>
  </si>
  <si>
    <t>62.03.17</t>
  </si>
  <si>
    <t>132.24.53</t>
  </si>
  <si>
    <t>[62.2586111111111,132.363055555556]</t>
  </si>
  <si>
    <t>62.15.31</t>
  </si>
  <si>
    <t>132.21.47</t>
  </si>
  <si>
    <t>[62.1302777777778,132.741666666667]</t>
  </si>
  <si>
    <t>62.07.49</t>
  </si>
  <si>
    <t>132.44.30</t>
  </si>
  <si>
    <t>[61.6122222222222,133.180277777778]</t>
  </si>
  <si>
    <t>61.36.44</t>
  </si>
  <si>
    <t>133.10.49</t>
  </si>
  <si>
    <t>[62.3091666666667,131.435833333333]</t>
  </si>
  <si>
    <t>62.18.33</t>
  </si>
  <si>
    <t>131.26.09</t>
  </si>
  <si>
    <t>[61.9825,131.922222222222]</t>
  </si>
  <si>
    <t>61.58.57</t>
  </si>
  <si>
    <t>131.55.20</t>
  </si>
  <si>
    <t>[61.6433333333333,133.200555555556]</t>
  </si>
  <si>
    <t>61.38.36</t>
  </si>
  <si>
    <t>133.12.02</t>
  </si>
  <si>
    <t>[61.8338888888889,133.640277777778]</t>
  </si>
  <si>
    <t>61.50.02</t>
  </si>
  <si>
    <t>133.38.25</t>
  </si>
  <si>
    <t>[61.9383333333333,132.121388888889]</t>
  </si>
  <si>
    <t>61.56.18</t>
  </si>
  <si>
    <t>132.07.17</t>
  </si>
  <si>
    <t>[62.1386111111111,132.431666666667]</t>
  </si>
  <si>
    <t>62.08.19</t>
  </si>
  <si>
    <t>132.25.54</t>
  </si>
  <si>
    <t>[61.985,132.165]</t>
  </si>
  <si>
    <t>61.59.06</t>
  </si>
  <si>
    <t>132.09.54</t>
  </si>
  <si>
    <t>[61.6588888888889,132.082222222222]</t>
  </si>
  <si>
    <t>61.39.32</t>
  </si>
  <si>
    <t>132.04.56</t>
  </si>
  <si>
    <t>[61.7272222222222,131.943055555556]</t>
  </si>
  <si>
    <t>131.56.35</t>
  </si>
  <si>
    <t>[62.2613888888889,132.1375]</t>
  </si>
  <si>
    <t>62.15.41</t>
  </si>
  <si>
    <t>132.08.15</t>
  </si>
  <si>
    <t>[61.8877777777778,131.661111111111]</t>
  </si>
  <si>
    <t>61.53.16</t>
  </si>
  <si>
    <t>131.39.40</t>
  </si>
  <si>
    <t>[61.7486111111111,132.298055555556]</t>
  </si>
  <si>
    <t>61.44.55</t>
  </si>
  <si>
    <t>132.17.53</t>
  </si>
  <si>
    <t>[62.1652777777778,132.175833333333]</t>
  </si>
  <si>
    <t>62.09.55</t>
  </si>
  <si>
    <t>132.10.33</t>
  </si>
  <si>
    <t>[61.9897222222222,132.575555555556]</t>
  </si>
  <si>
    <t>61.59.23</t>
  </si>
  <si>
    <t>132.34.32</t>
  </si>
  <si>
    <t>[62.0394444444444,132.745833333333]</t>
  </si>
  <si>
    <t>62.02.22</t>
  </si>
  <si>
    <t>132.44.45</t>
  </si>
  <si>
    <t>[61.7405555555556,133.6625]</t>
  </si>
  <si>
    <t>61.44.26</t>
  </si>
  <si>
    <t>133.39.45</t>
  </si>
  <si>
    <t>[61.9983333333333,132.4275]</t>
  </si>
  <si>
    <t>132.25.39</t>
  </si>
  <si>
    <t>[62.1844444444444,131.412222222222]</t>
  </si>
  <si>
    <t>62.11.04</t>
  </si>
  <si>
    <t>131.24.44</t>
  </si>
  <si>
    <t>Юрюнг-Кюель</t>
  </si>
  <si>
    <t>[61.7580555555556,132.009722222222]</t>
  </si>
  <si>
    <t>61.45.29</t>
  </si>
  <si>
    <t>132.00.35</t>
  </si>
  <si>
    <t>Юрях-Кюере</t>
  </si>
  <si>
    <t>[61.8147222222222,132.405833333333]</t>
  </si>
  <si>
    <t>61.48.53</t>
  </si>
  <si>
    <t>132.24.21</t>
  </si>
  <si>
    <t>Эвено-Бытантайский национальный</t>
  </si>
  <si>
    <t>[68.4186111111111,132.393333333333]</t>
  </si>
  <si>
    <t>68.25.07</t>
  </si>
  <si>
    <t>132.23.36</t>
  </si>
  <si>
    <t>[67.7983333333333,130.401388888889]</t>
  </si>
  <si>
    <t>67.47.54</t>
  </si>
  <si>
    <t>130.24.05</t>
  </si>
  <si>
    <t>[67.2727777777778,130.545]</t>
  </si>
  <si>
    <t>67.16.22</t>
  </si>
  <si>
    <t>130.32.42</t>
  </si>
  <si>
    <t>[68.1719444444444,131.676666666667]</t>
  </si>
  <si>
    <t>68.10.19</t>
  </si>
  <si>
    <t>131.40.36</t>
  </si>
  <si>
    <t>Схемы зачернений (проведение предупредительных противопаводковых мероприятий по ослаблению прочности льда на затороопасных участках рек)</t>
  </si>
  <si>
    <t>Наименование защищаемого населенного пункта</t>
  </si>
  <si>
    <t>Дата (дд.мм.гггг)</t>
  </si>
  <si>
    <t>Наименование реки</t>
  </si>
  <si>
    <t>Наименование района</t>
  </si>
  <si>
    <t>Наименование населенного пункта</t>
  </si>
  <si>
    <t>Количество полос</t>
  </si>
  <si>
    <t>Ширина, м</t>
  </si>
  <si>
    <t>Протяженность, м</t>
  </si>
  <si>
    <t>Площадь, м2</t>
  </si>
  <si>
    <t>Объем зачерняющего материала, м3</t>
  </si>
  <si>
    <t>Глубина протаивания льда, см</t>
  </si>
  <si>
    <t>Местность</t>
  </si>
  <si>
    <t>Ответственный</t>
  </si>
  <si>
    <t>58.72149334</t>
  </si>
  <si>
    <t>130.61732873</t>
  </si>
  <si>
    <t>выше н.п. Чагда</t>
  </si>
  <si>
    <t>ЛБВУ ФАВР</t>
  </si>
  <si>
    <t>58.78355898</t>
  </si>
  <si>
    <t>130.60016259</t>
  </si>
  <si>
    <t>у о. Первомайский</t>
  </si>
  <si>
    <t>59.14552075</t>
  </si>
  <si>
    <t>131.93019208</t>
  </si>
  <si>
    <t>у о. Бур-Ары</t>
  </si>
  <si>
    <t>59.14481644</t>
  </si>
  <si>
    <t>132.07095441</t>
  </si>
  <si>
    <t>в 12км ниже н.п. Белькачи</t>
  </si>
  <si>
    <t>60.50585294</t>
  </si>
  <si>
    <t>135.10204457</t>
  </si>
  <si>
    <t>ниже н.п. Эжанцы</t>
  </si>
  <si>
    <t>60.89963345</t>
  </si>
  <si>
    <t>135.35176073</t>
  </si>
  <si>
    <t>у о. Тит-Ары</t>
  </si>
  <si>
    <t>61.00061654</t>
  </si>
  <si>
    <t>135.43085347</t>
  </si>
  <si>
    <t>у пер. Ноторские острова</t>
  </si>
  <si>
    <t>61.09484956</t>
  </si>
  <si>
    <t>135.50089132</t>
  </si>
  <si>
    <t>у о. Улахан Отоннуур</t>
  </si>
  <si>
    <t>61.32250202</t>
  </si>
  <si>
    <t>135.49728129</t>
  </si>
  <si>
    <t>уч. Сымнар</t>
  </si>
  <si>
    <t>62.59919178</t>
  </si>
  <si>
    <t>135.27743823</t>
  </si>
  <si>
    <t>у о. Арга (перекат Собачий)</t>
  </si>
  <si>
    <t>62.58243892</t>
  </si>
  <si>
    <t>135.21014697</t>
  </si>
  <si>
    <t>62.68549287</t>
  </si>
  <si>
    <t>134.72297199</t>
  </si>
  <si>
    <t>у о. Маган</t>
  </si>
  <si>
    <t>62.65286368</t>
  </si>
  <si>
    <t>134.78648670</t>
  </si>
  <si>
    <t>у о. Туога</t>
  </si>
  <si>
    <t>63.34089060</t>
  </si>
  <si>
    <t>133.26350696</t>
  </si>
  <si>
    <t>в 8 км. ниже с. Хара-Алдан</t>
  </si>
  <si>
    <t>63.45301846</t>
  </si>
  <si>
    <t>129.57625695</t>
  </si>
  <si>
    <t>у о. Ходжох</t>
  </si>
  <si>
    <t>63.41831961</t>
  </si>
  <si>
    <t>129.71616098</t>
  </si>
  <si>
    <t>у о. Сис-Кумах</t>
  </si>
  <si>
    <t>63.41463231</t>
  </si>
  <si>
    <t>129.98343774</t>
  </si>
  <si>
    <t>у о. Ого-Унуохтаах</t>
  </si>
  <si>
    <t>р. Курум Кюнкю</t>
  </si>
  <si>
    <t>р. Курум Арыта</t>
  </si>
  <si>
    <t>о. Ус-Уэстэх</t>
  </si>
  <si>
    <t>о. Молода</t>
  </si>
  <si>
    <t>Харчы Хайата</t>
  </si>
  <si>
    <t>р. Ксенофонт Арыта</t>
  </si>
  <si>
    <t>о. Уолала</t>
  </si>
  <si>
    <t>Моккуда</t>
  </si>
  <si>
    <t>Тэйэр Хайа</t>
  </si>
  <si>
    <t>о. Уодай</t>
  </si>
  <si>
    <t>№ п/п</t>
  </si>
  <si>
    <t>ЧС по характеру и виду источника возникновения, в соответствии с перечнем</t>
  </si>
  <si>
    <t>Дата, субъект РФ, место, краткое описание чрезвычайной ситуации, причина возникновения ЧС</t>
  </si>
  <si>
    <t>Уровень ЧС</t>
  </si>
  <si>
    <t>Количество погибших</t>
  </si>
  <si>
    <t>Количество пострадавших</t>
  </si>
  <si>
    <t>Количество пострадавших (в том числе - детей)</t>
  </si>
  <si>
    <t>Количество спасенных</t>
  </si>
  <si>
    <t>дата введения</t>
  </si>
  <si>
    <t>район</t>
  </si>
  <si>
    <t>Год</t>
  </si>
  <si>
    <t>Тип ЧС</t>
  </si>
  <si>
    <t xml:space="preserve">1.8. Аварии на коммунальных системах жизнеобеспечения </t>
  </si>
  <si>
    <t xml:space="preserve">03.01.01г. в Алданском районе, г.Томмот, в результате выхода из строя двух сетевых насосов остановлена котельная  МУП ЖКХ,
слита вода из системы отопления из 20 жилых домов, 5 зданий соцкультбыта, 2000 м теплотрассы. Без тепла остались 180 человек,  из них 40 детей. 
</t>
  </si>
  <si>
    <t>Муниципальный</t>
  </si>
  <si>
    <t>Аварии в отопительный сезон</t>
  </si>
  <si>
    <t>04.01.01г. в 23 час.00 мин.в  Усть - Янском районе, п.Казачье, остановлена котельная ПАКУ из-за течи котла, второй котел не смогли запустить (работают  котлы на нефти). Слита вода с 5 жилых домов и 14 частных домов, теплотрассы длиной 1,82 км., с контор ЖКП, здания администрации, конторы ГУП "Дьааана.</t>
  </si>
  <si>
    <t xml:space="preserve">1.2.5.                                              Пожары в зданиях (сооружениях) жилого, административного, учебно - воспитательного, социального, культурно - досугового назначения, здравоохранения </t>
  </si>
  <si>
    <t xml:space="preserve">10.01.01г. в 04 час. 21мин в Томпонском районе, п.Хандыга, по улице П.Алексеева,15,  произошел пожар в жилом доме. На месте пожара обнаружено 2 трупа: гр.Гороховой Л.А -1932 г.р. - пенсионерка и гр.Кучина А.В - 1972 г. р.- БОМР. Причина, виновник, ущерб пожара устанавливается . </t>
  </si>
  <si>
    <t>Локальный</t>
  </si>
  <si>
    <t>Техногенные пожары</t>
  </si>
  <si>
    <t xml:space="preserve">1.8.                                              Аварии на коммунальных системах жизнеобеспечения </t>
  </si>
  <si>
    <t xml:space="preserve">15.01.01г. в Ленском районе, г.Ленск,   из-за сильной утечки воды на теплотрассе, остановлена подача тепла в жилые дома от котельной "Чапаево". В результате аварии слита вода с 46-ти жилых домов (из них 16 жил.д. и 30 част. д.). Проживает 670  чел, из них 180 дети. </t>
  </si>
  <si>
    <t>Федеральный</t>
  </si>
  <si>
    <t xml:space="preserve">1.2.4.                                              Пожары на транспортных средствах (в т.ч. железнодорожный,   водный,автомобильный, воздушный транспорт) </t>
  </si>
  <si>
    <t xml:space="preserve">22.01.01г. в 11 час.50 мин. в Аллайховском районе, п.Чокурдах  при заправке газоконденсатом емкости бензовоза произошло воспламенение топлива. В результате взрыва уничтожена автомашина УРАЛ-5557 Муниципального управления ЖКХ. Водитель не пострадал.
</t>
  </si>
  <si>
    <t>Дорожно-транспортные происшествия, на водном транспорте, АСР</t>
  </si>
  <si>
    <t>28.01.01г. в 03 час.30 мин. в Кобяйском районе, с.Кобяйск, произошел пожар в жилом доме. Здание деревянное двухэтажное огнем унеч-тожено полностью. На месте пожара обнаружено 3 трупа: гр.Сметаниной Р. Н. -  1973 г.р., гр.Сметанина К.- 1990 г.р. и гр.Сметанина С.- 1994 г.р.Причина, виновник, ущерб пожара  устанавливаются.</t>
  </si>
  <si>
    <t>1.2.1.                                              Пожары в зданиях,сооружениях, установках (в т.ч. магистральные газо -, нефте -, продуктопроводы) производственного назначения.</t>
  </si>
  <si>
    <t xml:space="preserve">02.02.01г. в 14 час. 20 мин. в Усть - Янском районе, п.Депутатский, произошел пожар в здании ДЭС ( 11 ДГ). Огнем уничтожен силовой кабель и все ДГ. Электрообеспечение поселка отсутствует. В результате пожара остановлена центральная котельная, обеспечивающая теплом 26 жил. домов и 33 объекта производственного соцкульбыта. Без тепла остались 3 698 чел. (из них 1 208 детей). Пострадавшие были  эвакуированы в соседние населённые пункты и в г. Якутск. Причина НППБ при  выполнении свар. работ.
</t>
  </si>
  <si>
    <t>03.02.01г.  в 02 час. 22 мин. в Ленском районе, г.Ленск, в котельной "Школьная" на котле КСВД произошел разрыв передней водяной камеры и выброс пароводяной смеси. Пострадало 4 человека, доставлены в больницу, из них двое скончались.</t>
  </si>
  <si>
    <t xml:space="preserve">04.02.01г. в 14 час.50 мин. в Алданском районе,  п.Ленинский, по улице Ленина,51, произошел пожар в жилом доме. В результате пожара погибли 3 человека: гр.Разумовская В. М. – 1941 г.р., Косых А. Ф.- 1940 г.р. и Разумовский Ю. В. – 1945 г. р. Причина пожара – неосторожность при курении. 
</t>
  </si>
  <si>
    <t>09.02.01г. в 12час.24 мин. в Мирнинском районе, мкр.Романовка,13, произошел пожар в частном доме. Погибло 3 человека.</t>
  </si>
  <si>
    <t>15.02.01г. в 15час. 15мин. в Верхоянском районе, с.Сайды произошла авария в  ДЭС. В результате аварии вода слита с теплотрасс с 57 жилых домов, в которых проживает 435 человек.</t>
  </si>
  <si>
    <t>Региональный</t>
  </si>
  <si>
    <t>1.2.1. Пожары в зданиях,сооружениях, установках (в т.ч. магистральные газо -, нефте -, продуктопроводы) производственного назначения.</t>
  </si>
  <si>
    <t xml:space="preserve">15.02.01г. в 00ч.30мин. в Таттинском районе, с.Ытык - Кель произошел пожар в центральной котельной.  В результате пожара пострадала правая часть здания.В результате пожара погиб гр.Попов В.Н. - 1956 г.р. - оператор. Без тепла остались 17  жилых дома (659 чел.), 7 производственных объектов. Пострадавшие расселены по родственникам и знакомым. </t>
  </si>
  <si>
    <t>18.02.01г. в 05час.40мин.в Таттинском районе, с.Харбалах,  произошел пожар в частном доме.  В результате пожара дом уничтожен по всей площади. В результате пожара погибло 2 человека и  пострадало 5 человек (из них 3 дети) (размещены по родственникам).</t>
  </si>
  <si>
    <t xml:space="preserve">27.02.01г.  в 21 час.08 мин. в Амгинском районе, с.Чыпчылган, произошел взрыв котла на квартальной котельной. В результате взрыва произошел пожар. Котельная отапливала  10 жилых домов, гранильную фабрику, здания школы, гараж, мед. пункт, АТС и библиотеку. Пострадавшие размещены по родственникам и знакомым. </t>
  </si>
  <si>
    <t xml:space="preserve">06.03.01г. В Алданском районе, г.Алдан, по улице Доставалова, произошел пожар в частном доме. В результате пожара погибло 2 человека. 
</t>
  </si>
  <si>
    <t xml:space="preserve">3.1.4.                                              Отравления людей. </t>
  </si>
  <si>
    <t>17.03.01г. в г.Якутске, по улице Ногина, 6, произошло отравление жидкостью "стеклоочистителем"( содержит метанол) в частном доме. В результате отравления погибли гр.Филиппов А.В. и гр.Власов А. Доставлены в тяжелом состоянии 2 человека в больницу.</t>
  </si>
  <si>
    <t>Отравления</t>
  </si>
  <si>
    <t>17.04.01г. в 02час.02мин. в п.Марха, произошел пожар в общежитии Мархинского завода строительных материалов и конструкций. В результате пожара огнем уничтожено общежитие по всей площади.В результате пожара погибло 2 человека и  3 человека доставлены в больницу с ожогами различной степени тяжести.</t>
  </si>
  <si>
    <t xml:space="preserve">18.04.01г. В 03 час.43 мин в Намском районе, с.Намцы, произошел пожар в частном доме. На месте пожара обнаружено 2 трупа: гр.Звонкова В. В.- БОМЖ. Личность второго погибшего устанавливается.Причина, ущерб, виновник пожара устанавливаются.
</t>
  </si>
  <si>
    <t xml:space="preserve">16.04.01г. в Усть - Майском орайоне, п.Эльдикан, произошло авария на системе теплоснабжения. В результате аварии произошло разморожение 17 объектов : из них 14 жил. домов, 2 административных зданий и 1 промышленный объект. </t>
  </si>
  <si>
    <t xml:space="preserve">03.07.01г. в Аллайховском районе, п.Чокурдах, произошёл пожар в жилом доме. В результате пожара огнем уничтожен дом по всей площади. В результате пожара погибло 2 человека и пострадало 98 человек  Пострадавшие расселены по знакомым и родственниками. Причина пожара неосторожное обращение с огнем. (Детская шалость). Материальный ущерб составляет 4.345.071 руб. </t>
  </si>
  <si>
    <t xml:space="preserve">2.2.1.                                              Оползни, обвалы, осыпи </t>
  </si>
  <si>
    <t xml:space="preserve">18.08.01г. 23 час.00 мин. в Мирнинском районе, г.Мирный, в пионерском лагере «Орлёнок» пропали 3 девочки. В результате поисков были найдены в заваленной землей пещере в 100 м. от пионерского лагеря на беРегиональныйу реки Малая Ботуобуя. В результате принятых мер медиков по восстановлении жизнедеятельности детей положительного результата не дали. (Ахчыгнырова Женя – 1989 г.р., Иванова Анна – 1987 г.р., Малова Даша – 1992 г.р.)
</t>
  </si>
  <si>
    <t>Разрушения дорожного полотна,  моста</t>
  </si>
  <si>
    <t>1.1.3. - 1.1.4.                                              Кораблекрушения, аварии, повреждения грузовых, пассажирских судов, судов атомного флота, маломерных судов и судов флота рыбной промышленности, повреждения судами беРегиональныйовых, гидротехнических и других объектов.</t>
  </si>
  <si>
    <t xml:space="preserve">20.10.01. в Мирнинском районе, с.Сюлдюкюр, на реке Вилюй, в результате  опрокидывания лодки утонули 2 человека: гр.Мингазов А.Г-1977г.р. и гр Дудников Ф.Н. - 1974 г.р. </t>
  </si>
  <si>
    <t>1.1.5. - 1.1.6.                                              Авиационные и ракетно - космические катастрофы и аварии в аэропортах, на стартовых площадках и в населеных пунктах и вне аэропортов, стартовых площадок и населенных пунктов.</t>
  </si>
  <si>
    <t xml:space="preserve">9.11.01г. в 09 час.42 мин. в  Нерюнгринском районе, п.Чульман из аэропорта п.Чульман вылетел вертолет Ми-8 №27021 авиакомпании «Дельта-К», на боту находилось 11 человек включая экипаж и 1320 кг. груза. В назначенное время Ми-8 №27021 не вышел на связь. На поиск вертолета вылетел Ми-8 №22750. 11.11.01г. оперативной группой МЧС РС(Я) было найдено место крушение Ми-8  азимут-110 гр. Дальность-104 км. В результате осмотра место катастрофы обнаружено 11 трупов. </t>
  </si>
  <si>
    <t>Авиационные инциденты</t>
  </si>
  <si>
    <t xml:space="preserve">15.11.01г. в 20 час. 15 мин. в Верхоянском районе, п.Верхоянск, по ул. Бабушкина, 37,  произошел пожар в жилом доме. В результате пожара дом уничтожен по всей площади. На месте пожара обнаружено три трупа (двое мужчин, одна женщина). </t>
  </si>
  <si>
    <t>1.1.8.                                              Транспортные катастрофы и аварии на мостах, переправах, в тоннелях, горных вырабатках, на железнодорожных переездах.</t>
  </si>
  <si>
    <t>24.11.01г. в Верхневилюйском районе, п.Верхневилюйск, при переправе через реку Вилюй провалились под лед и затонули две а\машины (УАЗ и ЗИЛ). В результате происшествия погибли 4 человека: гр. Иванов Д. М.- 1948 г. р., гр.Тихонов Н. В. - 1954 г. р., гр.Степанов Н. С. 1977 г. р.  и гр.Сергеев Е. Е. 1972 г. р.</t>
  </si>
  <si>
    <t xml:space="preserve">17.01.02г. в 00 час.25 мин.в Ленском районе, п.Пеледуй, произошел пожар в котельной. Котельная принадлежит Пеледуйскому ССРЗ. В результате пожара уничтожено 10 тонн нефти, повреждена крыша насосной станции, вышло из строя 2 сетевых насоса. Получил ожоги различной степени тяжести грЯремский -ст.мастер смены доставлен в больницу. Без тепла остались 140 семей, промзона, дет.сад, профилакторий, музыкальная школа, старое здание школы.  </t>
  </si>
  <si>
    <t>12.02.02 г. в 13ч.00 мин. в Нижнеколымском районе, п.Черский, прекращена подача электроэнергии от АО «Чукотэнерго», обесточены котельные. В 14ч.10 мин. подача электроэнергии подана на все объекты. После запуска котельных, котельную № 4 (сырая нефть) в рабочий режим ввести не удалось. Без тепла остались 30жилых домов, здания Сахателеком, больницы, школы, детсада ЖКХ .</t>
  </si>
  <si>
    <t xml:space="preserve">22.09.02г.  21 час.30 мин. в Таттинском районе, с.Баяга, произошел пожар в квартальной котельной. В результате пожара огнем котельная  уничтожено по всей площади.Без тепла остались контора местной администрации, дом культуры, почта, АТС, музшкола, ср.школа (240 учеников), мастерская школы, школьный музей (2 здания), гараж, начальная школа (84 ученика), спортзал, рынок. </t>
  </si>
  <si>
    <t>28.11.02 в 15 час. 15 мин. в Алданском районе, п.Солнечный, из-за погодных условий произошло отключение электроэнергии подстанции № 5. Без электроэнергии остались котельные. В результате аварии без тепла остались 89 жилых дома, (2 300 чел.), детский сад, школа. 28.11.02.в 15ч. 45 мин. неисправность устранена, подана электроэнергия на все объекты</t>
  </si>
  <si>
    <t>30.11.02г. в 18 час. 00 мин. в Вилюйском районе, п.Кысыл - Сыр, из-за неисправности остановлен паровой котел в котельной. В результате аварии 2 водовода и 2 спутника длинной 300 м. были разморожены. Без тепла остались 937 квартир, где проживают 1200 человек.</t>
  </si>
  <si>
    <t xml:space="preserve">03.12.02г. в 18 час.24 мин. в Мирнинском районе, с.Таас - Юрях,  произведена аварийная остановка котельной. В результате аварии без тепла остались школа,амбулатория, хлебопекарня, детсад,почта, здание администрации, магазина, клуб, около 80 жилых индивидуальных домов. В селе проживает 615 жителей. </t>
  </si>
  <si>
    <t>06.12.02г. в Ленском районе, г.Ленск,  из-за короткого замыкания силового кабеля в головной подстанции микрорайона «Мухтуя» были остановлены 4 котельные. В результате остановки котельных без тепла остались 11 жилых домов. 10.02.02г.  с02 ч30 мин в котельной "Доярушка"прекращена подача воды по причине перемерзания водовода. Без тепла осталось 13 жилых домов ( 238 жильцов).</t>
  </si>
  <si>
    <t xml:space="preserve">19.12.02 г. в 14час. 30 мин. в г.Якутске на ЯГРЭС произошло аварийное отключение ГТУ №3 по причине «низкий уровень в демпферном баке ТГ-3». По автоматической разгрузке отключилась  ВЛ –110 кВ Л -   № 101. В резульате аварии остались без энергоснабжения: г. Якутск и его пригороды, улусы: Амгинский, Чурапчинский, Горный, Хангаласский, Намский,  Мегино-Кангаласский,  Усть-Алданский, Таттинский, Томпонский. В работе осталась только Якутская ТЭЦ. В 16ч. 40мин подано напряжение на  объекты ГУП  «Водоканал».С 16час. 55мин. проводилось постепенное подключение  потребителей электроэнергии в г. Якутске.С 17ч. 20мин.подана электроэнергия в улусы: Горный, Хангаласский, Намский. В 18ч. 05мин подана электроэнергия до центров улусов: Амгинского, Чурапчинского, Мегино-Кангаласского,  Усть-Алданского, Таттинского, Томпонского. </t>
  </si>
  <si>
    <t xml:space="preserve">01.01.03г. Таттинский район, с.Туора - Кель, произошел пожар в котельной. В результате пожара котельная уничтожена полностью. Котельная отапливала жилых домов, среднюю и начальную школу, сельский дом культуры. Нарушена жизнедеятельность 13 чел., в т.ч. 4 детей. Пострадавшее население размещено по родственникам и знакомым. </t>
  </si>
  <si>
    <t>01.01.03г. Кобяйский район, с.Кобяй , в результате утечки бытового газа погибла семья из 6 человек: гр.Сметанин В.Н. -1964 г.р., гр.Сметанина М.Д.- 1964 г.р., гр.Сметанин Н.В. -1982г.р., гр.Сметанина Е.В.- 1993 г.р., гр.Сметанин А.В. -2001 г.р. и гр.Эверстов А.И.- 1989 г.р.</t>
  </si>
  <si>
    <t>6/2</t>
  </si>
  <si>
    <t xml:space="preserve">3.1.4.                                              Отравление людей </t>
  </si>
  <si>
    <t xml:space="preserve">02.01.03г. в Среднеколымском районе, с.Сватай, произошло отравление антифризом. В результате отравления  в ЦУБ  г.Среднеколымска были направлены самолетом 7 несовершенолетних жителей, из них двое скончались в пути. По данным емкость с антифризом была найдена одним из подростков в гараже коллективного хозяйства “Сватайский”. В результате отравления погибли 2 человека: гр. Тырылгин А.С.-17 лет и гр.Антипин В.В.-14 лет.  Пострадали 5 человек: гр.Колесов Д.Н.-17 лет, гр.Слепцов А.В.- 15 лет, гр.Павлов В.В.-15 лет, гр.Колесов С.Е.-14 лет, и гр.Оконешникова М.О.-17 лет.
</t>
  </si>
  <si>
    <t>09.01.03г. в 05 час.05 мин. в  Мегино - Кангаласском районе, с.Техтюр, произошел пожар в средней школе. В результате пожара школа уничтожена огнем по всей площади. Пострадавших нет. Ущерб 250 000 рублей. Причина, виновник устанавливается, возбуждено уголовное дело</t>
  </si>
  <si>
    <t>14.01.03г. в 09ч.10мин. в Алданском районе, п.Безымянный, по ул.Дорожная,7, произошел пожар частном доме. В результате пожара  огнем уничтожен дом по всей площади. На месте пожара погибли гр.Чуб А. М. -  1936 г.р. и гр.Чуб Г.А. - 1964 г.р. Причина пожара – НППБ при эксплуатации электронагрева-тельных приборов. Виновник, ущерб устанавливаются.</t>
  </si>
  <si>
    <t>16.01.03г. в 07 час.14 мин. в Ленском районе, г.Ленск, по ул. Пролетарская, 55, произошел пожар в частном доме. В результате пожара уничтожена по всей площади стена и  крыша дома. На месте пожара погибли 2 человека: гр.Комаров С.А.-1957 г.р. и гр.Ермакова Л.А. -1962 г.р. Трое пострадавших в состоянии средней тяжести доставлены в ЦРБ. На месте пожара работает СОГ.</t>
  </si>
  <si>
    <t>1.1.7.                                         Аварии (катастрофы) на автодорогах (крупные дорожно - транспортные аварии и катастрофы)</t>
  </si>
  <si>
    <t>18.01.03г. в 11час.30мин. в г.Якутске на 7 км Покровского тракта произошло столкновение автомобилей “Тойота-Спринтер” и “УАЗ-39629”. В результате ДТП в автомобиле “Тойота-Спринтер”погибли 3 человека, пострадали 3 человека (доставлены в Республиканскую больницу). Причина, виновник, ущерб устанавливаются.</t>
  </si>
  <si>
    <t xml:space="preserve"> 23.01.03г. в 00час.06мин. в Алданском райое, г.Алдан, по улице Горького,70, произошел пожар в здании Районного военкомата. Здание приспособлено под жилые помещения (квартиры) и административные помещения Райвоенкомата. В результате пожара огнем уничтожено здание по всей площади. Погибших и пострадавших нет.Причина пожара - НППБ при эксплуатации бытового электроприбора, виновное лицо- квартиросъемщик. Материальный ущерб устанавливается.  </t>
  </si>
  <si>
    <t xml:space="preserve">29.01.03г. в 13 час.20 мин. в Усть - Янском районе, с.Казачье из-за повреждении теплотрассы автомашиной УРАЛ слита вода с 250м теплотрассы, 2 жилых домов, гаража, магазина, склада. В жилом доме (проживает 26 человек, из них 8 дети) имеет печное отопление, из 8-квартирного жилого дома 16 жильцов расселено по родственникам и знакомым. </t>
  </si>
  <si>
    <t xml:space="preserve">02.02.03г. в 02ч.54мин. в Мегино - Кангаласском районе, с.Ломтука, по  ул. Совхозная, 7, произошел пожар в жилом доме. Пострадали 3 человека: гр.Егоров А. -2001г.р., гр.Егоров А.Р.– 1935г.р. и гр.Дьячковская Е.А. – 1981г.р. Погибли 3 человека: гр.Адамова А. А. -1979г., гр.Андреева В. Н. – 1979г.р. и гр.Вешникова К. М. – 1988г.р. Причина пожара неосторожное обращение с огнем. </t>
  </si>
  <si>
    <t xml:space="preserve">1.2.4.                                              Пожары на транспортных средствах ( в т.ч. железнодорожный, водный, втомобильный, воздушный транспорт) </t>
  </si>
  <si>
    <t xml:space="preserve">26.02.03г. в 10 час.00 мин. в В.Вилюйском районе,п.Балагат, в 20 км. от районного центра произошел  пожар в кунге автомашины «ЗИЛ» приспособленного под жилье. В результате пожара кунг огнем уничтожен по всей площади. На месте пожара обнаружено три трупа: гр.Касьянова А.В. - 1945 г.р., гр.Казакова М.В. - 1963 г.р. и гр.Михайлова М.Е.- 1960 г.р. Причина пожара неосторожное обращение с огнем в нетрезвом состоянии.                                                                                 </t>
  </si>
  <si>
    <t>13.03.03г. в 04 час.01 мин. в г.Якутске, по улице Дзержинского,14, произошел пожар в здании ГУВД. В результате пожара здание уничтожена по всей площади. На месте пожара погибло 2 человека. Причина пожара ……….</t>
  </si>
  <si>
    <t xml:space="preserve">28.03.03г. в г.Якутске, на Маганском тракте в результате ДТП  произошло столкновение автобуса «Паз» с микроавтобусом. В результате пожара пострадало 5 человек из них 2 человека погибло. </t>
  </si>
  <si>
    <t>07.04.03г. в 9 час. 10 мин. в Вилюйском районе, с.Сыдыбыл, произошел пожар в средней школе.   В результате пожара здание школы уничтожено по всей площади. Пострадало 61 человек, в т.ч. погибли 22 человека, получили травмы различной степени тяжести 14 человек.Причина пожара неосторожное обращение с огнем.Виновник, ущерб устанавливаются.</t>
  </si>
  <si>
    <t>1.2.10.                                              Обнаружение (утрата) взрывчатых веществ (боеприпасов)</t>
  </si>
  <si>
    <t>15.04.03г. в 10 час. 30 мин. в г. Якутске по улице П.Алексеева, 76,  поступило сообщение из ОАО “Якутгазпром” о найденном боевом снаряде (76мм, зенитный, 1942г.). Группой разминирования снаряд был вывезен в карьер горного песка и ликвидирован путем подрыва.</t>
  </si>
  <si>
    <t>Взрывы бытового газа, прорывы на газо-магистральной линии</t>
  </si>
  <si>
    <t>2.5.1                                              Высокие уровни воды (половодье, зажор, затор, дождевой паводок), сель</t>
  </si>
  <si>
    <t>23.05.03г. В Хангаласском районе, п.Кытыл - Джура, из - за резкого повышения уроавня воды  в зоне затопления оказались 57 жилых домов, 3 промышленных объекта, 246 КРС. Причина - весенний паводок.</t>
  </si>
  <si>
    <t>Весеннее половодье</t>
  </si>
  <si>
    <t>26.05.05г. в г.Якутске п.Даркылах,  в связи с высоким уровнем воды произошло подтопление поселка. Поселок в это время года не населен.</t>
  </si>
  <si>
    <t>16.06.03г. в 17 час. 32 мин. в г.Якутске, на 10 км.Сергеляхской шоссе произошел пожар на дачных участках. В результате пожара уничтожео 50 строений,  лес на общей площади  8 га. Причина пожара, виновник, ущерб устанавливаются.</t>
  </si>
  <si>
    <t>1.6.                                              Внезапное обрушение зданий, сооружений, пород</t>
  </si>
  <si>
    <t>20.06.03г. в 15 час. 00 мин. в Верхнеколымском районе, п.Зырянка, произошло обрушение жилого  дома. В результате обрушения повреждены четыре квартиры. Обрушение произошло из – за просадки фундамента. Жильцы размещены у родственников и знакомых. Пострадало  26 человек ( из них 8 детей).</t>
  </si>
  <si>
    <t>06.07.03г. в 05 час. 28 мин. в Нюрбинском районе, г. Нюрба, по ул. Жиркова, 6, произошел пожар в частном доме. В результате пожара огнем уничтожен дом по всей площади. На месте пожара обнаружены 3 трупа: гр.Степанов А.С.- 1957 г.р. -БОМР, гр.Николаева М. Н.- 1964 г.р.- БОМР и гр.Сухаринова Маша- 1998 г.р. Получил отравление угарным газом Климов Дьулустан - 2002 г.р., скончался при следовании в больницу. Причина пожара неосторожное обращение с огнем в нетрезвом состоянии. Виновник, ущерб устанавливаются.</t>
  </si>
  <si>
    <t>1.1.1. - 1.1.2.                                              Крушение и аварии грузовых и пассажирских поездов и поездов метрополитена</t>
  </si>
  <si>
    <t xml:space="preserve">16.10.03 г. 01 час.32 мин. в Алданском районе, на 70 км. от г.Алдана произошло столкновение снегочиста (СДПМ) и грузового поезда (порожняк). В результате аварии 3 человека получили травмы различной степени тяжести, пострадавшие доставлены в Алданскую городскую больницу. Грузовой поезд следовал от ж.д. станции Нерюнгри. </t>
  </si>
  <si>
    <t xml:space="preserve">31.12.03г. в 17час.30 мин. в Усть - Янском районе, п..Сайылык,  произошла авария на квартальной котельной из-за прорыва труб магистральной теплотрассы и утечки теплоносителя.В результате аварии вода слита с теплотрассы (3417м). Котельная отапливала  50 жилых домов (46 жилых домов имеют печное отопление), из них 4 частные дома.(Нарушено условие жизнедеятельности 24 чел.). Пострадавшие размещены по родственникам и знакомым.
</t>
  </si>
  <si>
    <t>02.01.04г. в г.Якутске произошел пожар в котельной ГУП «Теплоэнергия». В результате пожара огнем повреждено здание котельной на площади 250 кв.м. Без тепла остались 16 жилых домов. При пожаре в котельной погибла гр.Житаро В. А - 1944 г.р. – оператор. Нарушена жизнедеятельность 227 чел. Причина пожара, виновник не установлено</t>
  </si>
  <si>
    <t xml:space="preserve">20.01.04г. в Кобяйском районе, п.Промышленный из-за повреждения магистрального  газопровода остановлена котельная. Без тепла осталось 5 жилых домов (проживает 85 человек), 12 объектов соцкультбыта. Нарушена жизнедеятельность 298 чел., в т.ч. 50 детей. Эвакуировано на МИ-8  в п. Сангар 11 человек чел., в т.ч. 6 детей, размещены в детсаду “Геолог”.  </t>
  </si>
  <si>
    <r>
      <t>10.06. в Ленском районе, п.Витим, в результате обильного выпадения осадков в Иркутской оласти в районе р.Витим, произошел резкий рост уровня воды р.Лена в районе п.Витим. Подтоплен 51 жилой дом, отселены 4 семьи (8чел.), перемыто 2,2 км. поселковых дорог, 15 км. заградительной дамбы, авиаплощадка.</t>
    </r>
    <r>
      <rPr>
        <sz val="10"/>
        <color indexed="10"/>
        <rFont val="Calibri"/>
        <family val="2"/>
        <charset val="204"/>
      </rPr>
      <t xml:space="preserve"> </t>
    </r>
  </si>
  <si>
    <t>Летне-осенний паводок</t>
  </si>
  <si>
    <t>1.1.8                                              Транспортные катастрофы и аварии на мостах, переправах, в тоннелях, горных выроботках, на железнодорожных переездах.</t>
  </si>
  <si>
    <r>
      <t xml:space="preserve">14.06.04г. в Алданском районе, п.Лебединый, в котловане утонула автомашина с пассажирами. В результате происшествия погибло 3 человека: гр. Меньшикова Н.Д. – 1958 г.р., </t>
    </r>
    <r>
      <rPr>
        <sz val="10"/>
        <color indexed="10"/>
        <rFont val="Calibri"/>
        <family val="2"/>
        <charset val="204"/>
      </rPr>
      <t>гр.Цыганков И. О. – 1997 г.р.</t>
    </r>
    <r>
      <rPr>
        <sz val="10"/>
        <color indexed="8"/>
        <rFont val="Calibri"/>
        <family val="2"/>
        <charset val="204"/>
      </rPr>
      <t xml:space="preserve"> и гр. Катаманова Т. В. – 1962 г.р.</t>
    </r>
  </si>
  <si>
    <t>3/1</t>
  </si>
  <si>
    <t>23.06.04г. в Верхоянском районе, п.Суордах (р.Дулгалах), п.Барылас (р.Сартанг) из-за обильных осадков и таяния снега в горах произошло подтопление населённых пунктов. Из нас.п.эвакуировано с  п.Барылас 12 чел., п.Суордах- 50 чел. в п Батагай.</t>
  </si>
  <si>
    <t xml:space="preserve">23.06.04г.  в Верхоянском районе, п.Дулгалах (р.Дулгалах) из-за обильных осадков и таяния снегов в горах произошло подтопление населённого пункта. Подтоплено 55 жилых домов (209 чел.). </t>
  </si>
  <si>
    <t xml:space="preserve">25.06.04г. в Верхоянском районе, с.Боронук(р.Яна) из-за обильных осадков и таяния снегов в горах произошло подтопление населённого пункта. Подтоплено 35 жилых дома. (проживает 300чел., в т.ч 120 детей). Пострадавшие эвакуированы из села на звероферму. </t>
  </si>
  <si>
    <t xml:space="preserve">26.06.04г.  в Верхоянском районе из-за обильных осадков и таяния снегов в горах, резкого повышения уровня воды р. Яна произошло подтопление г.Верхоянска. Подтоплено 82 жилых дома, в которых проживает 350 чел.  </t>
  </si>
  <si>
    <t xml:space="preserve">01.08.04г. в Кобяйском районе, п.Сангары, при швартовке к пристани в п. Сангары получил пробоину машинного отделения теплоход «Чусовской», выполняющий рейс Нюрба – Якутск. На борту находилось 35 чел. и 6 членов экипажа. Подтоплено машинное отделение, жертв и пострадавших нет. Пассажиры от эвакуации отказались и находятся на борту, им розданы тёплые вещи.  Топлива на борту 1т. 200кг, розлива топлива нет. </t>
  </si>
  <si>
    <t>04.08.04г. в 14час.44мин. в г.Якутске произошел пожар в здании ГРС (газораспределительной станции) ОАО “Якутгазпрома”. В результате пожара ГРЭС и ТЭЦ г.Якутска переведены на жидкое топливо, трубопроводы от ГРС на ГРЭС и газоперерабатывающий завод перекрыты, ведутся работы по перекрытию основного трубопровода и снижению давления газа на ГРС. Информация о пострадавших не поступала. В результате аварии  погиб 1 человек.</t>
  </si>
  <si>
    <t>01.09.04г. в 21 час.00 мин  в Усть - Янском районе, п.Северный, на 247 км реки Яна в районе нежилого поселка Северный маломерное судно «Гэсстрой» (проект Р-736) приписки Усть – Янской ДЭС Якутскэнерго в составе экипажа.капитан судна Старчевой В. А. рулевой – моторист Мухетдинов А. П. совершил столкновение с затонувшим судном. В результате столкновения получил пробоину и затонул. В результате столкновения погибли 3 человека:  гр.Старчевой В. А.-капитан, грХлыстов С. В. и гр.Ларионов Б. - рабочие Якутской фирмы «ремонтдизель». 02.09.04г. выплыл на беРегиональный гр.Мухетдинов А. П. -рулевой моторист. Погибшие были извлечены из каюты и доставлены в морг г. Усть – Куйги. По данному факту возбуждено уголовное дело № 403035 по ст. 263 ч. 3 УК РФ.</t>
  </si>
  <si>
    <t>16.09.04г.в 21 час 15 мин. в Анабарском районе,п.Юрюн - Хая, во время перекачки топлива произошел взрыв с последующим горением в машинном отделении танкера № 2061 (принадлежность ОАО ЛОРП), порт приписки Пеледуйская ССРЗ (судостроительный ремонтный завод). На танкере осталось 800 т АИ-80 и 1400 т дизельного топлива. На борту находились 12 членов экипажа и представитель нефтебазы. С борта танкера эвакуировано 6 человек экипажа, из них 3 человека в тяжелом состоянии, местонахождение 7 человек не выяснено. Эвакуированы в п. Саскылах 54 ребенка и 6 пострадавших членов экипажа. Население п. Юрюнг-Хая эвакуировано в безопасные места, создана ОГ под руководством главы администрации Поповым П. С.</t>
  </si>
  <si>
    <t>17.09.04г.в 13ч.20 мин. на паромной переправе реки Лена в районе п. Кангалассы ( 45 км от г. Якутска) ушёл под воду УАЗ- санитарка гос. № 285. В 14ч.20 мин машина была вытащена на беРегиональный от куда были вытащены 2 детей ( 3-4 лет), 1 мужчина (40-42 лет). 1 женщина (35-40 лет), ведутся поиски ещё одного ребёнка. Причина уточняется. Погибли Потапова Света- 5 лет и Егорова Е. И.Фамилия остальных погибших уточняется.Все проживали в Усть-Алданском районе п.Дюпся.</t>
  </si>
  <si>
    <t>5/3</t>
  </si>
  <si>
    <t xml:space="preserve">15.11.04г. в г.Якутске, п.Пригородный, произошел  пожар в частном доме. В результате пожара огнем уничтожен дом по всей площади. С места пожара была доставлена в ожоговый центр Карамзина С.Е. -  1972 г. р., получила термические ожоги 3-й «А», «Б», 4 степени всего тела, состояние крайне тяжелое. Причина, виновник, ущерб устанавливаются. На месте пожара обнаружены 3 трупа: гр Карамзиной В.В.- 2000 г. р., грСвинобоева В. Л., гр.Карамзиной К. В. - 1996 г. р. </t>
  </si>
  <si>
    <t xml:space="preserve">23.11.04г. в Олекминском районе, г.Олекминск, произошел пожар в  частном доме.В результате пожара огнём повреждён пол на пл. 2 кв.м. На месте пожара обнаружены 2  взрослых трупа, личность которых устанавливается. </t>
  </si>
  <si>
    <t>02.12.04г. в г.Якутске, п. Геологов, произошел пожар в частном доме. В результате пожара огнем уничтожен дом по всей площади. На месте пожара обнаружены 2  трупа, личность устанавливается. Эвакуировано 2 человека в ожоговый центр г. Якутска</t>
  </si>
  <si>
    <t xml:space="preserve">08.12.04г. в Ленском районе, п.Большой Пеледуй, произошел пожар в жилом доме  В результате пожара огнем уничтожен дом по всей площади. В результате пожара погибли 2 человека: гр.Шеин И.Ф. – пенсионер и гр.Шеин А.А. -  1964г. р.- БОМР. </t>
  </si>
  <si>
    <t xml:space="preserve">09.12.04г. в Сунтарском районе, с.Сунтар, произошел пожар в частном доме. В результате пожара огнем повреждено15 кв. м. На месте пожара обнаружено два трупа (девочки-1,5 года, мальчика-7 лет). Причина, виновник, ущерб пожара устанавливается. </t>
  </si>
  <si>
    <t>2/2</t>
  </si>
  <si>
    <t>1.8.                                              Аварии на коммунальных системах жизнеобеспечения.</t>
  </si>
  <si>
    <t xml:space="preserve">10.12.04г. в 16час.00мин. в Оленекском районе, с.Оленек,  из-за нарушения технологического процесса на оборудовании остановлена котельная «Стройучастка». Котельная отапливала: 15 ж/домов, где проживает 50 семей (181 человек из них 80 детей). 5 частных домов имеют печное отопление. Вода из системы отоплении полностью слита. 11.12.04г. в 01 час.50 мин. котельная запущена. </t>
  </si>
  <si>
    <t xml:space="preserve">20.12.04г. в Булунском районе, п.Тикси,  из-за выхода строя основного подпитывающего насоса котельной ГУП ЖКХ была приостановлена работа котельной.В результате аварии не было обеспечено нормальное давление воды на выходе из  котельной. В результате аварии разморожено 90 квартир. В квартирах проживает 201 человек (61 дети). </t>
  </si>
  <si>
    <t xml:space="preserve">26.12.04г. 19ч.41 мин. в г.Якутске, по ул. Челюскина, 34, произошел пожар в частном доме. В результате пожара дом уничтожен по всей площади. На месте пожара обнаружены 2 погибших, личность которых устанавливается.  </t>
  </si>
  <si>
    <t>31.12.04г. в 04час.40мин. в Сунтарском районе, с.Толоон, по ул.Новая, 39, произошел пожар в частном доме. В результате пожара дом огнем уничтожен по всей площади. На месте пожара погибли 2 человека: гр.Баишев Е.Я. - 1954г.р. и гр. Баишева В.С. -  1957г.р. Виновник, ущерб, причина пожара устанавливаются</t>
  </si>
  <si>
    <t xml:space="preserve">01.01.05г. Сунтарский район, с.Сунтар, пожар в административном здании приспособленной под жилье. В результате пожара огнем  уничтожено здание полностью. На месте пожара погибло 7 чел., в т.ч. 4 реб. Пострадало 3 чел. Спасено 12 человек. Причина пожара нарушение при ЭЭ, виновник - хозяин.     </t>
  </si>
  <si>
    <t>7/4</t>
  </si>
  <si>
    <t>04.01.05г. в г.Якутске  произошел пожар в общежитии. В результате пожара  огнем повреждено общежитие на площади 200 кв.м.На месте пожара погибло 2 чел., пострадал 1 чел. Спасено 2 чел.Причина пожара неосторожность при курении в нетрезвом состоянии. Виновник не установлен. Ущерба нет.</t>
  </si>
  <si>
    <t>08.01.05г. в г.Ленске произошел пожар в частном доме. В результате пожара  огнем поврежден дом на площади 80 кв.м..На месте пожара погибло 2 чел. и 1 чел. получил травму. Причина пожапра НППБ при ЭЭ. Виновник хозяин, ущерба нет.</t>
  </si>
  <si>
    <t xml:space="preserve">1.2.6.                                              Пожары на объектах другого назначения </t>
  </si>
  <si>
    <t>09.01.05г. в г.Якутске, п.Жатай,   произошел пожар в сторожке кладбища. В результате пожара  огнем поврежден кровать на площади 2 кв.м. На месте пожара погибло 2 человека. Причина пожара неосторожножное обращение с огнем.Виновник охранник, ущерба нет.</t>
  </si>
  <si>
    <t>28.01.05г. в г.Якутске,  произошел пожар в жилом доме. В результате пожара  огнем поврежден дом на площади 80 кв.м. На месте пожара погиб 1 чел. и 5 чел. получили травму. Причина пожара неосторожное обращение с огнем. Виновник не установлен. Ущерба нет.</t>
  </si>
  <si>
    <t>05.02.05г. в Чурапчинском районе, с.Чурапча, произошел пожар в частном доме. В результате пожара  огнем поврежден дом на площади 0,5 кв.м. В результате пожара погибло 2 реб.Причина пожара - неосторожное обращение с огнем (детская шалостьс огнем). Виновник ребенок.</t>
  </si>
  <si>
    <r>
      <t xml:space="preserve">20.02.05г. в Сунтарском районе, с.Шея, произошел пожар в частном доме. В результате пожара  огнем уничтожен дом по  всей площади. На месте пожара обнаружены 3 трупа, в т.ч. 1 реб. Причина пожара - НППБ при эксплуатации отопительной печи. Виновник - рабочий. Ущерб - </t>
    </r>
    <r>
      <rPr>
        <sz val="10"/>
        <color indexed="10"/>
        <rFont val="Calibri"/>
        <family val="2"/>
        <charset val="204"/>
      </rPr>
      <t>162797 руб.</t>
    </r>
  </si>
  <si>
    <t>10.03.05г.  в г.Якутске, по пр.Ленина, 5, произошел пожар в Якутском педогогическом колледже. На месте пожара  пострадало 4 человека. Причина пожара нарушение монтажа электорооборудования. Виновник не установлен. Ущерб 843000руб.</t>
  </si>
  <si>
    <t>23.03.05г. в Усть - Майском районе, п.Усть - Миль,произошел пожар в жилом доме. В результате пожара  огнем уничтожен дом по всей площади. На месте пожара обнаружено 2 трупа гр.Вербаноль В.П. - 1938 г.р. - пенсионер, гр.Вербаноль Л.И. - 1946 г.р. - пенсионерка. Причина пожара неосторожное обращение с огнем. Виновник не установлен. Ущерба нет.</t>
  </si>
  <si>
    <t>28.03.05г. в  Амгинском районе, с.Покровка, произошел пожар в частном доме. В результате пожара  огнем поврежден дом на площади 2 кв.м. На месте пожара обнаружено 2 трупа гр.Тирский А.А.. - 1956 г.р. - БОМР, гр.Аносова В.В. - 1940 г.р. - БОМР. Причина пожара неосторожное обращение с огнем при курении, виновник - пенсионер, ущерба нет.</t>
  </si>
  <si>
    <t>1.1.7.                                              Аварии (катастрофы) на автодорогах (крупные дорожно транспортные аварии и катастрофы)</t>
  </si>
  <si>
    <t>12.04.05г. на расстоянии 40км от г. Нюрба произошло ДТП Камаз и УАЗ «санитарка». В результате аварии погибло 3 человека и 2 человека скончались в больнице в течении 12ч.  Личности погибших и пострадавших устанавливаются.</t>
  </si>
  <si>
    <t>28.04.05г. в Верхневилюйском районе, на местности Харыйалах,  произошел пожар в балке лесорубов. В результате пожара  огнем уничтожен балок по всей площади. На месте пожара обнаружены 4 трупа гр.Осинова В.Н. - 1953 г.р., гр.Долгунова А.С. - 1959 г.р., гр.Алексеева П. и гр.Егорова К.В. - 1963 г.р. Причина пожара неосторожность при курении. Виновник  ущерб устанавливаются.</t>
  </si>
  <si>
    <t>3.1.2.                                              Опасные кишечные инфекции (болезни 1 и 11группы патогенности по СП 1.2.01. 1-94)</t>
  </si>
  <si>
    <t>29.04.05г. в Мирнинском районе, п.Удачный, поступили в ЦУБ с массовым отравлением ОКИ 48 человек. Отравление произошло в столовой  у работников ГОК г.Удачного из - за несоблюдения санитарной безоапасности.</t>
  </si>
  <si>
    <t>05.05.05г. в Таттинском районе, с.Ытык - Кель, произошел пожар в жилом доме. В результате пожара  огнем уничтожен дом по всей площади. На месте пожара обнаружены 3 детей гр.Сысолятиной А.- 1999 г.р., гр.Сысолятиной Дуни - 2000 г.р., гр.Сысолятина Власия - 2003 г.р. Причина пожара короткое замыкание электропроводки. Виновник  ущерб устанавливаются.</t>
  </si>
  <si>
    <t>3/3</t>
  </si>
  <si>
    <t>23.05.05г. в г.Якутске, произошел пожар в частном доме. В результате пожара  огнем повреждены строения на площади 70 кв.м. На месте пожара обнаружено 2 трупа: гр.Ли В.Б. - 1947 г.р. и гр.Шилова А.В. - 1962 г.р. Причина, виновник, ущерб устанавливаются.</t>
  </si>
  <si>
    <t>06.07.05г. в Кобяйском районе, п.Кобяйск,  произошел пожар в частной даче. В результате пожара  огнем дача уничтожена полностью. На месте пожара обнаружено 2 трупа: гр.Арбугина  А.А. - 1977 г.р. и гр.Винокурова В.А. - 1975 г.р. Причина, виновник, ущерб устанавливаются.</t>
  </si>
  <si>
    <t>01.08.05г. в Верхоянском районе, п.Батагай, в результате проливных дождей произошло частичное подтопление.  В результате разлива потоки воды прошли по улицам Ленина и Октябрьская, общая длина промоин  1200 м., повреждено 10 анкерных опор, разрушена дорога-дамба Батагай – аэропорт; нарушена теплоизоляция теплотрасс.  Для подачи электроснабжения запущено два дизель-генератора, эл. энергия подается без ограничений (по временной схеме).  Технологический процесс объектов жизнеобеспечения населения не нарушен.</t>
  </si>
  <si>
    <t xml:space="preserve">01.08.05г. в Нерюнгринском районе,  г.Нерюнгри, при разборке здания произошло обрушение кровли. В результате происшествия погибло 3 человека, пострадал 1 человек. Обрушение кровли произошло из - за нарушения ТБ. </t>
  </si>
  <si>
    <t>06.08.05г. в Мирнинском районе, г.Удачный, по улице Строителей, 4,  произошел пожар в жилом доме. На месте пожара обнаружено 2 трупа: гр.Кириллова Н.Г. - 1960 г.р. и гр.Кириллова В.Г. - 1964 г.р. Причина пожара НПУ и ЭЭ. Виновник установлен. Ущерб 29 300 руб.</t>
  </si>
  <si>
    <t>12.08.05г. в  Среднеколымском районе, п.Аргахтах, произошел пожар в  Аргахтахской средней школе. В результате пожара школа уничтожена по всей площади. Причина пожара, виновник устанавливаются. Ущерб 10 874 300 руб.</t>
  </si>
  <si>
    <t>25.08.05г. в Вилюйском районе, с.Хампа,  произошел пожар в частном доме. В результате пожара дом уничтожен по всей площади.На месте пожара обнаружены 3 трупа гр.Потапова И.П. - 1955 г.р.., гр.Потапова П.И. - 1986 г.р., гр.Потапова Н.И. - 1987 г.р. В ЦУБ доставлены 3 пострадавших. Причина пожара НПУ и ЭЭ. Виновник установлен. Ущерб 150 000 руб.</t>
  </si>
  <si>
    <t>30.08.05г. в г.Якутске,  произошел пожар в частном доме. В результате пожара дом уничтожен полностью.На месте пожара обнаружены 2 трупа: гр.Берниковой Л.Г. - 1948 г.р..,  личность 2-го трупа устанавливается. Получил ожоги грудной клетки гр.Жирков Н.И. Причина пожара неоторожное обращение согнем при курении в нетрезвом состоянии. Виновник установлен. Ущерб устанавливается.</t>
  </si>
  <si>
    <t>20.10.05г.  в г.Якутске,  произошел пожар в жилом доме.  На месте пожара обнаружено 3 трупа, личности и пол устанавливаются. Причина пожара, виновник, ущерб устанавливаются.</t>
  </si>
  <si>
    <t>28.10.05г.  в г.Якутске,  произошел пожар в частном доме.  На месте пожара обнаружены 3 трупа: 2 мужчины и 1 женщина. Причина пожара НППБ при эксплуатации печей. Виновник, ущерб устанавливаются.</t>
  </si>
  <si>
    <t>31.10.05г.  в г.Якутске, по пер.Березовый, б/н, произошел пожар в частной бане.  На месте пожара обнаружены 2 трупа: гр.Власова В.В. - 1974 г.р. и гр.Копылова И.В. - 1984 г.р. Причина пожара, виновник, ущерб устанавливаются.</t>
  </si>
  <si>
    <t>03.11.05г.  в Хангаласском районе, г.Покровск,  произошел пожар в жилом доме. На месте пожара обнаружены 3 трупа: гр.Аитова А.Р. - 1946 г.р., гр.Колокольцева Э.Н. . - 1960 г.р. и гр.Харькова А.Ю. - 1970 г.р. Причина пожара, виновник, ущерб устанавливаются.</t>
  </si>
  <si>
    <t>04.12.05г. в г.Якутске, п.Кирзавод, произошел пожар в жилом доме. В результате пожара дом уничтожен полностью. На месте пожара обнаружены 3 трупа (личности устанавливаются). Причина пожара короткое замыкание электропроводки, виновник, ущерб устанавливаются.</t>
  </si>
  <si>
    <t>09.12.05г.  в М.Кангаласском районе, с.Мая, произошел пожар в жилом доме. В результате пожара квартира уничтожена по всей площади. На месте пожара обнаружены трупы 2-х детей гр.Слепцовой И.И. - 2004г.р., Слепцовой И.И. - 2001 г.р. Причина пожара, виновник, ущерб устанавливаются.</t>
  </si>
  <si>
    <t>19.12.05г. Алданский район, с.Ыллыах, произошел пожар в жилом доме. В результате пожара повреждены 3 квартиры огнем полностью. На месте пожара обнаружено фрагменты 2-х тел, личность которых устанавливается</t>
  </si>
  <si>
    <t>24.12.05г. в 09ч.35 мин. по маршруту Батагай – Тумат – Батагай вылетел Ми-8  (24418 «Полярные авиалинии»), посадка в п.Тумат в 12ч.00 мин., вылет на Батагай  в 13ч. 30 мин. После вылета вышел на связь в 13ч. 57 мин. через воздушное судно Ил-62 86519 доложив диспетчеру, что следует на высоте 1500 м расчетное время прибытия в Батагай в 15ч. 20 мин. В расчетное время на связь не вышел, в пункт назначения не прибыл. На борту находился груз 3 тонны, 5 пассажиров и 3 члена экипажа. 28.12.05г. в 12 час.05 мин. пассажиры и экипаж Ми - 8 №24418 спасены и доставлены  в удовлетворительном состоянии  в аэропорт "Батагай".</t>
  </si>
  <si>
    <t xml:space="preserve">1.2.5.                                              Пожары в зданиях (сооружениях) жилого, административного, учебно - воспитательного, социального, культурно - досугового назначения, здравоохранения                                               </t>
  </si>
  <si>
    <t xml:space="preserve">01.01.2006г. с.Октемцы Хангаласском р-на, пожар в жилом доме. На месте пожара обнаружены тела трех человек, среди них тело ребенка. Дом огнем уничтожен  по всей площади. Личности погибших устанавливаются. Двое скончались в больнице 02.01. 03.01. Причина пожара - неосторожное обращение с огнем при курении в нетрезвом состоянии. Виновник - пенсионер.    </t>
  </si>
  <si>
    <t>5/1</t>
  </si>
  <si>
    <t>1.2.6 Пожары на объектах другого назначения</t>
  </si>
  <si>
    <t>01.01.2006г. г.Якутск, улЛенина,13, пожар на городском коллекторе. При тушении пожара получили отравление угарным газом 4 человека. Причина пожара поджог, виновник не установлен. Ущерб 100 000 руб.</t>
  </si>
  <si>
    <t xml:space="preserve">1.2.5.                                              Пожары в зданиях (сооружениях) жилого, административного, учебно-воспитательного, социального, культурно-досугового назначения, здравоохранения                                               </t>
  </si>
  <si>
    <t>25.01.06г. в Нерюнгринском районе, п.Серебряный Бор, произошел пожар жилом доме. На месте пожара погибло 2 человека.Причина пожара неосторожное обращение с огнем при курении, виновник БОМР.</t>
  </si>
  <si>
    <t>03.02.06г. Сунтарском районе, с.Устье, пожар в жилом доме.  На месте пожара обнаружены 3 трупа, и  пострадал  1 человек. Причина пожара - неосторожность при курении. Виновник - хозяин.</t>
  </si>
  <si>
    <t>04.02.06г. г.Якутск, ул.Дежнева, 87/7, пожар в частном доме. В результате пожара дом уничтожен по всей площади. На месте пожара обнаружены 2 трупа, личности устанавливаются. 1 человек доставлен в ожоговый центр с ожогами 3 ст., состояние тяжелое. Причина пожара - нарушение правил экспл. бытовых газов. установок (газ. баллона автомобиля в гараже). Виновник - хозяин.</t>
  </si>
  <si>
    <t>11.02.06г. п.Хани Нерюнгринского района, пожар в частной даче. В результате пожара строение уничтожено полностью. На месте пожара обнаружены 2 трупа. Причина - НППБ при ЭО, виновник не установлен. Ущерба нет.</t>
  </si>
  <si>
    <t>11.02.06г. п.Новый Мирнинского р-на, пожар в жилом доме. В результате пожара повреждена квартира №3 на площади 50 кв.м. На месте пожара обнаружены 2 трупа. Причина пожара - короткое замыкание электропроводки. Виновник - лицо БОМЖ, ущерба нет.</t>
  </si>
  <si>
    <t xml:space="preserve">1.1.7.                                              Аварии (катастрофы) на автодорогах (крупные дорожно - транспортные аварии и катастофы) </t>
  </si>
  <si>
    <t xml:space="preserve">13.02.06г. п.Нюрба Нюрбинского р-на, ДТП (автомашина ЗиЛ-130 и микроавтобус УАЗ). В результате ДТП пострадало 10 человек, доставлены в хирургическое отделение ЦРБ с травмами различной степени тяжести. Трое из пострадавших находятся в тяжелом состоянии. </t>
  </si>
  <si>
    <t xml:space="preserve">06.03.06г. п.Сайдыы Верхоянского р-на, пожар в жилом 8-ми кв. доме. 
На месте пожара обнаружены два трупа. Причина - неосторожное обращение с огнем при курении в нетрезвом состоянии, виновник - хозяин. Пожар не тушился.
</t>
  </si>
  <si>
    <t xml:space="preserve">15.03.06г. г.Ленск Ленского р-на, пожар в жилом временном помещении. В огне погибли двое детей, оставлены дома без присмотра родителей. Причина пожара - НППБ при ЭЭО, виновное лицо - хозяйка. </t>
  </si>
  <si>
    <t>3.1.2 Опасные кишечные инфекции (болезни 1 и 11 группы патогенности по СП 1.2.01 1-94)</t>
  </si>
  <si>
    <t>21.03.06г. п.Мохсоголоох Хангаласского р - на заРегиональныйистрирована заболеваемость дизентерией Зонне среди населения. Пострадало 35 человек, в том числе детй 74,3%.</t>
  </si>
  <si>
    <t xml:space="preserve">1.1.5.                                                                Авиационные катастрофы </t>
  </si>
  <si>
    <r>
      <t xml:space="preserve">27.03.06г. Авария вертолет Ми-8 б/н 24679 АК «Полярные авиалинии» </t>
    </r>
    <r>
      <rPr>
        <sz val="10"/>
        <rFont val="Calibri"/>
        <family val="2"/>
        <charset val="204"/>
      </rPr>
      <t>при выполнении санзадания Чокурдах-Русское Устье. На борту находилось 12 человек: 3 члена экипажа, 2 авиатехника, 4 сотрудника милиции, 2 медработника, 1 водитель. При падении вертолета погибли 5 человек, 5 человек находятся в тяжелом состоянии, 2 человека в удовлетворительном состоянии. Причина - .</t>
    </r>
  </si>
  <si>
    <t>13.04.06г. Вилюйский р-н, трасса с.Жемконцы- Лекечен, в 135 км. от г.Вилюйска. Столкновение а/м Маз и м/а УАЗ. В результате ДТП погибло 5 человек и 3 человека пострадало.</t>
  </si>
  <si>
    <t xml:space="preserve">15.04.06г. г.Мирный, пожар в частной даче. В результате пожара огнем уничтожена дача по всей площади. На месте пожара обнаружены 2 трупа. Причина пожара - неосторожное обращение с огнем. Виновник - хозяин, ущерба нет. На месте пожара работает СОГ.  </t>
  </si>
  <si>
    <t xml:space="preserve">07.05.06г. тр.Якутск-Покровск, ДТП. При столкновении а/м Тойота-Спринтер и а/м Урал погибло 5 человек, травмировано 2 человека. </t>
  </si>
  <si>
    <t xml:space="preserve">19.05.06г. с.Саскылах Анабарского р-на. Пожар в жилом доме. В результате пожара огнем повреждены 2 квартиры. На мсете пожара обнаружены 2 трупа, в т.ч. 1 ребенок (1999 г.р.). Причина пожара неосторожное обращение с огнем (детская шалость), виновник ребенок, ущерба нет. На месте пожара работает СОГ.  </t>
  </si>
  <si>
    <t>2/1</t>
  </si>
  <si>
    <t xml:space="preserve">21.05.06г. п.Пеледуй Ленского р-на. Пожар в жилом доме. В результате пожара огнем поврежден матрац на площади 1 кв.м. На месте пожара обнаружены 2 трупа (дети 2003 и 2004 г.р.) Причина пожара детская шалость с огнем. Виновники - дети. Ущерба нет. На месте пожара работает СОГ.  </t>
  </si>
  <si>
    <t>1.1.9                                              Аварии на магистральных газо -, нефте, продукто - проводах</t>
  </si>
  <si>
    <t xml:space="preserve">27.05.06г. п.Пеледуй Ленского р-на. При подготовке нефтепровода к эксплуатации проводились гидравлические испытания водой при отрицательных температурах. В результате прорыва произошла утечка водонефтяной смеси с выходом в оз.Талое, далее по ручью в р.Пеледуй. Разлив водонефтяной смеси составляет 20 км по всей ширине реки. В п. Пеледуй вылетела оперативная группа МЧС РФ по РС (Я). </t>
  </si>
  <si>
    <t>2.5.1.                                               Высокие уровни воды</t>
  </si>
  <si>
    <t>03.06.06. п.Пеледуй, п.Витим Ленского р-на. Рост уровней воды выше критических вследствие сброса воды Мамаканской ГЭС. В зону подтопления попало 83 жилых дома, в которых проживет 276 человек, в т.ч. 79 детей.</t>
  </si>
  <si>
    <t>2.5.1.                                              Высокие уровни воды (половодье, зажор, затор, дождевой паводок)</t>
  </si>
  <si>
    <t xml:space="preserve">08.06.06г. Олекминский р-н, при повышении уровня воды в р.Лена  в зоне подтопления оказались г.Олёкминск, в подтапливаемой зоне (низменная часть) оказались 15 частных домов, где проживают 66 чел. В с.Кыллах – подтоплено 40 частных  домов  где проживают 190 чел. В с Троицкое –подтоплено 40 частных  домов, в которых проживает 176 человек.  Пострадавшие размещены по родственникам .      </t>
  </si>
  <si>
    <t xml:space="preserve">23.06.2006г. Мегино-Кангаласский р-н, с.Даркылах, пожар в частном  доме. На месте пожара обнаружены 2 трупа, в т.ч. 1 ребенок. Причина неосторожное обращение с огнем, виновник хозяин. </t>
  </si>
  <si>
    <t>24.06.2006г. Вилюйский р-н, г.Вилюйск, пожар в частном доме. В результте пожара огнем уничтожен дом по всей площади. На месте пожара обнаружен труп гр.Глазырина В.А. - 1971г.р. Получила  ожоги 3 ст. верхних дыхательных путей  Иванова В.А. - 1951 г.р., доставлена в хир. отделение. Скончалась. Причина неосторожное обращение согнем, виновник не установлен.</t>
  </si>
  <si>
    <t>14.08.06г. г.Якутск, ул.Чернышевского 74. Пожар в бесхозном строении. На месте пожара обнаружены трупы 3 человек, в т.ч. 1 ребенка.</t>
  </si>
  <si>
    <t>26.08.06г. с.Росу Вилюйского р-на. Пожар в жилом доме. На месте пожара обнаружены трупы 2 чел. Причина неосторожное обращение с огнем при курении, виновник не установлен.</t>
  </si>
  <si>
    <t xml:space="preserve">09.09.06г. г.Якутск, ул.Дзержинского 10/1. Пожар в 47-кв. ж/д. На месте пожара обнаружены трупы 3 чел., в т.ч. 1 ребенок. Пострадало 4 чел. Причина, виновник не установлены. Ущерба нет. </t>
  </si>
  <si>
    <t>10.09.06г. г.Якутск, п.Жатай. Пожар в 2-этаж доме. В результате пожара погибло 2 человека и  пострадало 2 человека. Причина нарушение при экспл. электр., виновник не установлен.</t>
  </si>
  <si>
    <t>2</t>
  </si>
  <si>
    <t xml:space="preserve">1.1.9.                                              Аварии на магистральных газо - , нефте - , продуктопроводах </t>
  </si>
  <si>
    <t>26.09.06г. Разрыв магистрального газопровода в  подводной через р.Лена перехода Хатассы-Павловск.</t>
  </si>
  <si>
    <t>17.10.06г. в г.Якутске по ул.Песчаная, 36, произошел пожар в частном сарае.  В результате пожара огнем уничтожен сарай по всей площади. На месте пожара обнаружены  два трупа. Причина НППБ при эксплуатации печи. Виновник не установлен, ущерба нет.</t>
  </si>
  <si>
    <t>2.1.2.                                    Землетрясения</t>
  </si>
  <si>
    <t xml:space="preserve">17.10.06г. п.Нагорный -  п.Тында, землетрясение 5 -6 баллов </t>
  </si>
  <si>
    <t>Землетрясение</t>
  </si>
  <si>
    <t>22.10.06г. в Оймяконском районе, 120 км. от п.Усть – Нера, произошел пожар в временном балке. В результате пожара огнем уничтожен балок по всей площади. На месте пожара обнаружены 2 трупа. Причина, виновник не установлены, ущерба нет. Вызов на "01" не поступал.</t>
  </si>
  <si>
    <t>3.11.06г. в Мегино - Кангаласском районе, с.Норагана, произошел пожар в частном доме. В результате пожара огнем уничтожен дом по всей площади. На месте пожара обнаружены 2 трупа, в т.ч. 1 ребенок. Причина пожара неосторожное обращение с огнем. Виновник хозяйка, ущерба нет.</t>
  </si>
  <si>
    <t>1.2.6.                                                                           Пожары на объектах другого назначения</t>
  </si>
  <si>
    <t>09.11.06г. в г.Якутске, произошел пожар в строительном вагончике. В результате пожара огнем уничтожен вагончик по всей площади. На месте пожара обнаружены 2 трупа. Причина короткое замыкание электропроводки, виновник не установлен, ущерба нет.</t>
  </si>
  <si>
    <t>14.11.06г. в  Таттинском районе, с.Черкех, произошел пожар в средней школе. В результате пожара огнем уничтожена школа на площади 1700 кв.м. Причина пожара, виновник не установлены. Мат. ущерб 2 953 342руб.</t>
  </si>
  <si>
    <t xml:space="preserve">20.11.06г. Олекминский р-н, землетрясение 5 -6 баллов </t>
  </si>
  <si>
    <t>28.11.06г. Усть-Майский р-н, п.Ааллаах-Ун, пожар в жилом доме. В результате пожара обнаружено 3 трупа. Причина пожара нарушение правил устройства и экспл. электрообор., виновник БОМР. Ущерба нет.</t>
  </si>
  <si>
    <t xml:space="preserve">02.12.06г. Сунтарский р-н, с.Куокуну, пожар в частном доме. На месте пожара обнаружены 2 трупа. С места пожара в  отделение реанимации ЦУБ доставлен  1 человек. Причина пожара наруш. тех. Экспл. электрообор. Виновник хозяин, ущерба  нет. </t>
  </si>
  <si>
    <t>2.3.1. Сильный ветер, в т.ч. шквал, смерч</t>
  </si>
  <si>
    <t xml:space="preserve">25.12.06г. Булунский район, п.Тикси.Сильный ветер 32-33 м/сек. </t>
  </si>
  <si>
    <t>Неблагоприятные погодные условия</t>
  </si>
  <si>
    <t xml:space="preserve">30.12.06г. Сунтарский р-н, с.Сунтар, пожар в частном доме. На месте пожара обнаружены 3 трупа, в т.ч. 1 ребенок. С места пожара доставлены  в ЦУБ 5 человек, в т.ч. 2 детей. Причина пожара нарушение техэкспл. электрооборудования, виновник хозяин, ущерба нет. </t>
  </si>
  <si>
    <t xml:space="preserve">01.01.2008г. Усть - Алданский район, п.Балыктах,  пожар в частном доме. В результате пожара огнем уничтожен дом полностью. На месте пожара обнаружено 2 трупа. Причина пожара НПУ и ЭЭ, виновник - рабочий, ущерба нет.    </t>
  </si>
  <si>
    <t xml:space="preserve">04.01.2008г.Ленский район, п.Витим,  пожар в частной летней кухне. В результате пожара огнем уничтожена надворная постройка (летняя кухня) полностью. На месте пожара  обнаружено 2 трупа.Причина пожара НПУ и ЭП, виновник - БОМЖ, ущерба нет.    </t>
  </si>
  <si>
    <t xml:space="preserve">11.01.2008г. Нерюнгринский район, г.Нерюнгри,  пожар в жилом доме. В результате пожара огнем поврежден дом на площади 120 кв.м.  На месте пожара  обнаружено 4 трупа, в т.ч. 1 реб. Пострадало 2 человека. Причина пожара НППБ при эксплуатации электронагревательных приборов, виновник- служащий, ущерба  нет </t>
  </si>
  <si>
    <t>4/1реб</t>
  </si>
  <si>
    <t>12.01.08г. Нерюнгринский район, п.Серебряный Бор,на сетевом трубопроводе по которому обеспечивается подача теплоносителя произошел обрыв дренажа размером 80 мм. В результате аварии нарушены условия жизнедеятельности 106 человек, из них 22 ребенка.</t>
  </si>
  <si>
    <t>3.2.1.                                                  Особо опасные инфекционные болезни с/х животных</t>
  </si>
  <si>
    <t>15.01.08г. Лептоспироз лошадей Нюрбинский р-н с.Антоновка, с.Нюрбачан, 15 голов</t>
  </si>
  <si>
    <t>Заболевание животных</t>
  </si>
  <si>
    <t>1.2.5.                                              Пожары в зданиях (сооружениях) жилого, административного, учебно - воспитательного, социального, культурно - досугового назначения, здравоохранения                                               (1)</t>
  </si>
  <si>
    <t xml:space="preserve">17.01.2008г. г.Якутск,  пожар в жилом доме. В результате пожара огнем поврежден дом на площади 400 кв.м.  На месте пожара  погибло 2 человека и пострадало 2 человека. Причина пожара взрыв бытового газового баллона. Виновник - не установлен , ущерба - нет. </t>
  </si>
  <si>
    <t xml:space="preserve">29.01.2008г. Ленский район, п.Витим, из-за порывов на теплотрассе была остановлена котельная микрорайона «Геолог». Без теплоснабжения остались 32 жилых дома в которых проживают 627 чел., в т.ч.147 детей. </t>
  </si>
  <si>
    <t>30.01.08г. Лептоспироз лошадей Намский р-н с.Искра, 4 голов</t>
  </si>
  <si>
    <t>04.02.08г.Лептоспироз КРС Нюрбинский р-н с.Нюрбачан, 5 голов</t>
  </si>
  <si>
    <t xml:space="preserve">15.02.2008г. г.Якутск,  пожар в частном доме. В результате пожара огнем уничтожен дом полностью.  На месте пожара  погибло 5 человек, в т.ч. 3 реб. Причина пожара НППБ при устройстве и эксплуатации отопительной печи, виновник не установлен, ущерба - нет. </t>
  </si>
  <si>
    <t xml:space="preserve">09.03.2008г. г.Нерюнгри,  пожар в жилом доме. В результате пожара огнем уничтожен дом полностью. На месте пожара  погибло 2 человека, пострадал 1 человек Причина пожара - неосторожное обращение с огнем, виновник - не установлен, ущерба нет. </t>
  </si>
  <si>
    <t xml:space="preserve">10.03.2008г.  Усть - Майский район, п.Эльдикан пожар в частном доме. В результате пожара огнем уничтожен дом полностью.  На месте пожара  погибло 3 человека, в т.ч. 2 реб. Причина пожара неосторожное обращение с огнем при курении, виновник - рабочий, ущерба нет. </t>
  </si>
  <si>
    <t>3/2</t>
  </si>
  <si>
    <t>12.03.08г.Лептоспироз лошадей Горный р-н с.Керелях, 3 голов</t>
  </si>
  <si>
    <t>15.03.08г. на 420 км. по зимнику от г.Алдан в результате пожара балка погибло два человека. Причина пожара неосторожное обращение с огнем при курении, виновник - рабочий, ущерба нет.</t>
  </si>
  <si>
    <t>19.03.2008г. Таттинский район, с.Боробул пожар в частном доме. В результате пожара огнем поврежден дом на площади 9 кв.м. На месте пожара  погибло 3 человека. Причина пожара неосторожное обращение с огнем при курении. Виновник не установлен, ущерба нет.</t>
  </si>
  <si>
    <t>09.04.08г.Лептоспироз КРС Таттинский р-н с.Чимнай, 8 голов</t>
  </si>
  <si>
    <t>15.04.08г.Лептоспироз КРС Мегино-Кангаласский р-н Конезавод им.Попова, СХПК "Суола-Морук", 14 голов</t>
  </si>
  <si>
    <t>15.04.08г.Лептоспироз лошадей Мегино-Кангаласский р-н с.Бырыма, с.Бютейдях, с.Елечей, с.Нахара, 38 голов</t>
  </si>
  <si>
    <t>17.04.08г.Лептоспироз лошадей Таттинский р-н с.Кыйи, с.Победа, с.Харбалах, с.Черкех, с.Чичимах, 37 голов</t>
  </si>
  <si>
    <t xml:space="preserve">18.04.2008г. Мегино - Кангаласский район, п.Мая пожар в частном доме. В результате пожара огнем уничтожен дом полностью. На месте пожара  погибло 3 чел., в т.ч. 1 реб. Причина пожара НПУ и ЭЭ, виновник - не установлен, ущерба нет. </t>
  </si>
  <si>
    <t>25.04.08.Лептоспироз КРС Сунтарский р-н с.Кюндядя, 5 голов</t>
  </si>
  <si>
    <t>25.04.08г.Лептоспироз КРС Томпонский р-н с.Сасыльский наслег, п.Джебарики-Хая, п.Крест-Хальджай, с.Охотский Перевоз, с.Сайдыы, 23 голов</t>
  </si>
  <si>
    <t>28.04.08г. Лептоспироз лошадей г.Якутск, КСК ЯГСХА, Марха, Хатассы-Табага,  33 голов</t>
  </si>
  <si>
    <t>30.04.08г.Лептоспироз лошадей Чурапчинский р-н уч.Хахыйах, 8 голов</t>
  </si>
  <si>
    <t xml:space="preserve">2.5.1                                              Высокие уровни воды (половодье, зажор, затор, дождевой паводок), сель                           </t>
  </si>
  <si>
    <t xml:space="preserve">Распоряжением Главы ГО «Город Якутск» №1263р от 9 мая 2008г. введен режим ЧС на территории микрорайона «Марха». С разливом речки Мархинка из-за переполнения талыми водами и прорывом плотины «7-й км. Маганского тракта» в зоне подтопления оказались 43 жилых дома, в которых проживает  225 чел., в т.ч. 55 детей. Режим ЧС отменен Распоряжением главы ГО «г.Якутск» №1272р от 12 мая 2008г. </t>
  </si>
  <si>
    <t xml:space="preserve">Распоряжением  главы администрации МР «Горный улус» №08 от 12 мая 2008г. объявлен режим ЧС на территории района в связи с разрушением ледозащитного сооружения ГТС водохранилища р.Маатта,  повышением уровней воды на реках района и подтоплением жилых домов в пяти населённых пунктах: с. Бердигестях, с.Бес–Кюель, с.Ёрт, с.Магарасс, с.Орто–Сурт. Режим ЧС отменен Распоряжением главы МО «Горный район» №09 от 15 мая 2008г. В результате нарушено условие жизнедеятельности 78 чел. в т.ч.33 дет. </t>
  </si>
  <si>
    <t>13.05.08г.Лептоспироз лошадей Амгинский р-н с.Бетюн, с.Соморсун, 21 голов</t>
  </si>
  <si>
    <t xml:space="preserve">Распоряжением №513 от 14 мая 2008г. главы администрации МР «Амгинский улус (район)» на территории района объявлен режим ЧС для сил и средств Амгинского звена Якутской территориальной подсистемы РСЧС. Из-за подъёма уровней воды в р.Амга и невозможностью её выхода в устье на р.Алдан (ледостав) произошло подтопление в сёлах Амга, Алтайцы, Сатагай, Мяндиги, Абага. Всего по Амгинскому району было подтоплено 105 жилых домов, в которых проживает 420 человек, из них 176 - дети. Режим ЧС отменен Распоряжением главы МО «Амгинский район» №522 от 18 05.2008 г. </t>
  </si>
  <si>
    <t>Межмуниципальный</t>
  </si>
  <si>
    <t>14.05.08г. Лептоспироз КРС Усть-Алданский р-н с.Танда, 2 голов</t>
  </si>
  <si>
    <t>Распоряжением №166 от 16 мая 2008г. главы Чурапчинского района «Об объявлении режима ЧС для органов управления, сил и средств района» из-за подъёма уровней воды в р.Амга произошло подтопление населенных пунктов Мырыла и Мындагай. Режим ЧС отменен Распоряжением главы МО «Чурапчинский район» №189 от 21 05.2008г. В результате нарушено условие жизнедеятельности 207 чел., в т.ч.72 дет</t>
  </si>
  <si>
    <t>16.05.08г. Лептоспироз лошадей Хангаласский р-н с.Булгунняхтах, 7 голов</t>
  </si>
  <si>
    <t xml:space="preserve"> Распоряжением №376-р от 16 мая 2008г. главы администрации МР «Таттинский улус (район)» на территории района объявлен режим ЧС для сил и средств Таттинского звена Якутской территориальной подсистемы РСЧС. Из-за повышения уровня воды в р.Амга произошло подтопление населенных пунктов Дая-Амга, Харбалах. Режим ЧС отменен Распоряжением главы МО «Таттинский район» №14 от 26 мая 2008г. В результате нарушено условие жизнедеятельности 624 чел., в т.ч.211 дет</t>
  </si>
  <si>
    <t>Распоряжением главы администрации МР «Вилюйский район» №539 от 18 мая 2008г. объявлен режим ЧС для органов управления сил и средств ЯТП РСЧС Вилюйского района. Через пойменную сеть озёр вода со льдом залила территорию Вилюйской нефтебазы. Подтопленными оказались 7 емкостей и наливная эстакада. В одной ёмкости находилось 1290 куб. м  топлива. Режим ЧС отменен Распоряжением главы МО «Вилюйский район» №574 от 21 мая 2008г.</t>
  </si>
  <si>
    <t xml:space="preserve">22.05.08г. в г.Нерюнгри произошел пожар в частном гараже в районе НПАТП. Гараж шлакоблочный, размерами 6х10 метров. В результате пожара огнем повреждено: а/м Камаз-топливозаправщик, а/м ВАЗ-2105 по всей площади,  кровля гаража на площади 40 кв.метров. На месте пожара обнаружено 2 трупа. Причина пожара - прочие, виновник - не установлен, ущерба нет.  </t>
  </si>
  <si>
    <t>  Распоряжением главы администрации МО «Кобяйский район» №323-р от 24 мая 2008г. введён режим ЧС. Повышение уровня воды в р. Лена из-за затора ниже устья р. Вилюй (Монастырские острова, р. Лямпушка) вызвало подтопление в трех сёлах Кобяйского района. В результате пострадало 454 чел., в т.ч.159 дет</t>
  </si>
  <si>
    <t>28.05.2008г. г.Якутск пожар в частном доме. В результате пожара огнем уничтожен дом, надворные постройки по всей площади. На месте пожара  погибло 2 человека. Причина пожара неосторожное обращение с огнем. Виновник- руководитель, ущерба нет.</t>
  </si>
  <si>
    <t>09.06.08г.Лептоспироз КРС Чурапчинский р-н с.Бахсы, с.Мугудай, 16 голов</t>
  </si>
  <si>
    <t>09.06.08г.Лептоспироз КРС Олекминский р-н с.Марха, 2 голов</t>
  </si>
  <si>
    <t>20.06.08г.Лептоспироз лошадей Сунтарский р-н с.Вилючан, с.Туойдах, с.Хадан, 25 голов</t>
  </si>
  <si>
    <t>26.06.08г.Лептоспироз лошадей Олекминский р-н с.1-Нерюктяй, с.Абага, 7 голов</t>
  </si>
  <si>
    <t>01.07.08г. Лептоспироз КРС Верхневилюйский р-н с.Едюгей, 1 голова</t>
  </si>
  <si>
    <t>01.07.08г. Лептоспироз лошадей Верхневилюйский р-н с.Далыр, с.Дюллюкю, с.Онхой, 11 голов</t>
  </si>
  <si>
    <t>25.07.08г.Лептоспироз лошадей Томпонский р-н Мегино-Алданский наслег, с.Кэскил, с.Ударник, 12 голов</t>
  </si>
  <si>
    <t>Распоряжением главы администрации района МО»Верхоянский район» №515-ра от 31.07.2008г.  введен режим ЧС на территории с.Барылас, Юнкюр, Адыча. Повышение уровня воды в р.Сартанг из-за ливневых дождей.В результате нарушено условие жизнедеятельности 652 чел., в т.ч. 138 детей.</t>
  </si>
  <si>
    <t>02.08. п.Черский Нижнеколымского р-на (район "Вторчермета"), пожар в летней кухне. На месте пожара обнаружено 2 трупа.</t>
  </si>
  <si>
    <t>1.1.3.-1.1.4.                                        Аварии маломерных судов</t>
  </si>
  <si>
    <t>26.08. г.Томмот Алданского р-на опрокдывание лодка «Казанка» на р.Алдан. В лодке находилось 7 человек. В результате опрокидывания лодки 2 человека спаслись самостоятельно. Из рассказа спасшихся, 5 человек утонули.</t>
  </si>
  <si>
    <t>1.7.2.                                           Аварии на электроэнергетических системах с долговременным перерывом э/снабжения основных потребителей и населения</t>
  </si>
  <si>
    <t>10.09.08г. П.Джебарики-Хая Томпонского р-на. Аварийное отключение э/энергии вследствие повреждения опоры. Э/снабжение востановлено 12.09.08г.</t>
  </si>
  <si>
    <t>Объекты энергоснабжения</t>
  </si>
  <si>
    <t xml:space="preserve">18.10.08г. 18.10.08г. в  с.Тюнгюлю, Мегино-Кангалаского района произошел пожар в частном доме. В результате пожара огнем поврежден дом на площади 2,5 кв.м. На месте пожара обнаружено 3 трупа. Причина пожара, виновник, ущерб устанавливаются.  </t>
  </si>
  <si>
    <t xml:space="preserve">21.11.08г. в  г.Якутске произошел пожар в жилом доме. В результате пожара огнем поврежден дом, гараж, и автомобиль на площади 72 кв.м. На месте пожара пострадало 4 человека. Причина пожара неосторожное обращение с огнем ЛВЖ. Виновник, ущерб устанавливаются.  </t>
  </si>
  <si>
    <t>30.11.08г. В г.Якутске произошел пожар в жилом доме.В результате пожара огнем поврежден дом по всей площади. На  месте пожара погибло 3 чел., и пострадало 2 чел. Причина пожара, виновник, ущерб устанавливаются.</t>
  </si>
  <si>
    <t xml:space="preserve">06 декабря 2008 года в 21час 00мин. в ГУ МЧС России по РС(Я) поступила информация от жителей п.Якокит Алданского района, что в 17 час.00 мин. в результате порыва теплотрассы и утечки воды из магистральной системы теплоснабжения остановлена подача теплоносителя  потребителям от котельной п.Якокит Алданского района. Пострадало 215 чел. из них 45 детей. </t>
  </si>
  <si>
    <t>11.12.08г. в 08 час. 54 мин.  пожар в частном жилом доме по ул.Партизанская 22 в с.Чинекя, Вилюйского района.Частный дом принадлежит Михайлову А.П., размером 10х7 метров, из лафета, обшит снаружи досками, отопление газовое, 1988 г. постройки.В 09час. 28 мин. на момент прибытия первого подразделения – дом полностью охвачен огнем, потолочное перекрытие обрушено. В огне погибли Михайлов Д.А., 2005г.р., Михайлова Д.А., 2007 г.р., Михайлов Д.А., 2008 г.р., Савинова И.Н., 2006 г.р. Причина пожара неосторожное обращение с огнем (детская шалость). Виновник, ущерб устанавливаются.</t>
  </si>
  <si>
    <t>4/4</t>
  </si>
  <si>
    <t>14.12.08г.  в 25 км. от г.Олекминска на правом беРегиональныйу р.Лена произошел пожар в частном жилом доме.В результате пожара жилой дом повреждении огнем на общей площади 3 кв.м.  На место пожара обнаружено 2 погибших: гр.Ромашева О.В.-1956 г.р. и гр.Габышева В.А.- 1959 г.р. Причина, виновник, ущерб устанавливаются.</t>
  </si>
  <si>
    <t>30.12.08г. г.Нерюнгри пожар в частной даче. На месте пожара погибло 2 чел. Причина, виновник, ущерб пожара устанавливаются.</t>
  </si>
  <si>
    <t>30.04.09г. произошла аварийная посадка самолета Ан-2 №00842 РОСТО выполняющий рейс по маршруту Красноярск - Якутск. Причина аварийной посадки устанавливается. При падениии самолета погибло 3 члена экипажа. На ликвидацию ЧС привлечено 81 человек и 24 ед. техники.</t>
  </si>
  <si>
    <t xml:space="preserve">01.11.09г. при выполнении взлёта в 1 км от ВПП потерпел катастрофу самолет Ил-76 МВД России. На борту находилось 11 человек экипажа. Маршрут следования г.Мирный – г. Иркутск. На месте падения обнаружены 11 погибших. На ликвидацию ЧС привлечено 88 человек и 14 ед. техники. </t>
  </si>
  <si>
    <t xml:space="preserve">Ленский район Разлив нефти на нефтепроводе «ВСТО» </t>
  </si>
  <si>
    <t xml:space="preserve">Распоряжением №07-04-000023/10 от 21.01.2010г гл.администрации введен Режим ЧС. </t>
  </si>
  <si>
    <t>Разлив нефтепродуктов</t>
  </si>
  <si>
    <t xml:space="preserve">2.5.1  Высокие уровни воды (половодье, зажор, затор, дождевой паводок), сель                           </t>
  </si>
  <si>
    <t>Хангаласский район от 19 мая 2010 года №660-р, Мегино–Кангаласский район от 19 мая 2010 года № 591, МО «Городской округ г. Якутск» от 20 мая 2010 года № 702-р, Усть-Алданский район от 20 мая 2010 года № 414; Намский район от 20 мая 2010 № 699-р.</t>
  </si>
  <si>
    <t>Мегино–Кангаласский район от 19 мая 2010 года № 591</t>
  </si>
  <si>
    <t>Техногенный Затонул линейный буксир "Алексей Кулаковский"</t>
  </si>
  <si>
    <t>27 августа 2010 г. в 03:25 (якт) в море Лаптевых (координаты 73° 01´ 74˝ с.ш. 130° 38´ 46˝ в.д. 20 миль от беРегиональныйа) затонул линейный буксир класса «река-море» с усиленным ледовым корпусом «Алексей Кулаковский», следовавший с Быковского полуострова к месту дрейфа судна «ТБ-0012» в море Лаптевых Северо-Ледовитого океана (координаты 73°07´34˝ с.ш. 130°05´46˝ в.д., расстояние 72 морской  мили).</t>
  </si>
  <si>
    <t>МО «Городской округ г. Якутск» от 20 мая 2010 года № 702-р</t>
  </si>
  <si>
    <t>Усть-Алданский район от 20 мая 2010 года № 414;</t>
  </si>
  <si>
    <t>Намский район от 20 мая 2010 № 699-р.</t>
  </si>
  <si>
    <t>Распоряжением Администрации  МО "Олекминский район" от 06.05.2011г. №545 введен режим ЧС на территории Олекминского района. (Кыллах). Распоряжением Администрации МО "Олекминский район" от 07.05.2011г. №550 снят режим ЧС  на территории Олекминского района</t>
  </si>
  <si>
    <t>эвакуи. 219/38</t>
  </si>
  <si>
    <t xml:space="preserve">Распоряжением Главы  МО "Намский район" от 16.05.2011г. №709-р введен режим ЧС на территории п. Едейцы Намского района, Распоряжением Главы  МО "Намский район" от 30.05.2011г. №787-р режим ЧС снят. </t>
  </si>
  <si>
    <t>735/257</t>
  </si>
  <si>
    <t xml:space="preserve">Распоряжением Главы  МО "Намский район" от 16.05.2011г. №709-р введен режим ЧС на территории Партизан Намского района, Распоряжением Главы  МО "Намский район" от 30.05.2011г. №787-р режим ЧС снят. </t>
  </si>
  <si>
    <t>423/134</t>
  </si>
  <si>
    <t>Указ президента об объявление режима ЧС на территории МО "Намский улус" и ГО "город Якутск" № 660 от 17 мая 2011 г. Режим ЧС снят №739 от 8 июня 2011г</t>
  </si>
  <si>
    <t>2.6.1.Лесные пожары, торфя­ные пожары, пожары на оленьих пастбищах</t>
  </si>
  <si>
    <t>С 13.05.11 г. распоряжением Главы МО «Амгинский район»  №265  введен режим ЧС для органов управления, сил и средств Амгинского районного звена ЯТП РСЧС, с 10.06.11 г. режим ЧС снят.</t>
  </si>
  <si>
    <t>Природные пожары</t>
  </si>
  <si>
    <t>1.6. Внезапное обрушение зданий, сооружений, пород                                                    Техногенный</t>
  </si>
  <si>
    <t>10.07.11г. в г.Якутске произошло обрушение жилого дома, по адресу: г.Якутск ул. Бабушкина 6/4. Обрушено 3 балкона  квартир №18, №21, №24 и задняя стена 3-го подъезда. (Характеристика объекта: 3-х этажный, 24-х квартирный жилой дом, 1987 года постройки, шлакоблочный, размерами в плане 19х50,  имеет 3 подъезда). Из 72 человек на момент обрушения в доме находилось 45 человек, из них 13 детей.  Пострадавших и погибших нет. Жильцы дома размещены по родственникам.</t>
  </si>
  <si>
    <t xml:space="preserve">Указом Президента РС (Я) от 14.07.2011 г.№821 в связи с высоким классом пожарной опасности, сложной оперативной обстановкой в Республике Саха (Якутия)
с 15 июля введен режим ЧС Региональныйионального характера на территориях Алданского, Амгинского, Верхневилюйского, Вилюйского, Горного, Кобяйского, Мегино-Кангаласского, Мирнинского, Намского, Нерюнгринского, Нюрбинского, Олекминского, Сунтарского, Таттинского, Усть-Алданского, Усть-Майского, Хангаласского, Чурапчинского районов и г.Якутска. В связи со стабилизацией лесопожарной обстановки режим чрезвычайной ситуации снят с 25 августа 2011 года Указом Президента РС (Я) №877.
</t>
  </si>
  <si>
    <r>
      <t xml:space="preserve">В результате резкого подъёма уровня воды на реке Тяня на территории Олёкминского района Республики Саха (Якутия) 7 мая 2012 года подтоплено с. Тяня, в зону подтопления попали 43 жилых дома, 136 человек, из них 48 детей. В Олёкминском районе PC (Я) </t>
    </r>
    <r>
      <rPr>
        <i/>
        <sz val="10"/>
        <rFont val="Calibri"/>
        <family val="2"/>
        <charset val="204"/>
      </rPr>
      <t>объявлен режим чрезвычайной ситуации</t>
    </r>
    <r>
      <rPr>
        <sz val="10"/>
        <rFont val="Calibri"/>
        <family val="2"/>
        <charset val="204"/>
      </rPr>
      <t xml:space="preserve"> распоряжением Главы района от 07.05.2012 года № 448.</t>
    </r>
  </si>
  <si>
    <r>
      <t xml:space="preserve">В связи с увеличением количества подтопленных населенных пунктов на территории МР «Олекминский район» Указом № 1416 от 15 мая 2012 года </t>
    </r>
    <r>
      <rPr>
        <i/>
        <sz val="10"/>
        <rFont val="Calibri"/>
        <family val="2"/>
        <charset val="204"/>
      </rPr>
      <t>Президентом Республики Саха (Якутия)</t>
    </r>
    <r>
      <rPr>
        <sz val="10"/>
        <rFont val="Calibri"/>
        <family val="2"/>
        <charset val="204"/>
      </rPr>
      <t xml:space="preserve"> с 15 мая 2012 </t>
    </r>
    <r>
      <rPr>
        <i/>
        <sz val="10"/>
        <rFont val="Calibri"/>
        <family val="2"/>
        <charset val="204"/>
      </rPr>
      <t>года введен режим ЧС.</t>
    </r>
  </si>
  <si>
    <r>
      <t xml:space="preserve">Решением КЧС и ПБ Усть-Майского района </t>
    </r>
    <r>
      <rPr>
        <i/>
        <sz val="10"/>
        <rFont val="Calibri"/>
        <family val="2"/>
        <charset val="204"/>
      </rPr>
      <t>№ 04 от 17.05.2012г. введен режим ЧС</t>
    </r>
    <r>
      <rPr>
        <sz val="10"/>
        <rFont val="Calibri"/>
        <family val="2"/>
        <charset val="204"/>
      </rPr>
      <t xml:space="preserve"> на территории 4-х муниципальных образований «Поселок Солнечный», «Поселок Эльдикан», «Поселок Югоренок», «Эжанский национальный наслег» в виду нарушения дорожного сообщения между 3 н.п.: Эльдикан, Солнечный, Югоренок и угрозы размыва защитных сооружений (дамбы) в н.п. Эльдикан и Эжанцы.</t>
    </r>
  </si>
  <si>
    <r>
      <t xml:space="preserve">Постановлением Администрации МР «Верхнеколымский район» №53 от 17 мая 2012 года </t>
    </r>
    <r>
      <rPr>
        <i/>
        <sz val="10"/>
        <rFont val="Calibri"/>
        <family val="2"/>
        <charset val="204"/>
      </rPr>
      <t>введен режим ЧС</t>
    </r>
    <r>
      <rPr>
        <sz val="10"/>
        <rFont val="Calibri"/>
        <family val="2"/>
        <charset val="204"/>
      </rPr>
      <t xml:space="preserve"> на территории МО «Поселок Зырянка» и МО «Верхнеколымский наслег». В связи со стабилизацией обстановки </t>
    </r>
    <r>
      <rPr>
        <i/>
        <sz val="10"/>
        <rFont val="Calibri"/>
        <family val="2"/>
        <charset val="204"/>
      </rPr>
      <t>режим ЧС снят</t>
    </r>
    <r>
      <rPr>
        <sz val="10"/>
        <rFont val="Calibri"/>
        <family val="2"/>
        <charset val="204"/>
      </rPr>
      <t xml:space="preserve"> постановлением главы МО «Верхнеколымского района» от 21.05.2012 г. №56.</t>
    </r>
  </si>
  <si>
    <r>
      <t xml:space="preserve">В связи с подтоплением жилых жомов, хозяйственных строений и нарушением жизнедеятельности населения в с.Едейцы, с. Арбын и с. Крест-Кытыл в результате резкого повышения уровня воды на р.Лена Распоряжением Главы МО «Намский улус» №967-р от 18 мая 2012 года </t>
    </r>
    <r>
      <rPr>
        <i/>
        <sz val="10"/>
        <rFont val="Calibri"/>
        <family val="2"/>
        <charset val="204"/>
      </rPr>
      <t>объявлен режим «Чрезвычайная ситуация».</t>
    </r>
  </si>
  <si>
    <t>1.1.7. Аварии (катастрофы) на ав-тодорогах     (крупные     дорожно-транспортные аварии и катастрофы)</t>
  </si>
  <si>
    <t xml:space="preserve">29.05.12 г. произошло ДТП на ФАД М-56 Лена с участием маршрутного автобуса №101 принадлежащего МУП «ЯПАК»  с Тойота Лэнд Крузер  на 10 км.  Покровского тракта Городского округа «Город Якутск». </t>
  </si>
  <si>
    <t xml:space="preserve">Распоряжением Администрации МО «Среднеколымский улус» №336-р от 20 мая 2012 года введен режим ЧС на территории МО «Город Среднеколымск». Президентом Республики Саха (Якутия) подписан указ «О введении режима ЧС Региональныйионального характера на территории Среднеколымского района» № 1422 от 20.05.2012. </t>
  </si>
  <si>
    <t>Распоряжением Администрации МО «Усть-Янский улус» №25-ОД от 23 мая 2012 года в целях ликвидации чрезвычайной ситуации, организации первоочередных работ по жизнеобеспечению, проведению АСР на территории МО «Усть-Янский национальный наслег» в Усть-Янском улусе введен режим ЧС. Распоряжением Президента РС (Я) на территории МО «Усть-Янский улус (район)» №1441 от 26 мая 2012 года введен режим ЧС Региональныйионального характера.</t>
  </si>
  <si>
    <t>Объявлен режим ЧС от 11 июня 2012 г. №536-П муниципального характера в лесах, возникшей вследствие лесных пожаров на территории Усть-Майского района.</t>
  </si>
  <si>
    <t>Объявлен режим ЧС от 15 июня 2012 г. №14-14 для органов управления сил и средств функционирования РСЧС муниципального характера по ликвидации лесных пожаров на территории Вилюйского улуса.</t>
  </si>
  <si>
    <r>
      <t xml:space="preserve">В связи с высоким классом пожарной опасности, сложной пожарной оперативной обстановкой </t>
    </r>
    <r>
      <rPr>
        <i/>
        <sz val="10"/>
        <rFont val="Calibri"/>
        <family val="2"/>
        <charset val="204"/>
      </rPr>
      <t>Указом Президента №1497 с 18 июня объявлен режим чрезвычайной ситуации</t>
    </r>
    <r>
      <rPr>
        <sz val="10"/>
        <rFont val="Calibri"/>
        <family val="2"/>
        <charset val="204"/>
      </rPr>
      <t xml:space="preserve"> в лесах, возникших вследствие лесных пожаров на территории Амгинского, Алданского, Верхневилюйского, Вилюйского, Горного, Кобяйского, Ленского, Мегино-Кангаласского, Мирнинского, Намского, Нерюнгринского, Нюрбинского, Олекминского, Сунтарского, Таттинского, Чурапчинского района, и городского округа «город Якутск» Республики Саха (Якутия).</t>
    </r>
  </si>
  <si>
    <r>
      <t xml:space="preserve">Решением КЧС и ПБ объявлен режим ЧС от 3 июля 2012 г. №14-15 для органов управления сил и средств территориальной подсистемы РСЧС Вилюйского улуса по ликвидации лесных пожаров. </t>
    </r>
    <r>
      <rPr>
        <b/>
        <sz val="11"/>
        <rFont val="Times New Roman"/>
        <family val="1"/>
        <charset val="204"/>
      </rPr>
      <t/>
    </r>
  </si>
  <si>
    <t>1.1.5. - 1.1.6. Авиационные и ракетно-космические  катастрофы и аварии в аэропортах, на стартовых площадках и в населенных пунк¬тах и вне аэропортов, стартовых площадок и населенных пунктов</t>
  </si>
  <si>
    <t xml:space="preserve">В 23.10 (хбр) 04.07.2012 года от дежурного ПДСУ «г. Якутска» Набока Е.И. поступила информация о том, что не вышел на связь вертолет АС 350 Франция, б/н №04097, принадлежащий АК «Ют-Эйр» г. Сургут, КВС Гордичук Василий Дмитриевич, выполняющий рейс №9169 с 19.00 (хбр) г. Ленск – Талаканское месторождение по трубопроводу ВСТО.  На борту предположительно находилось 4 человека (2 члена экипажа, 2 пассажира).
В 23.28 (хбр) от диспетчера ПДСУ г. Ленск Чубенко Анны Анатольевны поступила информация о том, что вертолет АС 350 обнаружен, находится в 4 км, западнее от взлетно-посадочной полосы г. Ленска, вертолет лежит обгоревший в труднодоступном месте. Обнаруживший вертолет посадку произвести не смог. Для спуска по веревочной лестнице к месту падения вертолета готовится поисковая группа.
В 00.53 (хбр) спасатели совершили спуск к месту крушения. Обнаружено 3 тела погибших.
</t>
  </si>
  <si>
    <t>04.07.2012г. Комиссией КЧС Таттинского района во главе председателя КЧС, Главой Таттинского района Протодьяконовым М.А. принято Решение №4 «О введении режима ЧС муниципального характера, возникшего вследствие лесных пожаров для сил и средств Таттинского звена РСЧС».</t>
  </si>
  <si>
    <t>Постановление № 51 от 07.07.2012г «О введении режима ЧС местного характера в лесах, возникающий в следствии лесных пожаров на территории МО «Село Усть-Миль» в связи с высоким классом пожарной опасности леса».</t>
  </si>
  <si>
    <r>
      <t xml:space="preserve">08.07.2012г. Комиссией КЧС Томпонского района во главе 1 заместителя Томпонского района Шарковой Т.Ф принято Решение №15  «О введении режима ЧС локального  характера, возникшего вследствие лесных пожаров вблизи населенного пункта Охотский перевоз для сил и средств Томпонского звена РСЧС». </t>
    </r>
    <r>
      <rPr>
        <b/>
        <sz val="11"/>
        <rFont val="Times New Roman"/>
        <family val="1"/>
        <charset val="204"/>
      </rPr>
      <t/>
    </r>
  </si>
  <si>
    <t>В связи с высоким классом пожарной опасности, сложной пожарной обстановкой на территории Усть-Алданского района Решением КЧС №10 объявлен режим ЧС с 14.07.2012.</t>
  </si>
  <si>
    <t>Постановлением Администрации Усть-Майского района №700-П объявлен с 27 июля 2012 года режим ЧС муниципального характера в лесах, возникшей вследствие лесных пожаров на территории Усть-Майского района.</t>
  </si>
  <si>
    <t>Распоряжением Администрации МО «Баппагайинский наслег» Вилюйского района №56 в связи с возникновением лесного пожара в местности «Тысагастаах», находящегося на расстоянии в 5 км от села Илбенге, объявлен режим чрезвычайной ситуации с 28 июля 2012 на территории МО «Баппагайинский наслег» Вилюйского района.</t>
  </si>
  <si>
    <t>2.6.1.Лесные пожары, торфя­ные пожары, пожары на оленьих пастбищах  2.5.1. Высокие уровни воды (половодье, зажор, затор, дождевой паводок), сель</t>
  </si>
  <si>
    <t>Постановлением Администрации МО «Намский район» №1420-р от 31 июля 2012 года введен режим ЧС межмуниципального характера в связи с высоким классом пожарной опасности, сложной пожарной оперативной обстановкой, и утратой заготовленных грубых кормов с/х животных во время подтопления сельскохозяйственных угодий.</t>
  </si>
  <si>
    <t>Постановлением Администрации МО «Хангаласский район» №1064-р от 31 июля 2012 года введен режим ЧС межмуниципального характера в связи подтоплением сельскохозяйственных угодий более 10 тыс. га, скошенных угодий более 4 тыс. га, заготовленного сена более 2 тыс. тн.</t>
  </si>
  <si>
    <t>Распоряжением Администрации МО «Чурапчинский улус (район)» №798 с 3 августа 2012 года объявлен режим ЧС муниципального характера в лесах, возникшей вследствие пожаров на территории МО «Чурапчинский улус (район)».</t>
  </si>
  <si>
    <t xml:space="preserve">1.2.8. Пожары (взрывы) в шахтах, подземных и горных </t>
  </si>
  <si>
    <t xml:space="preserve"> В 11ч.20 мин. (хбр) 26.08.2012г.в ОДС ЦУКС МЧС РФ по РС(Я)                  поступило сообщение от диспетчера ГОК АК «АЛРОСА» Борисова С.Р.  о том, что в 10 ч. 40 мин. (хбр) на Восточном рудном теле на глубине 365 метров (365 горизонт, строящейся для разработки шахта)  Удачнинского ГОКа АК «АЛРОСА» произошла авария (предположительно взрыв газа).  На момент аварии на руднике находилось 35 человек, на аварийном участке 17 человек. Всего в результате аварии пострадало 6 человек в том числе 2 человека погибло (Тютюников Сергей Алексеевич 1978г.р, Макаров Денис Евгеньевич 1977г.р).</t>
  </si>
  <si>
    <t>Аварии на горных предприятиях</t>
  </si>
  <si>
    <t>Авария на котельных</t>
  </si>
  <si>
    <t>В 11ч45мин. 10.12.2012г. В ОДС ЦУКС поступила информация, о том, что из-за аварии на теплотрассе в н.п.2-ой Нерюктяйинский Олекминского района остановлена котельная Центральная. Котельная отапливает 4 объекта: администрация, клуб, детский сад и почта. В 11ч30мин главой администрации "2-ой Нерюктяйинский наслег" за №63 от 09.12.2012г. введен режим ЧС. Снят 17.12.2012 г.</t>
  </si>
  <si>
    <t>Пожар на котельных</t>
  </si>
  <si>
    <t>В 18ч00мин. 10.12.2012г. По распоряжению главы МО "Ярославский наслег" Ленского района № 11-44р., в связи с пожаром и последующим выходом из строя котельной МУП "ЖКХ с.Ярославский", прекращением теплоснабжения жилого фонда и объектов соцкультбыта, в н.п. Ярославский введен режим ЧС.</t>
  </si>
  <si>
    <t>2.5.1  Высокие уровни воды (половодье, зажор, затор, дождевой паводок), сель</t>
  </si>
  <si>
    <t>С 15.00 08.05.2012 органы управления, силы и средства Олекминского звена ЯТП РСЧС приведены в режим функционирования «ЧРЕЗВЫЧАЙНАЯ СИТУАЦИЯ». На территории Олекминского района 11 мая 2013 г. указом Президента РС (Я) №2055 объявлен режим «ЧС». Изм.  Указ.Президента РС(Я) от 06.07.13г. №2166 (с Муниципальный на Региональный, пострадало 458 чел. на 360 чел.)</t>
  </si>
  <si>
    <t>В связи со сложившейся обстановкой на р.Лена в результате весеннего половодья Распоряжением №317 от 15.05.12г. Введен режим «Чрезвычайная ситуация» для органов управления, сил и средств Усть-Алданского звена ЯТП ЧС на территории МО «Усть-Алданский улус (район)».</t>
  </si>
  <si>
    <t>В связи с повышением уровня воды на р.Лена и затоплением МО «Дойдунский наслег» Распоряжением №882 от 15 мая объявлен режим «Чрезвычайная ситуация» МР «Мегино-Кангаласский улус».</t>
  </si>
  <si>
    <t>В связи с повышением уровня воды на реках Колыма, Лена и затоплением населенных пунктов на территориях города республиканского значения Указом президента от 15 мая 2013 года №2057 объявлен режим «Чрезвычайная ситуация» на территориях города республиканского значения Якутска, Среднеколымского, Намского, Усть-Алданского, Олекминского улусов (районов) РС (Я). Изм. Указа Президента РС(Я)  от 06.07.2013 г. №2165  по пострадавшим вместо 1454 чел. 3016 чел. (изм с Муниципальный на Региональный  указ Президента №2165 от 06.07.2013 г.)</t>
  </si>
  <si>
    <t>Указом Президента от 30 мая 2013 года №2086 «О введении режима чрезвычайной ситуации в лесах Региональныйионального характера на территориях Кобяйского, Нюрбинского, Сунтарского улусов (районов) Республики Саха (Якутия)», в связи с высоким классом пожарной опасности, сложной оперативной пожарной обстановкой и в соответствии с постановлением Правительства Российской Федерации от 17 мая 2011 г. № 376 «О чрезвычайных ситуациях в лесах, возникших вследствие лесных пожаров», введен режим «Чрезвычайная ситуация» на территориях Сунтарского, Нюрбинского, Кобяйского улусов (районов) РС (Я).</t>
  </si>
  <si>
    <t xml:space="preserve">Распоряжением главы МО "Болугурский наслег" №71 от 08.05.2013 года "О введении режима чрезвычайной ситуации на территории МО "Болугурский наслег" в н.п. Мындагай введен режим чрезвычайной ситуации.  С 16.00 (хбр) 09.05.2013 года органы управления, силы и средства с. Мындагай Чурапчинского звена ЯТП РСЧС приведены в режим функционирования «ЧРЕЗВЫЧАЙНАЯ СИТУАЦИЯ». По состоянию на 23.47 (хбр) 09.05.13 распоряжением главы МО «Чурапчинский район» №1 от  09.05.13 снят режим «Чрезвычайная ситуация» на территории МО «Болулурский наслег» в связи со стабилизацией обстановки и понижением уровня воды у н.п.Мындагай.
</t>
  </si>
  <si>
    <t>12 и 4</t>
  </si>
  <si>
    <t xml:space="preserve">По данным ЕДДС Хангаласского района 08.06.2013 года из-за обильных осадков произошло подтопление 17 жилых домов в г.Покровск (из них 25 квартир муниципального жилого фонда, 6 домов частный жилой сектор). Распоряжением № 91 от 08.06.2013 г. главой МО «г. Покровск» - введен режим ЧС.
09.06.2013 г. издано Распоряжение № 92 от 09.06.2013г. главой МО «г. Покровск» - «О снятии режима Чрезвычайной Ситуации на территории МО «г. Покровск».
</t>
  </si>
  <si>
    <t xml:space="preserve">2.5.1  Высокие уровни воды (половодье, зажор, затор, дождевой паводок), сель  </t>
  </si>
  <si>
    <t xml:space="preserve">11.06.2013 Указом Президента РС(Я) от 11.06.2013 г. №2100/А веден режим ЧС на территории Амгинского, Мегино-Кангаласского, Таттинского районов в связи с повышением уровня воды на реках Суола, Татта, Крестях, Халбы, Тиэрэ вследствие ливневых дождей </t>
  </si>
  <si>
    <t>Указом Президента с 13 июня 2013 года №2102 введен режим ЧС в лесах Региональныйионального характера на всей территории РС (Я).</t>
  </si>
  <si>
    <t>Республики Саха (Якутия)</t>
  </si>
  <si>
    <t>Указом Президента РС (Я) от 29 июня 2013 года №2191 объявлен режим ЧС на территориях Верхоянского, Момского, Оймяконского улусов (районов) Республики Саха (Якутия) введен режим «Чрезвычайная ситуация» Региональныйионального характера, в связи с прохождением дождевого паводка.</t>
  </si>
  <si>
    <t>Распоряжением № 596 от 30 июня 2013г. и.о. 1 заместителя главы МР «Усть-Алданский улус (район)» Е.В. Павлова введен режим «Чрезвычайная ситуация» на территории МО «Баягантайский наслег», «Тит-Арынский наслег», «Бярийинский наслег», «Тюляхский наслег». (подъём уровня воды-сильные и продолжительные дождевые осадки)</t>
  </si>
  <si>
    <t>1.1.5. - 1.1.6. Авиационные и ракетно-космические  катастрофы и аварии в аэропортах, на стартовых площадках и в населенных пунк­тах и вне аэропортов, стартовых площадок и населенных пунктов</t>
  </si>
  <si>
    <t>Со 2 июля 2013 г. распоряжением И.о. главы МО "Усть-Янский район" №321-ОД введен режим ЧС в целях проведения поисково-спасательных работ и ликвидации последствий авиационной катастрофы с в/с Ми-8 б/н 22657 ОАО "Полярные авиалинии"</t>
  </si>
  <si>
    <t>24 и 10</t>
  </si>
  <si>
    <t>4 и 1</t>
  </si>
  <si>
    <t>Распоряжением Главы МО «Оймяконский район» от 23 июля 2013 года №267 введен режим ЧС. Оймяконское звено ЯТПРС ЧС переведено в режим функционирования «ЧРЕЗВЫЧАЙНАЯ СИТУАЦИЯ» в связи с подтоплением п. Усть-Нера и размывом ФАД "Колыма".</t>
  </si>
  <si>
    <t>Распоряжением и.о. Главы МО «Верхоянский район» от 24 июля 2013 года №714-РА введен режим ЧС в связи с подтоплением с. Суордах.</t>
  </si>
  <si>
    <t xml:space="preserve">Распоряжением Главы МР «Амгинский улус (район)» №514 от 01.08.2013г. на территории Амгинского районав связи с прохождением дождевого паводка  введен режим ЧС. </t>
  </si>
  <si>
    <t>Указом Президента РС(Я) №2200/А от 08.08.2013 года на территории 5 районов (Верхоянский, Момский, Оймяконский, Амгинский, Чурапчинский) введен режим «Чрезвычайная ситуация» Региональныйионального характера, в связи с прохождением дождевого паводка.</t>
  </si>
  <si>
    <t>18.08.2013г. в 10 км от г. Томмот, при выполнении показательных выступлений на республиканском фестивале «Бардовская песня», совершил падение самолет Як-52, принадлежащий ДОСААФ РОСТО Алданского отделения. Возгорания воздушного судна нет.</t>
  </si>
  <si>
    <t>техногенный</t>
  </si>
  <si>
    <t xml:space="preserve">Постановлением главы города Удачный от 15.09.2013 года № 90 органы управления силы и средства г. Удачный Мирнинского звена ЯТП РСЧС приведены в режим функционирования «ЧРЕЗВЫЧАЙНАЯ СИТУАЦИЯ». В связи с пожаром в коллекторе совместной прокладки сетей электроснабжения, водопровода, канализации, теплоснабжения, связи и сигнализации постановлением </t>
  </si>
  <si>
    <t>природный</t>
  </si>
  <si>
    <t>В связи со сложной навигационной обстановкой и ухудшением погодных условий и недопоставкой ТЭР и возникновением реальной угрозы безопасности жизни населения Председателем КЧС и ОПБ МО "Аллайховский улус (район)" А.С. Горохов, Распоряжением №2 на территории Аллайховского улуса с 15ч 00 мин 19 сентября 2013 года введен режим ЧС до стабилизации обстановки на территории улуса.</t>
  </si>
  <si>
    <t>В целях недопущения нарушения жизнедеятельности населения, предупреждения ЧС на объектах ЖКХ и социальной напряженности среди населения, связанной с недозавозом котельного топлива, продукции технического назначения, товаров первой необходимости Постановлением №189 от 20 ноября 2013 г., Главой "Абыйский улус (район)" РС (Я) на территории Абыйского улуса с 20 ноября 2013 г. и на основании Решения Правительственной комиссии РС (Я) по предупреждению и ликвидации ЧС и обеспечению пожарной безопасности от 19 ноября 2013 г. № 241 "О дополнительных мерах по бесперебойному функционированию объектов ЖКХ Абыйского района введен режим ЧС до стабилизации обстановки на территории улуса.</t>
  </si>
  <si>
    <t>муниципальный</t>
  </si>
  <si>
    <t>1.1.7. Аварии (катастрофы) на ав-тодорогах (крупные дорожно-транспортные аварии и катастрофы)</t>
  </si>
  <si>
    <t xml:space="preserve">В 02.20 (хбр) 04.02.14 года от  на 1155 км ФАД М-56 «Лена» в 2 км от п.Нижний Бестях произошло столкновение микроавтобуса «Истана» г/н У760КЕ, следовавший из с.Павловск в с.Тюнгюлю по с грузовым автомобилем «МАЗ» г/н А610НЕ, следовавшим в попутном направлении. В результате аварии пострадало 14 чел., из них погибло 3 чел (пассажиры а/м «Истана»). </t>
  </si>
  <si>
    <t>РПГ</t>
  </si>
  <si>
    <t xml:space="preserve">Аллайховский район: В связи со сложной навигационной обстановкой, ухудшением погодных условий, недопоставкой ТЭР и возникновением реальной угрозы безопасности жизни населения Председателем КЧС и ОПБ МО «Аллайховский улус (район)» А.С.Гороховым, на территории Аллайховского улуса с 15ч00мин 19 сентября 2013г введен режим ЧС (Распоряжением №2), до стабилизации обстановки на территории улуса. Распоряжением №4 режим ЧС снят с 25 апреля 2014 года.
Распоряжением председателя КЧС и ОПБ Аллаиховского района Никулина М.Г. №4 от 25.04.2014 г. в связи с завершением завоза ТЭР и стабилизацией обстановки режим «Повышенная готовность» в Аллайховском районе снят.
</t>
  </si>
  <si>
    <t>половодье</t>
  </si>
  <si>
    <t>Указом №2700 от 05.06.2014 г. ВрИО Главы Республики Саха (Якутия) Е.А. Борисова «Об объявлении режима чрезвычайной ситуации на территории Верхнеколымского района РС(Я)», в связи с повышением уровня воды на р. Колыма, Ясачная и затоплением п. Зырянка и с. Верхнеколымск Верхнеколымского района, объявлен режим «Чрезвычайная ситуация» Региональныйионального характера на территории Верхнеколымского района.</t>
  </si>
  <si>
    <t>05.06.2014 г. Указом Президента РС(Я) от 05.06.2014 г. №2700 веден режим ЧС на территории МО «Верхнеколымский район» в связи с повышением уровней воды на реках Колыма и Ясачная, подтопленим н.п. Верхнеколымск и Зырянка</t>
  </si>
  <si>
    <t>лесные пожары</t>
  </si>
  <si>
    <t>Введен режим «Чрезвычайная ситуация» в лесах муниципального характера действует на территории МР «Ленский район», в соответствии с распоряжением главы от 20.06.2014, в связи со сложной лесопожарной обстановкой.</t>
  </si>
  <si>
    <t xml:space="preserve">22.06.2014 Распоряжением и.о. главы МР «Олекминский район» на территории Олекминского района введен режим ЧС. (снят Распоряжением №710 ВрИО главы от 1.07.2014) </t>
  </si>
  <si>
    <t>Указом Врио Главы РС (Я) Борисова Е.А. «О введении режима чрезвычайной ситуации в лесах Региональныйионального характера на территории Республики Саха (Якутия)» от 15 июля 2014 года №2781, в связи с превышением показателей, определенных Постановлением Правительства Российской Федерации от 17 мая 2011 г., введен режим ЧС в лесах Региональныйионального характера на территории Республики Саха (Якутия).</t>
  </si>
  <si>
    <t xml:space="preserve">Вилюйский район
11.07.2014 Распоряжением №503 главы района объявлен режим ЧС в лесах муниципального характера для органов управления сил и средств звена территориальной подсистемы РСЧС Вилюйского района.
</t>
  </si>
  <si>
    <t>15.06.2014 Распоряжением №990 главы МР Нюрбинского района введен режим ЧС на территории Нюрбинского района.</t>
  </si>
  <si>
    <t>14.07.2017 Распоряжением №425 И.о. главы МР «Сунтарский улус» введен режим ЧС на территории Сунтарского района.</t>
  </si>
  <si>
    <t>паводок</t>
  </si>
  <si>
    <t>Таттинский район: В соответствии с распоряжением ВрИО главы Республики Саха (Якутия) от 11.07.2014 года № 2772, в связи с разрывом плотины водохранилища «Сирэ-Холлогос» и угрозой подтопления населенных пунктов Таттинского и Чурапчинского районов, силы и средства Таттинского звеньев ЯТП РСЧС приведены в режим функционирования «Чрезвычайная ситуация».</t>
  </si>
  <si>
    <t>Чурапчинский район. Распоряжением главы МО «Чурапчинский улус (район)» Ноговицыным А.Т. от 11.07.2014г. №1152 введен режим «Чрезвычайная ситуация» на территории МО «Чурапчинский улус (район)» в связи с разрывом плотины водохранилища «Сирэ-Холлогос» и угрозой подтопления населенных пунктов Чакыр, Дирин, Ожулун, Чурапча, Харбала 1, Харбала 2 и резким повышением уровня воды.</t>
  </si>
  <si>
    <t>Оймяконский район: В связи с размывом автомобильных дорог республиканского значения, дорог между н.п. Оймякон - Томтор - Сордоннох. Распоряжением главы МО «Оймяконский улус (район)» от 30.07.2014 №464 Захаровым М.М. введен режим "Чрезвычайной ситуации" муниципального характера на территории Оймяконского района, для органов управления и сил Оймяконского звена ЯТП РСЧС.</t>
  </si>
  <si>
    <t>В соответствии с ФЗ от 21.12.94. №68-ФЗ "О защите населения и территорий от ЧС природного и техногенного характера", в связи с несанкционированным перекрытием автодороги ОАО "Сургутнефтегаз" Витим-Талакан. Ввести режим Локальный ЧС с 10:00 21.03.15.</t>
  </si>
  <si>
    <t>В 16:00 (хбр) 03.07.2015 в ОДС ФКУ ЦУКС ГУ МЧС России по РС(Я) от диспетчера ВГСЧ постурила информация о том, что в 15:20 в Нерюнгринском районе произошло ДТП при движении из н.п. Улак Амурской обл. в Эльгинский угольный комплекс на территории Нерюнгринского района произошло опрокидывание в кювет с высоты 8-10 м автомобиля УРАЛ-вахтовка на 195 км автодороги Улак-Эльгинский угольный комплекс. В машине находилось 23 человека</t>
  </si>
  <si>
    <t>В соответствии с ФЗ от 21.12.94. №68-ФЗ "О защите населения и территоий от ЧС природного и техногенного характера", рекомендаций Депарамента по лесным отношениям РС(Я) от 06.07.15 №03-26/372, а также складывающейся ситуацией с природными пожарами на территории Мирнинского района ввести режим ЧС с 07.07.15.</t>
  </si>
  <si>
    <t>Постановлением главы МО «Алданский район» №387п от 10.07.2015г. Позднякова С.Н., учитывая резко обострившуюся лесопожарную обстановку, в целях ликвидации чрезвычайной ситуации, связанной с лесными пожарами, с 10 июля 2015г. введен режим «Чрезвычайная ситуация». Постановлением и.о. главы МО «Алданский район» Халиуллина Р.Г. от 21.08.2015г. №430п, в связи со стабилизацией обстановки, и ликвидацией лесных пожаров на территории МО «Алданский район», режим «Чрезвычайная ситуация» снят.</t>
  </si>
  <si>
    <t>дождевой паводок</t>
  </si>
  <si>
    <t>Распоряжением главы МО «Жулейский наслег» №15 от 27.05.2015г, в связи с размывом автодороги Туора-Кюель – Ытык-Кюель в результате дождей, с ухудшением состояния плотин Туора-Кюель, Уьун Эбэ, Тэлэн, введен режим Чрезвычайная ситуация для сил и средств МО «Жулейский наслег».</t>
  </si>
  <si>
    <t>разлив нефтепродуктов</t>
  </si>
  <si>
    <t>Распоряжением главы МО «Поселок Нижнеянск» Г.В.Коровина №60/1-ОД от 21.08.2015г., в целях устранения имеющегося факта разлива нефти на территории МО «Поселок Нижнеянск», введен режим «Чрезвычайная ситуация» для органов управления и сил Нижнеянского звена ЯТП РСЧС.</t>
  </si>
  <si>
    <r>
      <t xml:space="preserve">02.05.2016 г.  вследствие интенсивного таяния снега и обильных осадков резко поднялся уровень воды на р.Чагда, в с. Чагда Кобяйского района в зону подтопления попали 11 домов. Количество эвакуированного населения: 39 в том числе, 14 детей. КРС-34. Лошадей-7. По решению КЧС и ОПБ наслега (протокол от 02.05.2016 г.№4) и распоряжением главы МО «Нижилинский наслег» от 02 мая 2016 года </t>
    </r>
    <r>
      <rPr>
        <i/>
        <sz val="10"/>
        <color theme="1"/>
        <rFont val="Calibri"/>
        <family val="2"/>
        <charset val="204"/>
      </rPr>
      <t>введен режим ЧС муниципального характера</t>
    </r>
    <r>
      <rPr>
        <sz val="10"/>
        <rFont val="Calibri"/>
        <family val="2"/>
        <charset val="204"/>
      </rPr>
      <t>. Распоряжением главы МО «Нижилинский наслег» №10 от 19.05.2016г, в связи со стабилизацией обстановки</t>
    </r>
    <r>
      <rPr>
        <i/>
        <sz val="10"/>
        <color theme="1"/>
        <rFont val="Calibri"/>
        <family val="2"/>
        <charset val="204"/>
      </rPr>
      <t xml:space="preserve"> отменен режим ЧС муниципального характера.</t>
    </r>
  </si>
  <si>
    <t>Поисковые работы (бездорожье спасение жизней)</t>
  </si>
  <si>
    <r>
      <t xml:space="preserve"> 25.05.2016 г.в 14ч20мин из с. Алеко-Кюель на участок «Соянги» выехал вездеход с  тремя коневодами. В данное время на участок «Соянги» они не доехали, последний раз на связь выходили 26.05.2016 г., находясь вблизи озера «Орто-Кюель»,  которая находится 70 км от с. Алеко-Кюель. Расстояние от г. Среднеколымск до с. Алеко-Кюель 160 км воздушным путем. В соответствии  с постановлением Правительства РФ от 17 мая 2011 г. № 376 «О ЧС в лесах, возникших вследствие лесных пожаров», федеральными законами от 21 декабря 1994 г. № 68-ФЗ «О защите населений и территорий от ЧС природного и техногенного характера» в связи с отсутствием дорог по наземной связи, с установлением бездорожья на длительное время и в целях охраны, спасения жизней и здоровья жителей, оказавшихся в трудной ситуации  31.05.2016 г. в 9ч00мин </t>
    </r>
    <r>
      <rPr>
        <i/>
        <sz val="10"/>
        <color theme="1"/>
        <rFont val="Calibri"/>
        <family val="2"/>
        <charset val="204"/>
      </rPr>
      <t>введен режим ЧС</t>
    </r>
    <r>
      <rPr>
        <sz val="10"/>
        <rFont val="Calibri"/>
        <family val="2"/>
        <charset val="204"/>
      </rPr>
      <t xml:space="preserve"> муниципального характера для органов управления и сил Среднеколымского районного звена Якутской территориальной подсистемы Единой государственной системы предупреждения и ликвидации ЧС. Распоряжением главы МО "Кангаласский 1-й наслег" №76-1/Д от 01.06.2016г </t>
    </r>
    <r>
      <rPr>
        <i/>
        <sz val="10"/>
        <color theme="1"/>
        <rFont val="Calibri"/>
        <family val="2"/>
        <charset val="204"/>
      </rPr>
      <t>отменен режим ЧС.</t>
    </r>
  </si>
  <si>
    <t>Поисковые работы</t>
  </si>
  <si>
    <t>пожар</t>
  </si>
  <si>
    <r>
      <t xml:space="preserve">С увеличение площади пожара на Особо Охраняемой Территории Пиродного Парка "Ленские Столбы" и дейстующего более 2 суток, действующие пожары на территории МО "Мальжагарский 5-й наслег"Ю МО "Тумульский наслег", которые при перемене направления ветра, угрожают переходом лесного пожара на жилой сектор в населенные пунктв с. Кытыл-Дюра, с. Тумул, распологаюшиеся в хвойных лесах распоряжение главы Хангаласского района Г.Ю. Алексеев №512-р от 15.06.2016 г. </t>
    </r>
    <r>
      <rPr>
        <i/>
        <sz val="10"/>
        <color theme="1"/>
        <rFont val="Calibri"/>
        <family val="2"/>
        <charset val="204"/>
      </rPr>
      <t>введен режим ЧС</t>
    </r>
    <r>
      <rPr>
        <sz val="10"/>
        <rFont val="Calibri"/>
        <family val="2"/>
        <charset val="204"/>
      </rPr>
      <t xml:space="preserve">. Распоряжение главы Хангаласского района Г.Ю. Алексеев №527-р от 20.06.2016 г. </t>
    </r>
    <r>
      <rPr>
        <i/>
        <sz val="10"/>
        <color theme="1"/>
        <rFont val="Calibri"/>
        <family val="2"/>
        <charset val="204"/>
      </rPr>
      <t>отменен режим ЧС</t>
    </r>
    <r>
      <rPr>
        <sz val="10"/>
        <rFont val="Calibri"/>
        <family val="2"/>
        <charset val="204"/>
      </rPr>
      <t xml:space="preserve"> с 20.06.2016 г.. </t>
    </r>
  </si>
  <si>
    <r>
      <t xml:space="preserve">Распоряжением главы МО «Оймяконский улус (район)» Захаровым М.М. № 378 от 30.06.16 </t>
    </r>
    <r>
      <rPr>
        <i/>
        <sz val="10"/>
        <color theme="1"/>
        <rFont val="Calibri"/>
        <family val="2"/>
        <charset val="204"/>
      </rPr>
      <t xml:space="preserve">введен режим «Чрезвычайной ситуации» </t>
    </r>
    <r>
      <rPr>
        <sz val="10"/>
        <rFont val="Calibri"/>
        <family val="2"/>
        <charset val="204"/>
      </rPr>
      <t>для органов и управления и сил Оймяконского звена ЯТП РСЧС из-за обильных дождей смыт проезд дорожного полотна к мосту «Агаякан».  Распоряжением главы МО «Оймяконский улус (район)» Захаровым М.М. № 460 от 10.08.16</t>
    </r>
    <r>
      <rPr>
        <i/>
        <sz val="10"/>
        <color theme="1"/>
        <rFont val="Calibri"/>
        <family val="2"/>
        <charset val="204"/>
      </rPr>
      <t xml:space="preserve"> отменен режим «Чрезвычайной ситуации»</t>
    </r>
    <r>
      <rPr>
        <sz val="10"/>
        <rFont val="Calibri"/>
        <family val="2"/>
        <charset val="204"/>
      </rPr>
      <t xml:space="preserve"> </t>
    </r>
  </si>
  <si>
    <r>
      <t xml:space="preserve">Распоряжением Главы МР «Хангаласский район» Алексеева Г.Ю. №562-р от 01.07.2016г., в связи с увеличением площади пожара №3 на Особо Охраняемой Территории Природного Парка «Ленские столбы», с 01 июля 2016 г. </t>
    </r>
    <r>
      <rPr>
        <i/>
        <sz val="10"/>
        <rFont val="Calibri"/>
        <family val="2"/>
        <charset val="204"/>
      </rPr>
      <t>введен режим «Чрезвычайная ситуация»</t>
    </r>
    <r>
      <rPr>
        <sz val="10"/>
        <rFont val="Calibri"/>
        <family val="2"/>
        <charset val="204"/>
      </rPr>
      <t xml:space="preserve"> на территории МР «Хангаласский район». Распоряжением главы Г.Ю. Алекеева от 20.07.2016 г. №598-р </t>
    </r>
    <r>
      <rPr>
        <i/>
        <sz val="10"/>
        <rFont val="Calibri"/>
        <family val="2"/>
        <charset val="204"/>
      </rPr>
      <t>отменен режим "Чрезвычайной ситуация"</t>
    </r>
    <r>
      <rPr>
        <sz val="10"/>
        <rFont val="Calibri"/>
        <family val="2"/>
        <charset val="204"/>
      </rPr>
      <t xml:space="preserve"> на территории Хангаласского района с 20.07.2016 г.</t>
    </r>
  </si>
  <si>
    <r>
      <t xml:space="preserve">Распоряжением Главы МО "Суордахский наслег" Ивановым П.Д. №31 от 06.07.2016 г. в связи с повышением уровня воды на р. Дулгалах,  в результате повышенных осадков, а также с превышением критических отметок </t>
    </r>
    <r>
      <rPr>
        <i/>
        <sz val="10"/>
        <color theme="1"/>
        <rFont val="Calibri"/>
        <family val="2"/>
        <charset val="204"/>
      </rPr>
      <t>введен режим «Чрезвычайная ситуация»</t>
    </r>
    <r>
      <rPr>
        <sz val="10"/>
        <rFont val="Calibri"/>
        <family val="2"/>
        <charset val="204"/>
      </rPr>
      <t xml:space="preserve"> с 6 часов утра 6 июля 2016 г. на территории Верхоянского района РС(Я) . Распоряжением главы №32 от 06.07.2016 г. "Суордахский наслег" Иванова П.Д.</t>
    </r>
    <r>
      <rPr>
        <i/>
        <sz val="10"/>
        <color theme="1"/>
        <rFont val="Calibri"/>
        <family val="2"/>
        <charset val="204"/>
      </rPr>
      <t xml:space="preserve"> режим ЧС снят</t>
    </r>
    <r>
      <rPr>
        <sz val="10"/>
        <rFont val="Calibri"/>
        <family val="2"/>
        <charset val="204"/>
      </rPr>
      <t xml:space="preserve"> 06.07.2016 г.</t>
    </r>
  </si>
  <si>
    <r>
      <t xml:space="preserve">Распоряжением и.о. Главы МО "Мирнинский район" Ситнянский Д.А. № 0808 от 06.07.2016 г. в связи со складывающей ситуацией с природными пожарами, и со сложными метеорологическими условиями, с 07.07.2016 г. </t>
    </r>
    <r>
      <rPr>
        <i/>
        <sz val="10"/>
        <color theme="1"/>
        <rFont val="Calibri"/>
        <family val="2"/>
        <charset val="204"/>
      </rPr>
      <t>введен режим ЧС</t>
    </r>
    <r>
      <rPr>
        <sz val="10"/>
        <rFont val="Calibri"/>
        <family val="2"/>
        <charset val="204"/>
      </rPr>
      <t xml:space="preserve"> на территори Мирнинского района. Постановлением №0853 от 19.07.2016 г. и.о Главы администрации Мирнинского района Д.А. Ситнянский </t>
    </r>
    <r>
      <rPr>
        <i/>
        <sz val="10"/>
        <color theme="1"/>
        <rFont val="Calibri"/>
        <family val="2"/>
        <charset val="204"/>
      </rPr>
      <t>отменен режим ЧС</t>
    </r>
    <r>
      <rPr>
        <sz val="10"/>
        <rFont val="Calibri"/>
        <family val="2"/>
        <charset val="204"/>
      </rPr>
      <t xml:space="preserve"> с 19 июля 2016г.</t>
    </r>
  </si>
  <si>
    <t>Техногенный ГТС</t>
  </si>
  <si>
    <r>
      <t xml:space="preserve">С уменьшением уровняв воды на р. Поисковый в п. Депутатский существует вероятность аварийной обстановки, в связи с тем, что воды, ориентировочно, хватит только до февраля месяца 2017 г., в связи с чем, Распоряжением главы МО «п. Депутатский» № 172-ОД от 13.07.16 </t>
    </r>
    <r>
      <rPr>
        <i/>
        <sz val="10"/>
        <color theme="1"/>
        <rFont val="Calibri"/>
        <family val="2"/>
        <charset val="204"/>
      </rPr>
      <t>введен режим «Чрезвычайная ситуация»</t>
    </r>
    <r>
      <rPr>
        <sz val="10"/>
        <rFont val="Calibri"/>
        <family val="2"/>
        <charset val="204"/>
      </rPr>
      <t xml:space="preserve"> на территории МО «п. Депутатский» Усть-Янского улуса, Республики Саха (Якутия).</t>
    </r>
  </si>
  <si>
    <t>Угроза аварии на ГТС</t>
  </si>
  <si>
    <r>
      <t xml:space="preserve">На автодорогах муниципального значения "Черкех - Дая-Амгата", "Ытык-Кюель - Туора-Кюель - Дебдирге", "Харбалах - Чимнаи", "Уолба - Томтор" в связи с двухневными проливными дождями проезда нет. Главой МР "Таттинский улус" Соровым М.М. с 18.05.2016 г. </t>
    </r>
    <r>
      <rPr>
        <i/>
        <sz val="10"/>
        <rFont val="Calibri"/>
        <family val="2"/>
        <charset val="204"/>
      </rPr>
      <t xml:space="preserve">введен режим ЧС </t>
    </r>
    <r>
      <rPr>
        <sz val="10"/>
        <rFont val="Calibri"/>
        <family val="2"/>
        <charset val="204"/>
      </rPr>
      <t xml:space="preserve">для органов управления, сил  и средств Таттинского звена РСЧС. Распоряжением главы МР "Таттинский улус" М.М. Соровым №1006-р от 18.11.16 г. в связи со стабилизацией обстановки и окончанием аварийно-восстановительных работ на автомобильных дорогах муниципального значения </t>
    </r>
    <r>
      <rPr>
        <i/>
        <sz val="10"/>
        <rFont val="Calibri"/>
        <family val="2"/>
        <charset val="204"/>
      </rPr>
      <t>отменен режим ЧС</t>
    </r>
    <r>
      <rPr>
        <sz val="10"/>
        <rFont val="Calibri"/>
        <family val="2"/>
        <charset val="204"/>
      </rPr>
      <t xml:space="preserve"> "Черкех - Дая-Амгата", "Харбалах - Чимнаи",  "Ытык-Кюель - Томтор",  "Ытык-Кюель - Туора-Кюель - Дебдирге" и дамбе р. Баяга в с. Томтор.</t>
    </r>
  </si>
  <si>
    <r>
      <t>Распоряжением Зам.главы МО "Суордахский наслег" Константиновым Нь.М. №38 от 24.07.2016 г. в связи с повышением уровня воды на р. Дулгалах,  в результате повышенных осадков, а также с превышением критических отметок</t>
    </r>
    <r>
      <rPr>
        <i/>
        <sz val="10"/>
        <rFont val="Calibri"/>
        <family val="2"/>
        <charset val="204"/>
      </rPr>
      <t xml:space="preserve"> введен режим «Чрезвычайная ситуация»</t>
    </r>
    <r>
      <rPr>
        <sz val="10"/>
        <rFont val="Calibri"/>
        <family val="2"/>
        <charset val="204"/>
      </rPr>
      <t xml:space="preserve"> на территории Верхоянского района РС(Я). Распоряжением главы № 40 от 27.07.2016 г. "Суордахский наслег" Иванова П.Д. </t>
    </r>
    <r>
      <rPr>
        <i/>
        <sz val="10"/>
        <rFont val="Calibri"/>
        <family val="2"/>
        <charset val="204"/>
      </rPr>
      <t>режим ЧС снят.</t>
    </r>
  </si>
  <si>
    <r>
      <t xml:space="preserve">Постановлением главы Г.Е. Герасимовым от 27.07.2016 года № 735 </t>
    </r>
    <r>
      <rPr>
        <i/>
        <sz val="10"/>
        <color theme="1"/>
        <rFont val="Calibri"/>
        <family val="2"/>
        <charset val="204"/>
      </rPr>
      <t>введен режим "Чрезвычайная ситуация"</t>
    </r>
    <r>
      <rPr>
        <sz val="10"/>
        <rFont val="Calibri"/>
        <family val="2"/>
        <charset val="204"/>
      </rPr>
      <t xml:space="preserve"> локального характера для органов управления и сил Томпонского звена Якутской территориальной подсистемы Единой государственной системы предупреждения и ликвидации чрезвычайных ситуаций, в связи с продолжительными ливневыми дождями на РАД "Яна", образовались многочисленные разрушения дорожной инфраструктуры, часть водопроводных труб разрушены, повсеместно наблюдаются подтопления насыпи дорожного полотна. Постановлением главы Г.Е. Герасимовым от 19.10.2016 года № 1134</t>
    </r>
    <r>
      <rPr>
        <i/>
        <sz val="10"/>
        <color theme="1"/>
        <rFont val="Calibri"/>
        <family val="2"/>
        <charset val="204"/>
      </rPr>
      <t xml:space="preserve"> снят режим "Чрезвычайная ситуация"</t>
    </r>
    <r>
      <rPr>
        <sz val="10"/>
        <rFont val="Calibri"/>
        <family val="2"/>
        <charset val="204"/>
      </rPr>
      <t>, в связи со стабилизацией обстановки, сложившейся в результате пролета мостового перехода р. "Менкюлэ" на 72 км автомобильной дороги "Яна" "Колыма"  - Тополиное Томпонского района РС(Я), а также отсутствием угрозы жизнедеятельности населения, в связи с окончанием работ по устройству переправ через р. Менкюлэ  и р. Куранах.</t>
    </r>
  </si>
  <si>
    <r>
      <t xml:space="preserve">Распоряжением главы МО «Соловьевский наслег» Кронниковой М.Ф. № 236/39 от 21.07.2016 г., в связи с обильными осадками, разрывом дорожного полотна и отсутствием наземной связи населенных пунктов села Мырыла, участка Хахыйах с районным центром Чурапча, </t>
    </r>
    <r>
      <rPr>
        <i/>
        <sz val="10"/>
        <color theme="1"/>
        <rFont val="Calibri"/>
        <family val="2"/>
        <charset val="204"/>
      </rPr>
      <t>введен режим «Чрезвычайной ситуации»</t>
    </r>
    <r>
      <rPr>
        <sz val="10"/>
        <color theme="1"/>
        <rFont val="Calibri"/>
        <family val="2"/>
        <charset val="204"/>
      </rPr>
      <t xml:space="preserve"> на территории МО «Соловьевского наслега» Чурапчинского района. Распоряжением главы МО «Соловьевский наслег» Кронниковой М.Ф. № 60 от 30.09.2016, в связи с благоприятными условиями и ремонтом автомобильной дороги села Мырыла, участка Хахыйах, села Мындагай и установлением связи с районным центром с. Чурапча, </t>
    </r>
    <r>
      <rPr>
        <i/>
        <sz val="10"/>
        <color theme="1"/>
        <rFont val="Calibri"/>
        <family val="2"/>
        <charset val="204"/>
      </rPr>
      <t>снят режим «Чрезвычайная ситуация»</t>
    </r>
    <r>
      <rPr>
        <sz val="10"/>
        <color theme="1"/>
        <rFont val="Calibri"/>
        <family val="2"/>
        <charset val="204"/>
      </rPr>
      <t xml:space="preserve"> на территории МО «Соловьевского наслега» Чурапчинского района.</t>
    </r>
  </si>
  <si>
    <r>
      <rPr>
        <i/>
        <sz val="10"/>
        <color theme="1"/>
        <rFont val="Calibri"/>
        <family val="2"/>
        <charset val="204"/>
      </rPr>
      <t>Распоряжением главы МР «Хангаласский улус»</t>
    </r>
    <r>
      <rPr>
        <sz val="10"/>
        <color theme="1"/>
        <rFont val="Calibri"/>
        <family val="2"/>
        <charset val="204"/>
      </rPr>
      <t xml:space="preserve"> Алексеев Г.Ю. № 626-р от 01.08.2016 г. в связи с подъемом уровня воды на р.Лена из-за обильных осадков на верховьях р.Лена, с подтоплением более 1036 гектаров сельскохозяйственных угодий и более 906 тонн заготовленного сена на пойменных и островных участках, в целях минимизации нанесения ущерба сенозаготовителям паводковыми водами и недопущения гибели людей, скота, лошадей на водном объекте </t>
    </r>
    <r>
      <rPr>
        <i/>
        <sz val="10"/>
        <color theme="1"/>
        <rFont val="Calibri"/>
        <family val="2"/>
        <charset val="204"/>
      </rPr>
      <t>введен режим «Чрезвычайной ситуации».</t>
    </r>
    <r>
      <rPr>
        <sz val="10"/>
        <color theme="1"/>
        <rFont val="Calibri"/>
        <family val="2"/>
        <charset val="204"/>
      </rPr>
      <t xml:space="preserve"> </t>
    </r>
    <r>
      <rPr>
        <i/>
        <sz val="10"/>
        <color theme="1"/>
        <rFont val="Calibri"/>
        <family val="2"/>
        <charset val="204"/>
      </rPr>
      <t>Распоряжением главы МР «Хангаласский улус»</t>
    </r>
    <r>
      <rPr>
        <sz val="10"/>
        <color theme="1"/>
        <rFont val="Calibri"/>
        <family val="2"/>
        <charset val="204"/>
      </rPr>
      <t xml:space="preserve"> Алексеевым Г.Ю.от 12.08.2016г. №653-р</t>
    </r>
    <r>
      <rPr>
        <i/>
        <sz val="10"/>
        <color theme="1"/>
        <rFont val="Calibri"/>
        <family val="2"/>
        <charset val="204"/>
      </rPr>
      <t xml:space="preserve"> снят режим «Чрезвычайная ситуация». </t>
    </r>
  </si>
  <si>
    <r>
      <t xml:space="preserve">Распоряжением главы МР </t>
    </r>
    <r>
      <rPr>
        <i/>
        <sz val="10"/>
        <color theme="1"/>
        <rFont val="Calibri"/>
        <family val="2"/>
        <charset val="204"/>
      </rPr>
      <t xml:space="preserve">«Намский улус» </t>
    </r>
    <r>
      <rPr>
        <sz val="10"/>
        <color theme="1"/>
        <rFont val="Calibri"/>
        <family val="2"/>
        <charset val="204"/>
      </rPr>
      <t>Атласовым А. П. № 688-р от 02.08.2016 г. в связи с подъемом уровня воды на р.Лена из-за обильных осадков на верховьях р.Лена, с подтоплением более 755 гектаров сельскохозяйственных угодий и более 185 тонн заготовленного сена на пойменных и островных участках, в целях минимизации нанесения ущерба сенозаготовителями, летне-осенними паводковыми водами и недопущения гибели людей, скота, лошадей на водном объекте</t>
    </r>
    <r>
      <rPr>
        <i/>
        <sz val="10"/>
        <color theme="1"/>
        <rFont val="Calibri"/>
        <family val="2"/>
        <charset val="204"/>
      </rPr>
      <t xml:space="preserve"> введен режим «Чрезвычайной ситуации». Распоряжением главы МР «Намский улус» </t>
    </r>
    <r>
      <rPr>
        <sz val="10"/>
        <color theme="1"/>
        <rFont val="Calibri"/>
        <family val="2"/>
        <charset val="204"/>
      </rPr>
      <t xml:space="preserve">Атласовым А. П. № 703-р от 09.08.2016 г. </t>
    </r>
    <r>
      <rPr>
        <i/>
        <sz val="10"/>
        <color theme="1"/>
        <rFont val="Calibri"/>
        <family val="2"/>
        <charset val="204"/>
      </rPr>
      <t>отменен режим «Чрезвычайной ситуации».</t>
    </r>
  </si>
  <si>
    <t>В связи с отсутствием проезда по Федеральной автодороге «Колыма» указом Главы Республики Саха (Якутия) №1346 от 29.07.2016 года, на территории Оймяконского и Томпонского районов действует режим функционирования «ЧРЕЗВЫЧАЙНАЯ СИТУАЦИЯ» Региональныйионального характера. Указом Главы Республики Саха (Якутия) от 10.08.2016 № 1359, в связи со стабилизацией обстановки, сложившейся в результате обильных осадков и подъема уровня воды на р. Эльга снят режим «ЧРЕЗВЫЧАЙНАЯ СИТУАЦИЯ» Региональныйионального характера.</t>
  </si>
  <si>
    <t>Оймяконский муниципальный район, Томпонский муниципальный район</t>
  </si>
  <si>
    <r>
      <t>Постановлением главы МР</t>
    </r>
    <r>
      <rPr>
        <i/>
        <sz val="10"/>
        <color rgb="FF000000"/>
        <rFont val="Calibri"/>
        <family val="2"/>
        <charset val="204"/>
      </rPr>
      <t xml:space="preserve"> «Усть-Майского улуса»</t>
    </r>
    <r>
      <rPr>
        <sz val="10"/>
        <color rgb="FF000000"/>
        <rFont val="Calibri"/>
        <family val="2"/>
        <charset val="204"/>
      </rPr>
      <t xml:space="preserve"> Боярским Ю.Н. № 418/1-п от 01.08.2016 г. в связи с обильным выпадением осадков, поднятия уровня воды на реках Алдан, Нотора, Аллах-Юнь, Мая, Мокуя, повлекшая за собой затопление сельскохозяйственных угодий более 500 га, размыв дорожного полотна республиканской дороги «Амга» на участке Эльдикан – Солнечный – Югоренок, муниципальной дороги «Подъезд к поселку Звездочка», в целях сохранения поголовья скота и лошадей в период зимовки, восстановление поврежденных участков автомобильных дорог </t>
    </r>
    <r>
      <rPr>
        <i/>
        <sz val="10"/>
        <color rgb="FF000000"/>
        <rFont val="Calibri"/>
        <family val="2"/>
        <charset val="204"/>
      </rPr>
      <t xml:space="preserve">введен режим «Чрезвычайная ситуация». </t>
    </r>
    <r>
      <rPr>
        <sz val="10"/>
        <color rgb="FF000000"/>
        <rFont val="Calibri"/>
        <family val="2"/>
        <charset val="204"/>
      </rPr>
      <t xml:space="preserve">Постановлением главы МР </t>
    </r>
    <r>
      <rPr>
        <i/>
        <sz val="10"/>
        <color rgb="FF000000"/>
        <rFont val="Calibri"/>
        <family val="2"/>
        <charset val="204"/>
      </rPr>
      <t xml:space="preserve">«Усть-Майского улуса» </t>
    </r>
    <r>
      <rPr>
        <sz val="10"/>
        <color rgb="FF000000"/>
        <rFont val="Calibri"/>
        <family val="2"/>
        <charset val="204"/>
      </rPr>
      <t xml:space="preserve">Боярским Ю.Н. № 450-п от 19.08.2016 г. </t>
    </r>
    <r>
      <rPr>
        <i/>
        <sz val="10"/>
        <color rgb="FF000000"/>
        <rFont val="Calibri"/>
        <family val="2"/>
        <charset val="204"/>
      </rPr>
      <t xml:space="preserve">отменен режим«Чрезвычайная ситуация». </t>
    </r>
  </si>
  <si>
    <r>
      <t>Постановлением главы</t>
    </r>
    <r>
      <rPr>
        <i/>
        <sz val="10"/>
        <color theme="1"/>
        <rFont val="Calibri"/>
        <family val="2"/>
        <charset val="204"/>
      </rPr>
      <t xml:space="preserve"> МР «Томпонский район»</t>
    </r>
    <r>
      <rPr>
        <sz val="10"/>
        <color theme="1"/>
        <rFont val="Calibri"/>
        <family val="2"/>
        <charset val="204"/>
      </rPr>
      <t xml:space="preserve"> Герасимовым Г.Е. № 780 от 05.08.2016 г. в связи длительными и обильными осадками на территории Томпонского района, дождевыми водами подтоплена местность Эбэ-Алаас с. Крест-Хальджай. Всего подтоплено 43 жилых дома, в которых проживает 190 жителей, в том числе 56 детей, </t>
    </r>
    <r>
      <rPr>
        <i/>
        <sz val="10"/>
        <color theme="1"/>
        <rFont val="Calibri"/>
        <family val="2"/>
        <charset val="204"/>
      </rPr>
      <t>введен режим «Чрезвычайной ситуации»</t>
    </r>
    <r>
      <rPr>
        <sz val="10"/>
        <color theme="1"/>
        <rFont val="Calibri"/>
        <family val="2"/>
        <charset val="204"/>
      </rPr>
      <t xml:space="preserve"> локального характера на территории местности Эбэ-Алаас с. Крест-Хальджай Баягантайского наслега Томпонского района. Постановлением главы </t>
    </r>
    <r>
      <rPr>
        <i/>
        <sz val="10"/>
        <color theme="1"/>
        <rFont val="Calibri"/>
        <family val="2"/>
        <charset val="204"/>
      </rPr>
      <t>МР «Томпонский район»</t>
    </r>
    <r>
      <rPr>
        <sz val="10"/>
        <color theme="1"/>
        <rFont val="Calibri"/>
        <family val="2"/>
        <charset val="204"/>
      </rPr>
      <t xml:space="preserve"> Герасимовым Г.Е. № 904 от 02.09.2016 г. </t>
    </r>
    <r>
      <rPr>
        <i/>
        <sz val="10"/>
        <color theme="1"/>
        <rFont val="Calibri"/>
        <family val="2"/>
        <charset val="204"/>
      </rPr>
      <t xml:space="preserve">отменен режим «Чрезвычайной ситуации» </t>
    </r>
  </si>
  <si>
    <r>
      <t xml:space="preserve">Распоряжением главы </t>
    </r>
    <r>
      <rPr>
        <i/>
        <sz val="10"/>
        <color theme="1"/>
        <rFont val="Calibri"/>
        <family val="2"/>
        <charset val="204"/>
      </rPr>
      <t xml:space="preserve">МО «Оймяконский улус» </t>
    </r>
    <r>
      <rPr>
        <sz val="10"/>
        <color theme="1"/>
        <rFont val="Calibri"/>
        <family val="2"/>
        <charset val="204"/>
      </rPr>
      <t xml:space="preserve">Захаровым М.М. №473 от 24.08.2016, в связи с размывом подъезда к мосту через р. Куйдусун, поднятием уровня воды выше нормы на р. Индигирка вследствие обильных осадков и продолжительных ливневых дождей </t>
    </r>
    <r>
      <rPr>
        <i/>
        <sz val="10"/>
        <color theme="1"/>
        <rFont val="Calibri"/>
        <family val="2"/>
        <charset val="204"/>
      </rPr>
      <t>введен режим «Чрезвычайная ситуация». Распоряжением главы МО «Оймяконский улус» Захаровым М.М. №514 от 26.10.2016 отменен режим «Чрезвычайная ситуация».</t>
    </r>
  </si>
  <si>
    <t>неблагоприятные погодные условия</t>
  </si>
  <si>
    <r>
      <t xml:space="preserve">Постановлением главы МО «Поселок Зырянка» Долговым С. А. № 121 от 27.10.2016 в связи с неблагоприятными погодными условиями (обильным снегопадом, сопровождающимся сильным и порывистым ветром до 29 м/с и метелью) </t>
    </r>
    <r>
      <rPr>
        <i/>
        <sz val="10"/>
        <color rgb="FF000000"/>
        <rFont val="Calibri"/>
        <family val="2"/>
        <charset val="204"/>
      </rPr>
      <t xml:space="preserve">введен режим «Чрезвычайная ситуация» </t>
    </r>
    <r>
      <rPr>
        <sz val="10"/>
        <color rgb="FF000000"/>
        <rFont val="Calibri"/>
        <family val="2"/>
        <charset val="204"/>
      </rPr>
      <t>муниципального характера на территории МО</t>
    </r>
    <r>
      <rPr>
        <i/>
        <sz val="10"/>
        <color rgb="FF000000"/>
        <rFont val="Calibri"/>
        <family val="2"/>
        <charset val="204"/>
      </rPr>
      <t xml:space="preserve"> </t>
    </r>
    <r>
      <rPr>
        <sz val="10"/>
        <color rgb="FF000000"/>
        <rFont val="Calibri"/>
        <family val="2"/>
        <charset val="204"/>
      </rPr>
      <t xml:space="preserve">«Поселок Зырянка» Верхнеколымский район. Постановлением главы МО «Поселок Зырянка» Долговым С. А. № 124 от 30.10.2016 в связи с прекращением неблагоприятных погодных условий (обильным снегопадом, сопровождающимся сильным и порывистым ветром до 29 м/с и метелью) </t>
    </r>
    <r>
      <rPr>
        <i/>
        <sz val="10"/>
        <color rgb="FF000000"/>
        <rFont val="Calibri"/>
        <family val="2"/>
        <charset val="204"/>
      </rPr>
      <t>отменен режим «Чрезвычайная ситуация»</t>
    </r>
    <r>
      <rPr>
        <sz val="10"/>
        <color rgb="FF000000"/>
        <rFont val="Calibri"/>
        <family val="2"/>
        <charset val="204"/>
      </rPr>
      <t xml:space="preserve"> муниципального характера на территории МО «Поселок Зырянка» Верхнеколымский район. </t>
    </r>
  </si>
  <si>
    <r>
      <t>Постановлением главы</t>
    </r>
    <r>
      <rPr>
        <i/>
        <sz val="10"/>
        <color theme="1"/>
        <rFont val="Calibri"/>
        <family val="2"/>
        <charset val="204"/>
      </rPr>
      <t xml:space="preserve"> МО «Майорский национальный наслег»</t>
    </r>
    <r>
      <rPr>
        <sz val="10"/>
        <color theme="1"/>
        <rFont val="Calibri"/>
        <family val="2"/>
        <charset val="204"/>
      </rPr>
      <t xml:space="preserve"> Никулиным М.Г.  № 207 от 21.10.2016, в связи с обильными мокрыми снегопадами в конце сентября и до середины октября 2016 года, на основании протокола № 3 от 20.10.2016 года улусного оперативного штаба по организации зимовке лошадей и оленей в Абыйском районе с 21.10.2016 </t>
    </r>
    <r>
      <rPr>
        <i/>
        <sz val="10"/>
        <color theme="1"/>
        <rFont val="Calibri"/>
        <family val="2"/>
        <charset val="204"/>
      </rPr>
      <t>введен режим «Чрезвычайная ситуация»</t>
    </r>
    <r>
      <rPr>
        <sz val="10"/>
        <color theme="1"/>
        <rFont val="Calibri"/>
        <family val="2"/>
        <charset val="204"/>
      </rPr>
      <t xml:space="preserve"> на территории МО «Майорский национальный наслег». Распоряжением зам. главы МО МО «Майорский национальный наслег» Абыйского района. И.И. Атласовым. №17 от 28.02.2017, </t>
    </r>
    <r>
      <rPr>
        <i/>
        <sz val="10"/>
        <color theme="1"/>
        <rFont val="Calibri"/>
        <family val="2"/>
        <charset val="204"/>
      </rPr>
      <t>перенесен режим «Чрезвычайная ситуация» введеный 25.10.2017 г. на основании распоряжения главы от 26.10.2016 г. №276 на режим «Повышенная готовность»</t>
    </r>
    <r>
      <rPr>
        <sz val="10"/>
        <color theme="1"/>
        <rFont val="Calibri"/>
        <family val="2"/>
        <charset val="204"/>
      </rPr>
      <t xml:space="preserve"> по зимовке скота, лошадей и оленей на территории МО "Майорский национальный наслег" с 28.02.2017 г.</t>
    </r>
  </si>
  <si>
    <r>
      <t>Распоряжением главы МО «Булунский улус (район)» Кудряшевым И.В. №580-р от 19.12.2016, в связи с крушением воздушного судна Ил-18 на территории Булунского района,</t>
    </r>
    <r>
      <rPr>
        <i/>
        <sz val="10"/>
        <color theme="1"/>
        <rFont val="Calibri"/>
        <family val="2"/>
        <charset val="204"/>
      </rPr>
      <t xml:space="preserve"> введен режим «Чрезвычайная ситуация»</t>
    </r>
    <r>
      <rPr>
        <sz val="10"/>
        <color theme="1"/>
        <rFont val="Calibri"/>
        <family val="2"/>
        <charset val="204"/>
      </rPr>
      <t xml:space="preserve"> на территории МО «Булунский улус (район)» Булунского улуса. Распоряжением главы МО «Булунский улус (район)» Кудряшевым И.В. №583-р от 21.12.2016, в связи с завершением аварийно-спасательных работ по спасению 31 пассажира и 7 членов экипажа воздушного судна Ил-18 на территории Булунского района в 30 км северо-западнее от п. Тикси, </t>
    </r>
    <r>
      <rPr>
        <i/>
        <sz val="10"/>
        <color theme="1"/>
        <rFont val="Calibri"/>
        <family val="2"/>
        <charset val="204"/>
      </rPr>
      <t>отменен режим «Чрезвычайная ситуация»</t>
    </r>
    <r>
      <rPr>
        <sz val="10"/>
        <color theme="1"/>
        <rFont val="Calibri"/>
        <family val="2"/>
        <charset val="204"/>
      </rPr>
      <t xml:space="preserve"> на территории МО «Булунский улус (район)» Булунского улуса, и </t>
    </r>
    <r>
      <rPr>
        <i/>
        <sz val="10"/>
        <color theme="1"/>
        <rFont val="Calibri"/>
        <family val="2"/>
        <charset val="204"/>
      </rPr>
      <t xml:space="preserve">введен режим «Повышенная готовность». </t>
    </r>
    <r>
      <rPr>
        <sz val="10"/>
        <color theme="1"/>
        <rFont val="Calibri"/>
        <family val="2"/>
        <charset val="204"/>
      </rPr>
      <t>Распоряжением вр, и, о. главы МО «Булунский улус (район)» Асаевым Н.Н. №590-р от 23.12.2016, в связи с отправко й всех пострадавших в военный клинический госпиталь имени Бурденко г. Москва с 10ч00мин 21.12.2016 г.,</t>
    </r>
    <r>
      <rPr>
        <i/>
        <sz val="10"/>
        <color theme="1"/>
        <rFont val="Calibri"/>
        <family val="2"/>
        <charset val="204"/>
      </rPr>
      <t xml:space="preserve"> отменен режим «Повышенная готовность».</t>
    </r>
  </si>
  <si>
    <r>
      <t>Распоряжением главы МО "Среднеколымский улус (район)" Е.М. Слепцовым №844-а от 27.12.2016 г. , в связи с отсутствием муниципальных дорог (автозимников) и в целях обеспечения жизнедеятельности населения и для обеспечения населенных пунктов ГСМ, ТЭР, продовольстия (продуктами питания), медикаментов, и иных предметов первой необходимости, предупреждения ЧС и минимизации их последствий на территории Среднеколымского района</t>
    </r>
    <r>
      <rPr>
        <i/>
        <sz val="10"/>
        <color theme="1"/>
        <rFont val="Calibri"/>
        <family val="2"/>
        <charset val="204"/>
      </rPr>
      <t xml:space="preserve"> введен режим "Чрезвыйная ситуация".</t>
    </r>
    <r>
      <rPr>
        <sz val="10"/>
        <color theme="1"/>
        <rFont val="Calibri"/>
        <family val="2"/>
        <charset val="204"/>
      </rPr>
      <t xml:space="preserve"> Распоряжением главы МО "Среднеколымский улус (район)" Е.М. Слепцовым №61-а от 13.02.2017 г. , в связи с открытием местных муниципальных дорог (автозимников) </t>
    </r>
    <r>
      <rPr>
        <i/>
        <sz val="10"/>
        <color theme="1"/>
        <rFont val="Calibri"/>
        <family val="2"/>
        <charset val="204"/>
      </rPr>
      <t xml:space="preserve">снят режим "Чрезвыйная ситуация". </t>
    </r>
  </si>
  <si>
    <t>техногенный, траспортный</t>
  </si>
  <si>
    <r>
      <t xml:space="preserve">Распоряжением главы администрации МР "Нижнеколымского района" И.П. Суздаловым, №11 от 14.01.2017 г. в связи с отсутсвием автозимников и в целях обепечения жизнедеятельности насления и для обеспечения населенных пунктов Нижнеколымского района топливно-энергетическими ресурсами, продовольствием, медикаментами и иными предметами первой необходимости, предупреждения ЧС и минимизации их последствий на территории Нижнеколымского района, </t>
    </r>
    <r>
      <rPr>
        <sz val="10"/>
        <color theme="1"/>
        <rFont val="Calibri"/>
        <family val="2"/>
        <charset val="204"/>
      </rPr>
      <t>введен режим ЧС</t>
    </r>
    <r>
      <rPr>
        <sz val="10"/>
        <rFont val="Calibri"/>
        <family val="2"/>
        <charset val="204"/>
      </rPr>
      <t xml:space="preserve"> муниципального характера. Распоряжением главы администрации МР "Нижнеколымского района" И.П. Суздаловым, №15 от 17.01.2017 г. </t>
    </r>
    <r>
      <rPr>
        <sz val="10"/>
        <color theme="1"/>
        <rFont val="Calibri"/>
        <family val="2"/>
        <charset val="204"/>
      </rPr>
      <t>снят режим ЧС и введен режим Повышенная готовность</t>
    </r>
  </si>
  <si>
    <r>
      <t xml:space="preserve">Распоряжением главы администрации МО "Усть-Янского района" Г.Н. Федоровым, №25-ОД от 01.02.2017 г. в связи с реальной угрозой обепечения жизнеобеспечения, связанного с отсутствием траснспортного сообщения по маршруту Усть-Куйга - Дупетатский и Усть-Куйга - Нижнеянск, </t>
    </r>
    <r>
      <rPr>
        <sz val="10"/>
        <color theme="1"/>
        <rFont val="Calibri"/>
        <family val="2"/>
        <charset val="204"/>
      </rPr>
      <t xml:space="preserve">введен режим Чрезвычайная ситуация. </t>
    </r>
    <r>
      <rPr>
        <sz val="10"/>
        <rFont val="Calibri"/>
        <family val="2"/>
        <charset val="204"/>
      </rPr>
      <t>Распоряжением главы администрации МО "Усть-Янского района" Г.Н. Федоровым, №38-ОД от 13.02.2017 г. в связи с наличием траснспортного сообщения по маршруту Усть-Куйга - Дупетатский, а также, созданием неснижаемого десятисуточного запаса топливно-энергентических ресурсов на источнике теплоснабжения с. Сайылык</t>
    </r>
    <r>
      <rPr>
        <sz val="10"/>
        <color theme="1"/>
        <rFont val="Calibri"/>
        <family val="2"/>
        <charset val="204"/>
      </rPr>
      <t xml:space="preserve"> снят режим Чрезвычайная ситуация.</t>
    </r>
  </si>
  <si>
    <r>
      <t xml:space="preserve">Распоряжением главы администрации МО "Среднеколымского района" Е.М. Слепцовым, №62-а от 13.02.2017 г. в связи с отсутствием муниципльной дороги (автозимника), и в целях обеспечения жизнедеятельности населения жителей с. Березовка ГСМ, ТЭР, продовольствием (продуктами питания), медикаментами и иными предметами первой необходимости, предупреждения ЧС  и минимизации их последствий, </t>
    </r>
    <r>
      <rPr>
        <sz val="10"/>
        <color theme="1"/>
        <rFont val="Calibri"/>
        <family val="2"/>
        <charset val="204"/>
      </rPr>
      <t xml:space="preserve">введен режим Чрезвычайная ситуация. </t>
    </r>
    <r>
      <rPr>
        <sz val="10"/>
        <rFont val="Calibri"/>
        <family val="2"/>
        <charset val="204"/>
      </rPr>
      <t xml:space="preserve">Распоряжением и.о главы администрации МО "Среднеколымского района" Р.С. Гаврильевым, №113-а от 10.03.2017 г. </t>
    </r>
    <r>
      <rPr>
        <sz val="10"/>
        <color theme="1"/>
        <rFont val="Calibri"/>
        <family val="2"/>
        <charset val="204"/>
      </rPr>
      <t xml:space="preserve">снят режим Чрезвычайная ситуация. </t>
    </r>
  </si>
  <si>
    <r>
      <t xml:space="preserve">Распоряжением главы администрации МР "Таттинского района" М.М. Соровым, №126/2-р от 17.02.2017 г. в связи с разрушением моста "Туспут куол" на автодороге муниципального значения "Харбалах - Чымнайи", нарушением жизнедеятельности МО "Усть-Амгинский наслег" </t>
    </r>
    <r>
      <rPr>
        <sz val="10"/>
        <color theme="1"/>
        <rFont val="Calibri"/>
        <family val="2"/>
        <charset val="204"/>
      </rPr>
      <t>введен режим Чрезвычайная ситуация</t>
    </r>
    <r>
      <rPr>
        <sz val="10"/>
        <rFont val="Calibri"/>
        <family val="2"/>
        <charset val="204"/>
      </rPr>
      <t xml:space="preserve">. Распоряжением главы администрации МР "Таттинского района" М.М. Соровым, №593-р от 10.05.2017 г. </t>
    </r>
    <r>
      <rPr>
        <sz val="10"/>
        <color theme="1"/>
        <rFont val="Calibri"/>
        <family val="2"/>
        <charset val="204"/>
      </rPr>
      <t>отменен режим Чрезвычайная ситуация.</t>
    </r>
  </si>
  <si>
    <r>
      <t xml:space="preserve">Распоряжением и.о главы администрации МО "Среднеколымского района" Р.С. Гаврильевым, №120-а от 13.03.2017 г. в связи с обильными осадками в виде мокрого снега и выпадением трехмесячной нормы </t>
    </r>
    <r>
      <rPr>
        <sz val="10"/>
        <color theme="1"/>
        <rFont val="Calibri"/>
        <family val="2"/>
        <charset val="204"/>
      </rPr>
      <t xml:space="preserve">введен режим Чрезвычайная ситуация. </t>
    </r>
    <r>
      <rPr>
        <sz val="10"/>
        <rFont val="Calibri"/>
        <family val="2"/>
        <charset val="204"/>
      </rPr>
      <t xml:space="preserve">Распоряжением главы администрации МО "Среднеколымского района" Е.М. Слепцовым, №224/1-а от 24.04.2017 г. в сязи с обеспечением завоза ТЭР, СЗПТ для безперебойного аварийного прохождения отопительного сезона 2017-2018 гг. и стабилизацией обастновки на территории Среднеколымского района </t>
    </r>
    <r>
      <rPr>
        <sz val="10"/>
        <color theme="1"/>
        <rFont val="Calibri"/>
        <family val="2"/>
        <charset val="204"/>
      </rPr>
      <t xml:space="preserve">снят режим Чрезвычайная ситуация. </t>
    </r>
  </si>
  <si>
    <r>
      <t xml:space="preserve">Распоряжением главы администрации МР "Горного района" Н.В. Андреевым, № 488/17 от 28.04.2017 г. в связи с разрушением 27.04.17 г. мостового перехода через р. Бас Урэх на 28 км муниципальной автомобильной дороги " Орто-Сурт-Кептин", в результате несоблюдения ограничения движения на автомобильных дорогах местного значения, установленных Постановлением Главы от 13.04.2017 г. №36\17 "О временнои ограничении движения на автомобильных дорогах местного значения муниципального района "Горный улус" в период возникновения неблагорпиятных условий жизнедеятельности населения с. Кептин, МО "Малтанинский наслег", </t>
    </r>
    <r>
      <rPr>
        <sz val="10"/>
        <color theme="1"/>
        <rFont val="Calibri"/>
        <family val="2"/>
        <charset val="204"/>
      </rPr>
      <t xml:space="preserve">введен режим Чрезвычайная ситуация. </t>
    </r>
    <r>
      <rPr>
        <sz val="10"/>
        <rFont val="Calibri"/>
        <family val="2"/>
        <charset val="204"/>
      </rPr>
      <t>Распоряжением главы администрации МР "Горного района" Н.В. Андреевым, № 515/17 от 05.05.2017 г. в связи с обеспечением временного проезда на разрушенном 27.04.2017 г. мостовом переходе через р. Бас Урэх на 28 км муниципальной автомобильной дороги "Орто-Сурт-Кептин", в результате несоблюдения ограничения движения на автомобильных дорогах местного значения, установленных Постановлением Главы от 13.04.2017 г. №36\17 "О временнои ограничении движения на автомобильных дорогах местного значения муниципального района "Горный улус" в период возникновения неблагорпиятных условий,</t>
    </r>
    <r>
      <rPr>
        <sz val="10"/>
        <color theme="1"/>
        <rFont val="Calibri"/>
        <family val="2"/>
        <charset val="204"/>
      </rPr>
      <t xml:space="preserve"> отменен режим Чрезвычайная ситуация.</t>
    </r>
  </si>
  <si>
    <t>природный гидрология</t>
  </si>
  <si>
    <r>
      <t xml:space="preserve">Распоряжением главы администрации МО "Среднеколымского района" Е.М. Слепцовым, № 292-а от 22.05.2017 г. в связи с уровнем паводковой воды в с. Березовка Среднеколымского района 22.05.17 г. на 10ч00мин местного времени составляет 1107 м(+3 см) за 1 воды, превышает критический уровень на 1000 м. В с. Березовка затоплено 34 дворовых территорий и жилых домов с населением 184 человека, в том числе 59 детей, затоплено 34 жилых домов (вода от 5-30 см, от уровня пола). В пункте временного размещения размещены 66 человек, в том числе 37 детей, остальные размещены по родственникам и знакомым. В зоне затопления оказались 4 социально-значимых объекта: администрация МО, участковая больница, детский сад, клуб, объекты экономики: котельная №1, ДЭС. гараж, склад Якутопторга, АТС. Все дома стоят на сваях с высотой 1,20 см от уровня земли, </t>
    </r>
    <r>
      <rPr>
        <sz val="10"/>
        <color theme="1"/>
        <rFont val="Calibri"/>
        <family val="2"/>
        <charset val="204"/>
      </rPr>
      <t xml:space="preserve">введен режим Чрезвычайная ситуация. </t>
    </r>
    <r>
      <rPr>
        <sz val="10"/>
        <rFont val="Calibri"/>
        <family val="2"/>
        <charset val="204"/>
      </rPr>
      <t xml:space="preserve">Распоряжением главы администрации МО "Среднеколымского района" Е.М. Слепцовым, № 348 от 08.06.2017 г. в связи с понижением уровня воды на реке  Березовка Среднеколымского района и нормализацией паводковой обстановки </t>
    </r>
    <r>
      <rPr>
        <sz val="10"/>
        <color theme="1"/>
        <rFont val="Calibri"/>
        <family val="2"/>
        <charset val="204"/>
      </rPr>
      <t>снять с 08.06.2017 г.  режим Чрезвычайная ситуация.</t>
    </r>
  </si>
  <si>
    <r>
      <t xml:space="preserve">Распоряжением Заместителем главы МО "Усть Янского национального наслега" М.С.Горохова №40-ОД от 01.06.2017 г. в связи со сложившийся обстановкой, связаной с поднятием уровня воды р. Яна выше критической отметки  до 1100 см. и подтоплением 5 жилых домов с. Усть-Янск, введен режим </t>
    </r>
    <r>
      <rPr>
        <sz val="10"/>
        <color theme="1"/>
        <rFont val="Calibri"/>
        <family val="2"/>
        <charset val="204"/>
      </rPr>
      <t xml:space="preserve">Чрезвычайная ситуация. </t>
    </r>
    <r>
      <rPr>
        <sz val="10"/>
        <rFont val="Calibri"/>
        <family val="2"/>
        <charset val="204"/>
      </rPr>
      <t xml:space="preserve">Распоряжением Заместителем главы МО "Усть Янского национального наслега" М.С.Горохова №43-ОД от 04.06.2017г. В связи с снижением уровня воды до безопасной отметки и отсутствием угрозы жизнедеятельности населения </t>
    </r>
    <r>
      <rPr>
        <sz val="10"/>
        <color theme="1"/>
        <rFont val="Calibri"/>
        <family val="2"/>
        <charset val="204"/>
      </rPr>
      <t>снят с 04.06.2017г.режим Чрезвычайная ситуация.</t>
    </r>
  </si>
  <si>
    <t xml:space="preserve"> Усть-Янский муниципальный район</t>
  </si>
  <si>
    <t>Природный пожар</t>
  </si>
  <si>
    <t>Распоряжением Первого заместителя главы МР "Усть-Алданского улуса (района)" С.С. Бурнашевым, № 326 от 05.06.17 г. в связи с установившейся сухой,ветряной и теплой погодой, способствующей росту количества и площадей лесных пожаров, а также с действующим более двух суток лесным пожаром в Сырдахском лесничестве. С 14.00 часов 05.06.17 введен режим Чрезвычайная ситуация. Распоряжением Первого заместителя главы МР "Усть-Алданского улуса (района)" С.С. Бурнашевым, № 331 от 07.06.17 г. в связи с нормализацией лесопожарной обстановки на территории Усть- Алданского улуса (района) отменить с 08.06.17 г. режим Чрезвычайная ситуация.</t>
  </si>
  <si>
    <t xml:space="preserve">природный </t>
  </si>
  <si>
    <t>Распоряжением Первого заместителя главы МО "Оймяконского улуса (района) И.П. Водовозова, № 310 от 06.06.17 г.в связи с размывом подъезда к мосту через р. Куйдусун, отсутствием автотранспортного сообщения между населенными пунктами с .Томтор - с. Орто-Балаган с 06.06.17 г. введен режим Чрезвычайная ситуация. Распоряжением Первого заместителя главы МО "Оймяконского улуса (района) И.П. Водовозова, № 440 от 24.07.17 г.в связи со стабилизацией обстановки связанной с рызмывом подъезда к мосту через р. Куйдусун,  снят режим Чрезвычайная ситуация.</t>
  </si>
  <si>
    <t>Распоряжением Главы МО СП "Уолбутского наслега" Е.Я. Соломонова, №94 от 08.06.17 г. в связи с критическим уровнем воды по состоянию на 08.06.17 г. 18 часов 00 минут местного времени составил 116 см., критический уровень воды 34 см. введен режим Чрезвычайной ситуации  муниципального характера на территории МО СП "Уолбутского наслега". Распоряжением Главы МО СП "Уолбутского наслега" Е.Я. Соломонова, №113 от 30.06.17 г. согласно уровню талой воды в с. Кенг-Кюель Абыйского района по состоянию на 30.06.17 г.  составляет 0 см., при критическом уровне воды 34 см. перенесен режим Чрезвычайной ситуации в режим Повышенная готовность на территории МО СП "Уолбутского наслега" до особого распоряжения. Распоряжением Главы МО СП "Уолбутского наслега" Е.Я. Соломонова, №121 от 03.07.17 г.продлен режим ЧС на территории МО СП "Уолбутского наслега" с 30.06.2017 г.  до полного восстановления ифраструктуры жизнедеятельности с. Кенг-Кюель. Распоряжением Главы МО СП "Уолбутского наслега" Е.Я. Соломонова, №138 от 12.07.17 г. согласно уровню талой воды в с. Кенг-Кюель Абыйского района по состоянию на 12.07.2017 г. составляет 1478 см при критическом уровне воды 1510 см, снят режим ЧС на территории МО СП "Уолбутского наслега" с 12.07.2017 г.</t>
  </si>
  <si>
    <t>Распоряжением Главы МР "Абыйского района" С.Я. Цюхцинский, №347 от 12.06.17 г. введен режим Чрезвычайной ситуации  на территории "Абыйского района". Распоряжением первого зам. главы МР "Абыйского района" В.Н. Слепцовым, №398 от 13.07.17 г. снят режим Чрезвычайной ситуации  на территории "Абыйского района".</t>
  </si>
  <si>
    <t>Распоряжением Главы МО "Саскылахского наслега" Е.И. Лаптева, №207 от 17.06.17 г. в связи с критическим уровнем воды в р.Анабар - Саскылах, в целях организации мероприятий по защите населения и территорий, оперативной локализации и ликвидации  ЧС, введен режим Чрезвычайная ситуация. Распоряжением Главы МО "Саскылахского наслега" Е.И. Лаптева, №212 от 20.06.17 г. в связи с понижением уровнем воды в р.Анабар - Саскылах, составляет 1135 см. при критических 1170 см. снят с 20.06.17 г. режим Чрезвычайная ситуация.</t>
  </si>
  <si>
    <r>
      <rPr>
        <sz val="10"/>
        <rFont val="Calibri"/>
        <family val="2"/>
        <charset val="204"/>
      </rPr>
      <t xml:space="preserve">Распоряжением МО «Алазейский наслег» №69 от 29.06.2017г. в связи с высоким уровнем воды на реке Алазея, подтоплением территории АДЭС с.Аргахтах, дорог и дворовых территорий </t>
    </r>
    <r>
      <rPr>
        <sz val="10"/>
        <color theme="1"/>
        <rFont val="Calibri"/>
        <family val="2"/>
        <charset val="204"/>
      </rPr>
      <t xml:space="preserve">введен режим «Чрезвычайная ситуация». 3. </t>
    </r>
    <r>
      <rPr>
        <sz val="10"/>
        <rFont val="Calibri"/>
        <family val="2"/>
        <charset val="204"/>
      </rPr>
      <t>Распоряжением главы МО «Алазейский наслег» А.Н. Сивцевым от 28.11.207 № 98 в связи с понижением уровня воды на реке Алазея и нармолизацией паводковой обстановки снят режим «Чрезвычайная ситуация».</t>
    </r>
  </si>
  <si>
    <r>
      <t xml:space="preserve">Распоряжением главы администрации МО "Мятисского 2-й наслег" И.Д. Колесовым, № 21 от 23.06.2017 г. в связи с высоким уровнем воды на реке Алазея, подтоплением дорог и дворовых территорий, </t>
    </r>
    <r>
      <rPr>
        <sz val="10"/>
        <color theme="1"/>
        <rFont val="Calibri"/>
        <family val="2"/>
        <charset val="204"/>
      </rPr>
      <t xml:space="preserve">введен режим Чрезвычайная ситуация. на территории населенного пункта с. Сватай. 5. </t>
    </r>
    <r>
      <rPr>
        <sz val="10"/>
        <rFont val="Calibri"/>
        <family val="2"/>
        <charset val="204"/>
      </rPr>
      <t>Распоряжением зам главы МО «Мятинский – 2 наслег» Д.Н. Борисовой от 29.11.2017 №43 в связи с понижением уровня воды на реке Алазея и нормализацией паводковой обстановки снят режим «Чрезвычайная ситуация».</t>
    </r>
  </si>
  <si>
    <t>Распоряжением Главы МО СП "Магурдахского наслега" О.П. Корякина, №06/46 от 04.06.17 г. в связи с подъемом воды с критической отметки с затопленных территорий с. Сыаганнах, введен режим Чрезвычайной ситуации. Распоряжением Главы МО СП "Магурдахского наслега" О.П. Корякина, №06/56 от 03.07.17 г. в связи спадом воды с критической отметки с затопленных территорий с. Сыаганнах, снят режим Чрезвычайной ситуации. Распоряжением Главы МО СП "Магурдахского наслега" О.П. Корякина, №07/59 от 05.07.17 г. продлен режим Чрезвычайная ситуация на территории  МО СП "Магурдахскоий наслег" с 3.07.2017 г. до полного восстановления инфраструктуры жизнедеятельности с. Сыаганнах. Распоряжением Главы МО СП "Магурдахского наслега" О.П. Корякина, №07/61от 12.07.17 г. снят режим Чрезвычайная ситуация на территории  с. Сыаганнах.МО СП "Магурдахскоий наслег" с 12.07.2017 .</t>
  </si>
  <si>
    <t>Распоряжением И.о Главы МО "Намского района" Е.Е. Гоголева, №1270-р от 01.07.17 г. в связи с возникновением крупного лесного пожара №14А на территории МО "Модутский наслег" на площади 1300га (лесная 288га, нелесная  1012га) на 19ч50мин, и лесного пожара №15А на территории "Искровский наслег" на площади 5га (3 лесная, 2 нелесная) введен режим Чрезвычайной ситуации на территории МО Намский район. Распоряжением Главы МО "Намского района" А.П. Атласовым, №1447-р от 25.07.17 г. в связи с тушением лесных пожаров на территории Намского района отменен режим Чрезвычайной ситуации на территории МО Намский район.</t>
  </si>
  <si>
    <t>Распоряжением Главы МО "Усть-Алданского района" А.В. Федотовым, №388 от 01.07.17 г. в связи с установившейся сухой, ветреной и теплой погодой, способствующей росту количества и площадей лесных пожаров, а также в связи с дейсвтующим более трех суток лесным пожаром в Сырдахском и Дюпсюнском лестничествах, введен режим Чрезвычайной ситуации на территории МО Усть-Алданский район. Распоряжением Главы МО "Усть-Алданского района" А.В. Федотовым, №407 от 21.07.17 г. в связи с нормализацией лесопожарной обстановки отменен режим Чрезвычайной ситуации на территории МО Усть-Алданский район.</t>
  </si>
  <si>
    <t>Распоряжением Первого заместителя главы МО "Кобяйского района" С.С. Павловым, №831 от 01.07.17 г. в связи с угрозой лесного пожара селу Батамай МО "Кировский эвенский национальный наслег", для защиты данного населенного пункта, введен режим Чрезвычайной ситуации муниципального характера в с. Батамай МО "Кировский эвенский национальный наслег". Распоряжением заместителя главы МО "Кобяйского района" Ф.Е. Варламовым, №884-р от 13.07.17 г. в связи со снятием угрозы лесного пожара селу Батамай МО "Кировский эвенский национальный наслег" отменен режим Чрезвычайной ситуации муниципального характера в с. Батамай МО "Кировский эвенский национальный наслег".</t>
  </si>
  <si>
    <t>Указом Главы РС(Я) №1989 от 03.07.2017 г. введен режим "Чрезвычайная ситуация" в лесах Региональныйионального характера на территории РС(Я), в связи с наступлением IV-V класса пожарной опасности в лесах, увеличением количества лесных пожаров в результате опасных природных явлений, сухих гроз со слабыми осадками и шкалистым ветром до 25 м/с на территории центральных, заречных и южных районов РС(Я). Указом председателя Главы РС(Я) №285 от 25.08.2017 г. отменен режим "Чрезвычайная ситуация" с 26.08.17 г. в лесах Региональныйионального характера на территории РС(Я), в связи с локализацией лесных пожаров и отсутствием действующих крупных лесных пожаров на охраняемой зоне лесного фонда, снижением до I и II классов пожарной опасности на территории РС(Я).</t>
  </si>
  <si>
    <t>Распоряжением Главы МО "Среднеколымского района" Е.М. Слепцовым, №413-а от 04.07.17 г. в н.п. Сватай подтоплено 71 дворовых территорий, в которых проживают 171 человек, в том числе 29 детей. Из них подтоплены окладники-36 домов, в которых фактически проживают 82 человека из них 13 детей, в том числе подтоплено 3 частных жилых дома, в которых проживают 10 человек, в том числе 3 детей. Также подтоплены дворовые территории 10 объектов экономики, Также  подтоплены дворовые территории  10 объектов экономики, в том числе выше от уровня пола на 13-55 см. 6 объектов (спортзал «Лойут», маслоцех, дом «Арчы», гараж администрации МО, гараж филиала ГУП ЖКХ, насосная котельной). Подтоплены окладники 2 объектов (детсад, участковая больница). Частично подтоплены участки 2 объектов (квартальная котельная,  КЭЦ «Кэскил»). Кроме этого в зоне подтопления оказались улицы с общей протяженностью 3553 метров и два пешеходных моста с протяженностью 69 метров. Теплотрассы протяженностью 717,5м. Полностью на 100% подтоплена «Авиаплощадка».  Передвижение жителей наслега осуществляются на лодках. На 08.00ч. (06.00 якт.) часов уровень воды составил 786 (-1,5) см за сутки. Произведен отгон 103 голов КРС на уч «Байкал».  Всего 63 школьников отправлены в детские лагеря в г.Якутск. Заблаговременно отселены по родственникам 12 человек, из них 3 ребенка.  введен режим Чрезвычайной ситуации на территории МО Намский район. В н.п Аргахтах распоряжением главы наслега от 29 июня 2017 г. № 69  введен режим «Чрезвычайной ситуации». На 08.00ч. (06.00 якт.) уровень воды составил 817см (+8см)  за сутки. На территории населенного пункта частично подтоплено 11 дворовых территорий,  в которых проживают: 52 человек, в том числе 22 детей. Также частично подтоплена территория ДЭС. Отгон КРС произведен по плану. Введен с 04 июля 2017 г. режим ЧС муниципального характера. 5. Распоряжением зам главы МО «Мятинский – 2 наслег» Д.Н. Борисовой от 29.11.2017 №43 в связи с понижением уровня воды на реке Алазея и нормализацией паводковой обстановки снят режим «Чрезвычайная ситуация».</t>
  </si>
  <si>
    <t>Поисковые</t>
  </si>
  <si>
    <r>
      <t xml:space="preserve">Распоряжением главы МО "Кирбейского национального наслега" № 59-р И.Я. Егоровым на основании решения от 03.07.2017 г. по поиску оленевода МУП "Оленекский" Бятинского Е.И. инвалид 3 группы, </t>
    </r>
    <r>
      <rPr>
        <sz val="10"/>
        <color theme="1"/>
        <rFont val="Calibri"/>
        <family val="2"/>
        <charset val="204"/>
      </rPr>
      <t>введен режим "Чрезвычайная ситуация"</t>
    </r>
    <r>
      <rPr>
        <sz val="10"/>
        <rFont val="Calibri"/>
        <family val="2"/>
        <charset val="204"/>
      </rPr>
      <t xml:space="preserve"> в МО  "Кирбейского национального наслега". Распоряжением главы МО "Кирбейского национального наслега" № 67-р И.Я. Егоровым на основании решения от 21.07.2017 г. </t>
    </r>
    <r>
      <rPr>
        <sz val="10"/>
        <color theme="1"/>
        <rFont val="Calibri"/>
        <family val="2"/>
        <charset val="204"/>
      </rPr>
      <t>снят режим "Чрезвычайная ситуация"</t>
    </r>
    <r>
      <rPr>
        <sz val="10"/>
        <rFont val="Calibri"/>
        <family val="2"/>
        <charset val="204"/>
      </rPr>
      <t xml:space="preserve"> в МО  "Кирбейского национального наслега".</t>
    </r>
  </si>
  <si>
    <r>
      <t xml:space="preserve">Распоряжением главы вр. и.о. главы А.А. Титовым от 15.07.2017 г. №75 МО «Жарханский национальный наслег» Олекминского района,в связи с резким повышением уровня р. Чара до отметки 981 см, </t>
    </r>
    <r>
      <rPr>
        <sz val="10"/>
        <color theme="1"/>
        <rFont val="Calibri"/>
        <family val="2"/>
        <charset val="204"/>
      </rPr>
      <t xml:space="preserve">введен режим "Чрезвычайная ситуация".  </t>
    </r>
    <r>
      <rPr>
        <sz val="10"/>
        <rFont val="Calibri"/>
        <family val="2"/>
        <charset val="204"/>
      </rPr>
      <t xml:space="preserve">Распоряжением главы вр. и.о. главы А.А. Титовым от 18.07.2017 г. №80 МО «Жарханский национальный наслег» Олекминского района,в связи с понижением уровня р. Чара до отметки 708 см при критическом 903 см, </t>
    </r>
    <r>
      <rPr>
        <sz val="10"/>
        <color theme="1"/>
        <rFont val="Calibri"/>
        <family val="2"/>
        <charset val="204"/>
      </rPr>
      <t xml:space="preserve">снят режим "Чрезвычайная ситуация".  </t>
    </r>
  </si>
  <si>
    <r>
      <t>Распоряжением главы вр. и.о. главы Малешевой Л.В. от 24.07.2017 г. №35 МО «Чаринский национальный наслег» Олекминского района,в связи со стабилизацией паводковой обстановки отменен</t>
    </r>
    <r>
      <rPr>
        <sz val="10"/>
        <color theme="1"/>
        <rFont val="Calibri"/>
        <family val="2"/>
        <charset val="204"/>
      </rPr>
      <t xml:space="preserve"> режим "Чрезвычайная ситуация". </t>
    </r>
  </si>
  <si>
    <t>Распоряжением главой  МР "Усть-Майского района" Ю.Н. Боярской  №452-п от 15.07.17 г. в следсвтии лесных пожаров  введен режим Чрезвычайной ситуации на территории Усть-Майского района. Распоряжением главой  МР "Усть-Майского района" Ю.Н. Боярской  №484-п от 20.07.17 г. в связи со стабилизацией лесопажарной обстановки, установлением I-II класса пожарной опасности леса, ликвидации лесного пожара №6А, локализации лесного пожара №2А снят режим Чрезвычайной ситуации на территории Усть-Майского района.</t>
  </si>
  <si>
    <t xml:space="preserve">Распоряжением главой  МР "Усть-Майского района" Ю.Н. Боярской  №478-п от 17.07.17 г. в связи с выпадением осадков в горной части Усть-Майского района, выходом из беРегиональныйов горных ручьев, произошли размывы дорожного полотна в автомобильной дороге "Амга" на участке Солнечный-Югоренок, в результате чего разрушен мост через ручей Домбра, объезд отсутствует. В связи с этим прекращено транспортное сообщение до п. Югоренок, прекращен подвоз продуктов питания и предметов первой необходимости. Срываются сроки по завозу угля и золотодобычи в п. Югоренок. Введен режим Чрезвычайной ситуации на территории Усть-Майского района. Распоряжением главой  МР "Усть-Майского района" Ю.Н. Боярской  №506-п от 02.08.17 г. в связи с падением уровней воды на горных речках восстановлением транспортного сообщения и мостового перехода через ручей Домбра, отменен режим Чрезвычайной ситуации на территории Усть-Майского района. </t>
  </si>
  <si>
    <t>Распоряжением и.о. главы МО Октемского наслега "Хангаласского района" А.И. Максимовым  №120-о от 21.07.17 г. в связи с резким подъемом уровня воды на р. Лена, размывом дамюы на Кемюк-Юрях и угрозой подтопления жилых домов введен режим Чрезвычайной ситуации на территории МО Октемский наслег Хангаласского района района. Распоряжением и.о. главы МО Октемского наслега "Хангаласского района" А.И. Максимовым  №129-о от 28.07.17 г. в связи со стабилизацией обстановки, повсеместным снижением уровней воды в населенных пунктах Хангалаского района отменен режим Чрезвычайной ситуации на территории МО Октемский наслег.</t>
  </si>
  <si>
    <t>Распоряжением главой  МР "Вилюйского района" С.Н. Винокуровым  №14-07 от 03.07.17 г. в связи с установлением V класса пожаропасности лесов на территории Вилюйского раойна введен режим Чрезвычайной ситуации на территории Вилюйского района. Распоряжением И.О. главы  МР "Вилюйского района" А.А. Лобашевым  №737 от 28.08.17 г. на основании решения КЧС и ПБ от 28.08.17 г. №14-34 "Об отмене режима чрезвычайной ситуации муниципального характера в лесах, возникшего вследствие лесных пожаров на территории МР "Вилюйский улус (район)" для органов управления сил и средств территориальной подсистемы РСЧМ Вилюйского района отменен режим Чрезвычайной ситуации на территории Вилюйского района с 28.08.17 г.</t>
  </si>
  <si>
    <t>Распоряжением зам. главы  МО "Кобяйского района" Ф.Е. Варламовым  №841-р от 04.07.17 г. в связи с установлением IV-V класса пожаропасности лесов, роста количества лесных пожаров в результате опасных природных явлений введен режим Чрезвычайной ситуации на территории Кобяйского района. Распоряжением зам. главы  МО "Кобяйского района" С.С. Павловым  №1060-р от 29.08.17 г. в связи со снятием угрозы лесных пожаров на территории МО "Кобяйский район" отменен режим Чрезвычайной ситуации  с 29.08.17 г. на территории Кобяйского района.</t>
  </si>
  <si>
    <t xml:space="preserve">Распоряжением и.о. главы "Хангаласского района" И.О. Ноговицыным №2035-р от 27.07.17 г. в связи с низким травостоем на сенокосных угодьях и пастбищах, обусловленной атмосферной засухой, со срывом работы сенокосных компаний прохождением летнего паводка на территории района, с подтоплением сельскохозяйственных угодий на пойменных и островных участках более 3264,78 га, в целях недопущения падения скота и лошадей на территории Хангаласского района, введен режим Чрезвычайной ситуации на территории МР Хангаласского района. Распоряжением 1-й зам. главы "Хангаласского района" Ф.А. Ноговицыным №2096-р от 08.08.17 г. в связи со стабилизацией уровня воды на р. Лена, и спадом с сельскохозяйственных угодий на территории Хангаласского района отменен режим Чрезвычайной ситуации на территории Хангаласского района. </t>
  </si>
  <si>
    <t>Засуха</t>
  </si>
  <si>
    <t xml:space="preserve">Распоряжением главы НЮ МО "Олеринский суктул" Р.Г. Макаровым №47 от 02.08.17 г. в связи с продолжением повышения уровня воды на р. Алазея и прогнозированием формарования максимального уровня в первой пятидневке августа, в целях обеспечения безопачности жизнедеятельности населения, продоволствием, медикаментами и иными предметами первой необходимости, введен режим Чрезвычайной ситуации на территории НЮ МО "Олеринский суктул" Нижнеколымского района. Распоряжением зам. главы НЮ МО "Олеринский суктул" М.Г. Слепцовым №51 от 29.08.17 г. в связи с понижением уровня воды на р. Алазея, снят режим Чрезвычайной ситуации на территории НЮ МО "Олеринский суктул" Нижнеколымского района. </t>
  </si>
  <si>
    <t xml:space="preserve">Распоряжением зам. главы  МР "Нюрбинского района" Л.С. Ким  №2555 от 04.08.17 г. в связи с действующими крупынми лесными пожарами на территории Нюрбинского района, высоким IV классом пожаропасности лесов на территории района, сложной оперативной пожарной обстановкой  введен режим Чрезвычайной ситуации на территории Нюрбинского района. Распоряжением и.о. главы  МР "Нюрбинского района" П.Ю. Алексеевым  №2686 от 18.08.17 г. в связи со стабилизацией лесопожарной обстановки, снижением класса пожарной опасности в лесах отменен с 21.08.17 г. режим Чрезвычайной ситуации на территории Нюрбинского района. </t>
  </si>
  <si>
    <t>Указом Главы РС(Я) №2053 от 01.08.2017 г. в связи с со сложной паводковой ситуацией в северных районах республики, а также подтоплением сс. Березовка, Аргахтах, Сватай Среднколымского района, в целях недопущения ущерба здоровью людей, окружающей среде, значительных материальных потерь, и нарушения условий жизнедеятельности людей введен режим "Чрезвычайная ситуация" межмуниципального характера. Указом Главы РС(Я) от 04.12.2017 №2257 в связи со стабилизацией паводковой ситуации и ликвидацией последствий стихийных бедствий на территории муниципального образования "Среднеколымский улус (район)", сложившейся в результате негативного воздействия паводковых вод снят режим "Чрезвычайная ситуация"</t>
  </si>
  <si>
    <t>Распоряжением главы  МО "Быраканского наслега" В.Е. Ымычанова №31-р от 04.08.17 г. в связи с возникновением лесного пожара на местности Чаалбыкы  в 6-7 км, Бэс куолэ в 4-5 км на территории муниципального образования "Быраканский наслег", угрожающему при дальнейшем распространении введен режим Чрезвычайной ситуации. Распоряжением главы  МО "Быраканского наслега" В.Е. Ымычанова №34-р от 22.08.17 г. в связи с ликвидацией лесного пожара №13 АЗК на территории МО "Быраканский наслег" снят режим Чрезвычайной ситуации.</t>
  </si>
  <si>
    <t>Техногенный</t>
  </si>
  <si>
    <t>Постановлением и.о главы  МО "Город Мирный" Мирнинского района С.Ю. Медведевым №1316 от 05.08.17 г. в связи с проведением неотложных аварийно-спасательных работ по эвакуации персонала на объекте градообразующего предприятия рудник "Мир" АК "АЛРОСА" (ПАО) введен режим Чрезвычайной ситуации на территории г. Мирного с 05.08.17 г. Постановлением и.о главы  МО "Город Мирный" Мирнинского района С.Ю. Медведевым №1390 от 30.08.17 г. в связи с окончанием аварийно-спасательных работ на руднике "Мир" АК "АЛРОСА" (ПАО), а также рекомендациями ГУ МЧС России по РС(Я), отменен  с 31.08.17 г режим Чрезвычайной ситуации на территории г. Мирного.</t>
  </si>
  <si>
    <t>Распоряжением И.о Главы МО "Намского района" М.В. Обутовой, №1501-р от 06.08.17 г. в связи с лесным пожаром 26А и недопущения нибели людей введен режим Чрезвычайной ситуации на территории МО Намский район. Распоряжением и.о Главы МО "Намского района" И.И. Сивцевой, №1649-р от 02.08.17 г. в связи с тушением лесного пожара 26А на территории Намского района отменен режим Чрезвычайной ситуации на территории МО Намский район.</t>
  </si>
  <si>
    <t>Технегенный пожар</t>
  </si>
  <si>
    <t xml:space="preserve">Распоряжением главы "Хангаласского района" Г.Ю. Алексеевым №2146-р от 21.08.17 г. в связи с происшедшим пожаром 17.08.17 г. на объекте МБ ДОУ "Звездочка", повлекшим материальный ущерб, повреждение кровли и стен здания детского образовательного учреждения, введен режим Чрезвычайной ситуации локального характера для  МБ ДОУ №3 "Звездочка" с 21.08.17 г. Распоряжением 1-м зам. главы "Хангаласского района" Ф.А. Ноговицыным №2249-р от 15.09.17 г. в связи с завершением аварийно-восстановительных работ, отменен режим Чрезвычайной ситуации локального характера для  МБ ДОУ №3 "Звездочка" с 14.09.17 г. </t>
  </si>
  <si>
    <t xml:space="preserve">Распоряжением зам. главы МО "Эгинского наслега" А.А. Терехов №40 от 12.09.17 г. в связи с массовой пропажей людей/2-х и более человек/ введен режим Чрезвычайной ситуации муниципального характера на территории МО "Эгинский наслег" Верхоянского района с 12.09.17 г. Распоряжением зам. главы МО "Эгинского наслега" А.А. Терехов №43 от 27.09.17 г. в связи с окончанием активной фазы поисковых работ снят режим Чрезвычайной ситуации муниципального характера на территории МО "Эгинский наслег" Верхоянского района с 27.09.17 г. </t>
  </si>
  <si>
    <r>
      <t>Распоряжением и. о. главы МО "Ленского района" В.И. Лукьянцевым №01-04-1153117 от 14.09.17 г. в связи со срывом отопительного сезона, возникшим на территории одного поселения Ленского района в с. Ярославский</t>
    </r>
    <r>
      <rPr>
        <sz val="10"/>
        <color theme="1"/>
        <rFont val="Calibri"/>
        <family val="2"/>
        <charset val="204"/>
      </rPr>
      <t xml:space="preserve"> введен режим Чрезвычайной ситуации</t>
    </r>
    <r>
      <rPr>
        <sz val="10"/>
        <rFont val="Calibri"/>
        <family val="2"/>
        <charset val="204"/>
      </rPr>
      <t xml:space="preserve"> локального характера на территории с. Ярославский Ленского района с 14.09.17 г. Распоряжением и. о. главы МО "Ленского района" С.О. Семчук № 01-04-1470-7 от 20.11.17 г. в связи с устранением возникновения чрезвычайной ситуации, связанной с нарушением условий жизнедеятельности населения с. Ярославский </t>
    </r>
    <r>
      <rPr>
        <sz val="10"/>
        <color theme="1"/>
        <rFont val="Calibri"/>
        <family val="2"/>
        <charset val="204"/>
      </rPr>
      <t>снят режим Чрезвычайной ситуации</t>
    </r>
    <r>
      <rPr>
        <sz val="10"/>
        <rFont val="Calibri"/>
        <family val="2"/>
        <charset val="204"/>
      </rPr>
      <t xml:space="preserve"> локального характера на территории с. Ярославский Ленского района с 17.11.17 г. </t>
    </r>
  </si>
  <si>
    <r>
      <t>Распоряжением главы МО "Чапчылганский наслег" Г.Ю. Бродниковым №104 от 29.09.17 г. в связи с разливом нефтепродуктов (дизтопливо)</t>
    </r>
    <r>
      <rPr>
        <sz val="10"/>
        <color theme="1"/>
        <rFont val="Calibri"/>
        <family val="2"/>
        <charset val="204"/>
      </rPr>
      <t xml:space="preserve"> введен режим Чрезвычайной ситуации</t>
    </r>
    <r>
      <rPr>
        <sz val="10"/>
        <rFont val="Calibri"/>
        <family val="2"/>
        <charset val="204"/>
      </rPr>
      <t xml:space="preserve"> локального характера на территории МО ""Чапчылганский наслег" Амгинского района. Распоряжением главы МО "Чапчылганский наслег" Г.Ю. Бродниковым №105 от 02.10.17 г. в связи с ливкидацией причин возникновения ЧС </t>
    </r>
    <r>
      <rPr>
        <sz val="10"/>
        <color theme="1"/>
        <rFont val="Calibri"/>
        <family val="2"/>
        <charset val="204"/>
      </rPr>
      <t>снят режим Чрезвычайной ситуации</t>
    </r>
    <r>
      <rPr>
        <sz val="10"/>
        <rFont val="Calibri"/>
        <family val="2"/>
        <charset val="204"/>
      </rPr>
      <t xml:space="preserve"> локального характера на территории МО "Чапчылганский наслег" Амгинского района.</t>
    </r>
  </si>
  <si>
    <t>Природный</t>
  </si>
  <si>
    <r>
      <t xml:space="preserve">Распоряжением главы МО «Дайа-Амгинский наслег», Таттинского района П.Д. Петровым №48 от 29.09.17 г. в связи с  размывом автодороги муниципального значения МР «Таттинский улус» </t>
    </r>
    <r>
      <rPr>
        <sz val="10"/>
        <color theme="1"/>
        <rFont val="Calibri"/>
        <family val="2"/>
        <charset val="204"/>
      </rPr>
      <t xml:space="preserve"> введен режим Чрезвычайной ситуации </t>
    </r>
    <r>
      <rPr>
        <sz val="10"/>
        <rFont val="Calibri"/>
        <family val="2"/>
        <charset val="204"/>
      </rPr>
      <t xml:space="preserve">на территории МО «Дайа-Амгинский наслег», Таттинского района. Распоряжением главы МО «Дайа-Амгинский наслег», Таттинского района П.Д. Петровым №50-р от 17.10.17 г. в связи с  ремонтом автодороги Черхех-Дайа-Амгата </t>
    </r>
    <r>
      <rPr>
        <sz val="10"/>
        <color theme="1"/>
        <rFont val="Calibri"/>
        <family val="2"/>
        <charset val="204"/>
      </rPr>
      <t>отменен режим Чрезвычайной ситуации</t>
    </r>
    <r>
      <rPr>
        <sz val="10"/>
        <rFont val="Calibri"/>
        <family val="2"/>
        <charset val="204"/>
      </rPr>
      <t xml:space="preserve"> на территории МО «Дайа-Амгинский наслег», Таттинского района.</t>
    </r>
  </si>
  <si>
    <t>Техногенный(обьекты энергоснабжения)</t>
  </si>
  <si>
    <t>По протоколу заседания постоянно действующей рабочей группы Правительственной комиссии по предупреждению и ликвидации ЧС и обеспечению пожарной безопасности при угрозе и возникновении ЧС межРегиональныйионального и федерального характера от 01.10.2017 №1 в результате аварии на ГРЭС в Республике Саха (Якутия), признать обстановку, как Чрезвычайную ситуация федерального характера и установить федеральный уровень реагирования для органов сил территориальной подсистемы РСЧС Республики Саха (Якутия)</t>
  </si>
  <si>
    <r>
      <t xml:space="preserve">Распоряжением главы МР "Усть-Майский район" Ю.Н. Боярским №621-п от 19.10.17 г. в целях поисково-спасательных работ по поиску Минеева А.С., Захарова Д.В. </t>
    </r>
    <r>
      <rPr>
        <sz val="10"/>
        <color theme="1"/>
        <rFont val="Calibri"/>
        <family val="2"/>
        <charset val="204"/>
      </rPr>
      <t>введен режим Чрезвычайной ситуации</t>
    </r>
    <r>
      <rPr>
        <sz val="10"/>
        <rFont val="Calibri"/>
        <family val="2"/>
        <charset val="204"/>
      </rPr>
      <t xml:space="preserve"> на территории МР "Усть-Майский район" с 19.10.2017 г. Распоряжением главы МР "Усть-Майский район" Ю.Н. Боярским №621-п от 20.10.17 г. в связи с завершением поисково-спасательных работ по поиску Минеева А.С., Захарова Д.В. </t>
    </r>
    <r>
      <rPr>
        <sz val="10"/>
        <color theme="1"/>
        <rFont val="Calibri"/>
        <family val="2"/>
        <charset val="204"/>
      </rPr>
      <t>отменен режим Чрезвычайной ситуации</t>
    </r>
    <r>
      <rPr>
        <sz val="10"/>
        <rFont val="Calibri"/>
        <family val="2"/>
        <charset val="204"/>
      </rPr>
      <t xml:space="preserve"> на территории МР "Усть-Майский район" с 20.10.2017 г. </t>
    </r>
  </si>
  <si>
    <r>
      <t xml:space="preserve">Распоряжением главы МО "Поселок Усть-Нера" Оймяконского района В.В. Ефимовым №306 от 26.10.17 г. в связи с критической ситуацией, сложившейся в сфере водотведения на территории МО "Поселок Усть-Нера", </t>
    </r>
    <r>
      <rPr>
        <sz val="10"/>
        <color theme="1"/>
        <rFont val="Calibri"/>
        <family val="2"/>
        <charset val="204"/>
      </rPr>
      <t>введен режим Чрезвычайной ситуации</t>
    </r>
    <r>
      <rPr>
        <sz val="10"/>
        <rFont val="Calibri"/>
        <family val="2"/>
        <charset val="204"/>
      </rPr>
      <t xml:space="preserve"> на территории поселка Усть-Нера с 26.10.2017 г.Распоряжением Врио главы МО "Поселок Усть-Нера" Оймяконского района А.Ф.Проскуриным №311 от 06.08.18 г. в связи с окончанием работ по ликвидации последствий ЧС, </t>
    </r>
    <r>
      <rPr>
        <sz val="10"/>
        <color theme="1"/>
        <rFont val="Calibri"/>
        <family val="2"/>
        <charset val="204"/>
      </rPr>
      <t xml:space="preserve">снят режим Чрезвычайной ситуации </t>
    </r>
    <r>
      <rPr>
        <sz val="10"/>
        <rFont val="Calibri"/>
        <family val="2"/>
        <charset val="204"/>
      </rPr>
      <t>на территории поселка Усть-Нера с 08.08.2018 г.</t>
    </r>
  </si>
  <si>
    <t>Биолого-социальный</t>
  </si>
  <si>
    <r>
      <t xml:space="preserve">Распоряжением главы МР "Нижнеколымский район" И.П. Суздаловым №126 от 23.10.17 г. в связи с нападениеми волков в большом количестве и медведей на оленей на территории района, а именно травежа поголовья и угроза жизни, здоровью людей в Кочевой Родовой Общине "ТЭВР", причинения курпного материального ущерба </t>
    </r>
    <r>
      <rPr>
        <sz val="10"/>
        <color theme="1"/>
        <rFont val="Calibri"/>
        <family val="2"/>
        <charset val="204"/>
      </rPr>
      <t>введен режим Чрезвычайной ситуации</t>
    </r>
    <r>
      <rPr>
        <sz val="10"/>
        <rFont val="Calibri"/>
        <family val="2"/>
        <charset val="204"/>
      </rPr>
      <t xml:space="preserve"> на территории Нижнеколымского района 23.10.2017 г. Постановлением и.о. главы МР "Нижнеколымский район" Е.Е. Разумовой №135 от 07.11.17 г. </t>
    </r>
    <r>
      <rPr>
        <sz val="10"/>
        <color theme="1"/>
        <rFont val="Calibri"/>
        <family val="2"/>
        <charset val="204"/>
      </rPr>
      <t>отменен режим Чрезвычайной ситуации</t>
    </r>
    <r>
      <rPr>
        <sz val="10"/>
        <rFont val="Calibri"/>
        <family val="2"/>
        <charset val="204"/>
      </rPr>
      <t xml:space="preserve"> на территории Нижнеколымского района. </t>
    </r>
  </si>
  <si>
    <t>Связанные с нападением диких животных</t>
  </si>
  <si>
    <r>
      <t xml:space="preserve">Решением председателя КЧС и ОПБ МО "Среднеколымский  район" Р.С. Гаврильевым №33 от 10.11.17 г. в связи с труднодоступности местности, в целях охраны жизни и здоровья гражданина оказавшегося в трудной ситуации </t>
    </r>
    <r>
      <rPr>
        <sz val="10"/>
        <color theme="1"/>
        <rFont val="Calibri"/>
        <family val="2"/>
        <charset val="204"/>
      </rPr>
      <t>введен режим Чрезвычайной ситуации</t>
    </r>
    <r>
      <rPr>
        <sz val="10"/>
        <rFont val="Calibri"/>
        <family val="2"/>
        <charset val="204"/>
      </rPr>
      <t xml:space="preserve"> на территории Среднеколымского района.</t>
    </r>
  </si>
  <si>
    <r>
      <t xml:space="preserve">Распоряжением главы МО "Оймяконский  район" М.М. Захаровым №619 от 20.11.17 г. в связи с аварийной ситуацией в п.Усть-Нера, связанной с выходом из строя систем водоотведения канализационных насосных сборников и розлива фекальных вод на дворовых территориях жилищного фонда п.Усть-Нера  </t>
    </r>
    <r>
      <rPr>
        <sz val="10"/>
        <color theme="1"/>
        <rFont val="Calibri"/>
        <family val="2"/>
        <charset val="204"/>
      </rPr>
      <t>введен режим Чрезвычайная ситуация природного и техногенного характера</t>
    </r>
    <r>
      <rPr>
        <sz val="10"/>
        <rFont val="Calibri"/>
        <family val="2"/>
        <charset val="204"/>
      </rPr>
      <t xml:space="preserve">  распоряжением первого зам. главы МО "Оймяконский район" от 22.12.2017 №675 в связи со стабилизацией аварийной ситуации в п.Усть-Нера, связанной с выходом из строя систем водоотведения канализационных насосных сборников и разлива фекальных вод на дворовых территориях жилищного фонда п.Усть-Нера </t>
    </r>
    <r>
      <rPr>
        <sz val="10"/>
        <color theme="1"/>
        <rFont val="Calibri"/>
        <family val="2"/>
        <charset val="204"/>
      </rPr>
      <t>снят режим "Чрезвычйная ситуация"</t>
    </r>
  </si>
  <si>
    <r>
      <t xml:space="preserve">Приказом начальника главного управления полковника внутренней службы П.С. Гариным от 08.12.2017г. № 497 в целях обеспечения управления и координации действий сил функциональных и территориальных подсистем РСЧС при ликвидации последствий ЧС в Мегино-Кангаласском районе, а так же своевременного принятия решений пожарно-спасательного горнизона </t>
    </r>
    <r>
      <rPr>
        <sz val="10"/>
        <color theme="1"/>
        <rFont val="Calibri"/>
        <family val="2"/>
        <charset val="204"/>
      </rPr>
      <t xml:space="preserve">введен режим "Чрезвычайная ситуация" </t>
    </r>
    <r>
      <rPr>
        <sz val="10"/>
        <rFont val="Calibri"/>
        <family val="2"/>
        <charset val="204"/>
      </rPr>
      <t xml:space="preserve">ДТП                                                                                    Приказом начальника главного управления полковника внутренней службы П.С. Гариным от 11.12.2017г. №501 в связи активной фазы аварийно-спасательных работ в Мегино-Кангаласском районе </t>
    </r>
    <r>
      <rPr>
        <sz val="10"/>
        <color theme="1"/>
        <rFont val="Calibri"/>
        <family val="2"/>
        <charset val="204"/>
      </rPr>
      <t>снят режим "Чрезвычайная ситуация"</t>
    </r>
  </si>
  <si>
    <r>
      <t xml:space="preserve">Рапоряжением главы МО А.Э. Киренского от 06.01.2018 г. №252 в связи с образовавшимися с 01.01.2018 г. по настоящее время неблагоприятными погодными явлениями в виде обильных осадков (снег) и порывов ветра, в следствие которых нарушено транспортное сообщение с. Ярославский - Хамра с районным центром с 01.01.2018 г. по настоящее время,  </t>
    </r>
    <r>
      <rPr>
        <i/>
        <sz val="10"/>
        <color indexed="8"/>
        <rFont val="Calibri"/>
        <family val="2"/>
        <charset val="204"/>
      </rPr>
      <t>введен режим «Чрезвычайная ситуация» с 06.01.2018 г.</t>
    </r>
    <r>
      <rPr>
        <sz val="10"/>
        <rFont val="Calibri"/>
        <family val="2"/>
        <charset val="204"/>
      </rPr>
      <t xml:space="preserve"> на территории с. Ярославский Ленского района РС(Я). Рапоряжением главы МО А.Э. Киренского от 11.01.2018 г. №253 в связи с наступлением благоприятных погодных условий и возобновлении транспортной доступности с. Ярославский - Хамра с районным центром г. Ленск с 11.01.2018 г. </t>
    </r>
    <r>
      <rPr>
        <i/>
        <sz val="10"/>
        <color indexed="8"/>
        <rFont val="Calibri"/>
        <family val="2"/>
        <charset val="204"/>
      </rPr>
      <t>снят режим «Чрезвычайная ситуация»</t>
    </r>
    <r>
      <rPr>
        <sz val="10"/>
        <rFont val="Calibri"/>
        <family val="2"/>
        <charset val="204"/>
      </rPr>
      <t>на территории с. Ярославский Ленского района РС(Я).</t>
    </r>
  </si>
  <si>
    <r>
      <t xml:space="preserve">Решением МР «Горный район» в связи с аварией в котельной РИК с. Бердигестях Горного филиала ГУП ЖКХ РС(Я), </t>
    </r>
    <r>
      <rPr>
        <i/>
        <sz val="10"/>
        <color indexed="8"/>
        <rFont val="Calibri"/>
        <family val="2"/>
        <charset val="204"/>
      </rPr>
      <t>введен режим «Чрезвычайная ситуация»</t>
    </r>
    <r>
      <rPr>
        <sz val="10"/>
        <rFont val="Calibri"/>
        <family val="2"/>
        <charset val="204"/>
      </rPr>
      <t xml:space="preserve"> в с. Бердигестях Горного района с 27.01.2018 г. Рапоряжением главы МР «Горный район» в связи с завершением аварийно-восстановитлеьных работ в жилом секторе, административных зданиях и сооружениях, восстановлением систем теплоснабжения котельной РИК с. Бердигестях Горного филиала ГУП ЖКХ РС(Я), </t>
    </r>
    <r>
      <rPr>
        <sz val="10"/>
        <color indexed="8"/>
        <rFont val="Calibri"/>
        <family val="2"/>
        <charset val="204"/>
      </rPr>
      <t>снят режим «Чрезвычайная ситуация»</t>
    </r>
    <r>
      <rPr>
        <sz val="10"/>
        <rFont val="Calibri"/>
        <family val="2"/>
        <charset val="204"/>
      </rPr>
      <t xml:space="preserve"> в с. Бердигестях Горного района с 09.02.2018 г.</t>
    </r>
  </si>
  <si>
    <r>
      <t xml:space="preserve">Постановлением главы «Поселок Югоренок» Ж.П. Пиманова от 19.02.2018 г. №24-п в связи с возгоранием 19.02.2018 г. дизельного помещения на центральной котельной, </t>
    </r>
    <r>
      <rPr>
        <sz val="10"/>
        <color indexed="8"/>
        <rFont val="Calibri"/>
        <family val="2"/>
        <charset val="204"/>
      </rPr>
      <t xml:space="preserve"> введен режим «Чрезвычайная ситуация»</t>
    </r>
    <r>
      <rPr>
        <sz val="10"/>
        <rFont val="Calibri"/>
        <family val="2"/>
        <charset val="204"/>
      </rPr>
      <t xml:space="preserve"> на территории МО «Поселок Югоренок" Усть-Майского района с 19.02.2018 г. Постановлением главы «Поселок Югоренок" Ж.П. Пиманова » от 07.03.2018 г. №39-п в связи с окончанием аварийно-восстановительных работ на объектах жизнеобеспечения и жилого фонда поселка Югоренок</t>
    </r>
    <r>
      <rPr>
        <sz val="10"/>
        <color indexed="8"/>
        <rFont val="Calibri"/>
        <family val="2"/>
        <charset val="204"/>
      </rPr>
      <t xml:space="preserve"> отменить режим «Чрезвычайная ситуация»</t>
    </r>
    <r>
      <rPr>
        <sz val="10"/>
        <rFont val="Calibri"/>
        <family val="2"/>
        <charset val="204"/>
      </rPr>
      <t xml:space="preserve"> на территории МО «Поселок Югоренок" Усть-Майского района с 07.03.2018 г.</t>
    </r>
  </si>
  <si>
    <t>природный. гидрология</t>
  </si>
  <si>
    <t>Распоряжением главы МР «Амгинский район» Н.А. Архиповым от 8.05.2018 г. №698 в связи с повышением уровня воды на р. Амга выше критических уровней, с подтоплением домов на н.п. Ефремово введен режим «Чрезвычайная ситуация» с 08.05.2018 г на территории Амгинского района.Распоряжением главы МР «Амгинский район» Н.А. Архиповым от 22.05.2018 г. №770 в связи с введением режима  ЧС Региональныйионального характера на территории Амгинского района, снят режим «Чрезвычайная ситуация» с 22.05.2018 г на территории Амгинского района.</t>
  </si>
  <si>
    <r>
      <t xml:space="preserve">Указом главы РС(Я) Е. Борисовым от 10.05.2018 г. №2537 в связи с подтоплением паводковыми водами населенных пунктов с. Амга (cельское поселение «Амгинский наслег»), с. Чапчылган (cельское поселение «Чапчылганский наслег»), с. Абага (сельское поселение «Абагинский наслег»), с. Мяндигэ (сельское поселение «Мяндигинский наслег) муниципального района «Амгинский улус (район) Республики Саха (Якутия), повлекшим значительный материальный ущерб и нарушение условий жизнедеятельности пострадавшего населения, </t>
    </r>
    <r>
      <rPr>
        <sz val="10"/>
        <color indexed="8"/>
        <rFont val="Calibri"/>
        <family val="2"/>
        <charset val="204"/>
      </rPr>
      <t>введен режим «Чрезвычайная ситуация»</t>
    </r>
    <r>
      <rPr>
        <sz val="10"/>
        <rFont val="Calibri"/>
        <family val="2"/>
        <charset val="204"/>
      </rPr>
      <t xml:space="preserve"> на территории Амгинского района. </t>
    </r>
    <r>
      <rPr>
        <sz val="10"/>
        <color indexed="8"/>
        <rFont val="Calibri"/>
        <family val="2"/>
        <charset val="204"/>
      </rPr>
      <t xml:space="preserve">Отменить с 12 мая 2018 года режим чрезвычайной ситуации межмуниципального характера на территории муниципального района «Амгинский улус (район)» </t>
    </r>
    <r>
      <rPr>
        <sz val="10"/>
        <rFont val="Calibri"/>
        <family val="2"/>
        <charset val="204"/>
      </rPr>
      <t>Республики Саха (Якутия).</t>
    </r>
  </si>
  <si>
    <r>
      <t xml:space="preserve">Указом главы РС(Я) Е. Борисовым от 12.05.2018 г. №2538 в связи с затоплением паводковыми водами населенных пунктов с. Амга (сельское поселение «Амгинский наслег»), с. Чапчылган (сельское поселение «Чапчылганский наслег»), с. Абага (сельское поселение «Абагинский наслег»), с. Мяндигэ (сельское поселение «Мяндигинский наслег) муниципального района «Амгинский улус (район)» Республики Саха (Якутия), п. Эльдикан (городское поселение «Поселок Эльдикан»), с. Кюпцы (сельское поселение «Кюпский национальный наслег») муниципального района «Усть-Майский улус (район)» Республики Саха (Якутия), с. Мырыла (сельское поселение «Соловьевский наслег») муниципального образования «Чурапчинский улус (район)» Республики Саха (Якутия), повлекшим материальный ущерб более пяти миллионов рублей и нарушение условий жизнедеятельности пострадавшего населения, </t>
    </r>
    <r>
      <rPr>
        <sz val="10"/>
        <color indexed="8"/>
        <rFont val="Calibri"/>
        <family val="2"/>
        <charset val="204"/>
      </rPr>
      <t>введен режим «Чрезвычайная ситуация»</t>
    </r>
    <r>
      <rPr>
        <sz val="10"/>
        <rFont val="Calibri"/>
        <family val="2"/>
        <charset val="204"/>
      </rPr>
      <t xml:space="preserve"> с 12.05.2018 г на территориях муниципального района «Амгинский улус (район)» Республики Саха (Якутия), муниципального района «Усть-Майский улус (район)» Республики Саха (Якутия), муниципального образования «Чурапчинский улус (район)» Республики Саха (Якутия).Распоряжением МР "Амгинский район" №770 от 22 мая 2018 г. , </t>
    </r>
    <r>
      <rPr>
        <sz val="10"/>
        <color indexed="8"/>
        <rFont val="Calibri"/>
        <family val="2"/>
        <charset val="204"/>
      </rPr>
      <t>снят режим "Чрезвучайная ситуация" с 22 мая 2018 г. №770</t>
    </r>
  </si>
  <si>
    <t>Амгинский муниципальный район, Усть-Майский муниципальный район, Чурапчинский муниципальный район</t>
  </si>
  <si>
    <r>
      <t xml:space="preserve">Распоряжением главы МО «Дайа-Амгинский наслег» Таттинского района П.Д. Петровым от 12.05.2018 г. №15-р в связи с трудной паводковой ситуацией, с прибытием больших вод, с затоплением усадеб, домов, с неблагоприятными погодными условиями </t>
    </r>
    <r>
      <rPr>
        <sz val="10"/>
        <color indexed="8"/>
        <rFont val="Calibri"/>
        <family val="2"/>
        <charset val="204"/>
      </rPr>
      <t>введен режим «Чрезвычайная ситуация»</t>
    </r>
    <r>
      <rPr>
        <sz val="10"/>
        <rFont val="Calibri"/>
        <family val="2"/>
        <charset val="204"/>
      </rPr>
      <t xml:space="preserve"> на территории «Дайа-Амгинский наслег».Распоряжением главы МР « Таттинский район»  П.Д.Петровым от 17.05.2018 г. №17-р, в связи со стабилизацией гидрологической обстановки,</t>
    </r>
    <r>
      <rPr>
        <sz val="10"/>
        <color indexed="8"/>
        <rFont val="Calibri"/>
        <family val="2"/>
        <charset val="204"/>
      </rPr>
      <t xml:space="preserve"> снят режим «Чрезвычайная ситуация»</t>
    </r>
    <r>
      <rPr>
        <sz val="10"/>
        <rFont val="Calibri"/>
        <family val="2"/>
        <charset val="204"/>
      </rPr>
      <t xml:space="preserve"> на территории МР «Таттинский район».</t>
    </r>
  </si>
  <si>
    <r>
      <t xml:space="preserve">Распоряжением главы МО «Средне-Амгинский наслег» Таттинского района А.И. Кулачиковым от 13.05.2018 г. №38 в связи с трудной паводковой ситуацией, с прибытием больших вод, с затоплением усадеб, домов, с неблагоприятными погодными условиями </t>
    </r>
    <r>
      <rPr>
        <sz val="10"/>
        <color indexed="8"/>
        <rFont val="Calibri"/>
        <family val="2"/>
        <charset val="204"/>
      </rPr>
      <t>введен режим «Чрезвычайная ситуация»</t>
    </r>
    <r>
      <rPr>
        <sz val="10"/>
        <rFont val="Calibri"/>
        <family val="2"/>
        <charset val="204"/>
      </rPr>
      <t xml:space="preserve"> на территории «Средне-Амгинский наслег».Распоряжением главы МО «Средне-Амгинский наслег» Таттинского района А.И. Кулачиковым от 22.05.2018 г. №43 в связи  спадом критического уровня воды р.Амга </t>
    </r>
    <r>
      <rPr>
        <sz val="10"/>
        <color indexed="8"/>
        <rFont val="Calibri"/>
        <family val="2"/>
        <charset val="204"/>
      </rPr>
      <t>снят режим «Чрезвычайная ситуация</t>
    </r>
    <r>
      <rPr>
        <sz val="10"/>
        <rFont val="Calibri"/>
        <family val="2"/>
        <charset val="204"/>
      </rPr>
      <t>» на территории «Средне-Амгинский наслег».</t>
    </r>
  </si>
  <si>
    <r>
      <t xml:space="preserve">Распоряжением главы МО «Усть-Амгинский наслег» Таттинского района Е.В. Васильевым от 12.05.2018 г. №25 в связи с превышением критического уровня гидропоста в с. Чымнайи </t>
    </r>
    <r>
      <rPr>
        <sz val="10"/>
        <color indexed="8"/>
        <rFont val="Calibri"/>
        <family val="2"/>
        <charset val="204"/>
      </rPr>
      <t>введен режим «Чрезвычайная ситуация»</t>
    </r>
    <r>
      <rPr>
        <sz val="10"/>
        <rFont val="Calibri"/>
        <family val="2"/>
        <charset val="204"/>
      </rPr>
      <t xml:space="preserve"> с 12.05.2018 г на территории «Усть-Амгинский наслег».Распоряжением главы МО «Усть-Амгинский наслег» Таттинского района Е.В. Васильевым от 18.05.2018 г. №29 в связи спадом критического уровня р. Амга </t>
    </r>
    <r>
      <rPr>
        <sz val="10"/>
        <color indexed="8"/>
        <rFont val="Calibri"/>
        <family val="2"/>
        <charset val="204"/>
      </rPr>
      <t>снят режим «Чрезвычайная ситуация»</t>
    </r>
    <r>
      <rPr>
        <sz val="10"/>
        <rFont val="Calibri"/>
        <family val="2"/>
        <charset val="204"/>
      </rPr>
      <t xml:space="preserve"> с 18.05.2018 г на территории «Усть-Амгинский наслег».</t>
    </r>
  </si>
  <si>
    <r>
      <t xml:space="preserve">Распоряжением главы МО «Амгинский наслег» Таттинского района С.С. Соровым от 12.05.2018 г. №34 в связи с угрозой опасности жизни и оказания экстренной эвакуации троих людей в местности "Кунчуотэ" находящегося в 12 км от населенного пункта с. Чычымах Таттинского раойна </t>
    </r>
    <r>
      <rPr>
        <sz val="10"/>
        <color indexed="8"/>
        <rFont val="Calibri"/>
        <family val="2"/>
        <charset val="204"/>
      </rPr>
      <t xml:space="preserve">введен режим «Чрезвычайная ситуация» </t>
    </r>
    <r>
      <rPr>
        <sz val="10"/>
        <rFont val="Calibri"/>
        <family val="2"/>
        <charset val="204"/>
      </rPr>
      <t xml:space="preserve">с 12.05.2018 г на территории «Амгинский наслег».Распоряжением главы МО «Амгинский наслег» Таттинского района С.С. Соровым от 21.05.2018 г. №38 в связи со стабилизацией паводковой ситуации на реке Амга с Чычымах Таттинского улуса </t>
    </r>
    <r>
      <rPr>
        <sz val="10"/>
        <color indexed="8"/>
        <rFont val="Calibri"/>
        <family val="2"/>
        <charset val="204"/>
      </rPr>
      <t>снят режим «Чрезвычайная ситуация»</t>
    </r>
    <r>
      <rPr>
        <sz val="10"/>
        <rFont val="Calibri"/>
        <family val="2"/>
        <charset val="204"/>
      </rPr>
      <t xml:space="preserve"> с 21.05.2018 г на территории «Амгинский наслег».</t>
    </r>
  </si>
  <si>
    <r>
      <t xml:space="preserve">Распоряжением и.о. главы Администрации МР «Усть-Майский район» РС(Я) В.А. Илларионова от 12.05.2018 г. №381-п, в результате образования затора на р.Алдан в 50 км ниже с. Кюнцы, начался резкий подъем уровня воды, перемыта дамба с. Кюнцы, подтоплено 80% с. Кюнцы, началось подтопление п. Эльдикан, существует угроза подтопления с. Эльдикан, </t>
    </r>
    <r>
      <rPr>
        <sz val="10"/>
        <color indexed="8"/>
        <rFont val="Calibri"/>
        <family val="2"/>
        <charset val="204"/>
      </rPr>
      <t xml:space="preserve">введен режим «Чрезвычайная ситуация» </t>
    </r>
    <r>
      <rPr>
        <sz val="10"/>
        <rFont val="Calibri"/>
        <family val="2"/>
        <charset val="204"/>
      </rPr>
      <t xml:space="preserve">с 12.05.2018 г на территории «Усть-Майского района».Распоряжением  главы района Администрации МР «Усть-Майский район» РС(Я) А.А.Антипиным от 16.11.2018 г. №565-р, в связи с ликвидацией последствий весеннего паводка ,а также завершением аварийно-восстановительных работ в результате весеннего паводка , </t>
    </r>
    <r>
      <rPr>
        <sz val="10"/>
        <color indexed="8"/>
        <rFont val="Calibri"/>
        <family val="2"/>
        <charset val="204"/>
      </rPr>
      <t xml:space="preserve">снят режим «Чрезвычайная ситуация» </t>
    </r>
    <r>
      <rPr>
        <sz val="10"/>
        <rFont val="Calibri"/>
        <family val="2"/>
        <charset val="204"/>
      </rPr>
      <t>с 16.11.2018 г на территории «Усть-Майского района».</t>
    </r>
  </si>
  <si>
    <r>
      <t xml:space="preserve">Распоряжением главы МО «Чурапчинский район» А.Т. Ноговицыным от 13.05.2018 г. №658 в связи с повышением уровня воды на р. Амга выше критических уровней, с подтоплением домов в н.п. Мырыла, </t>
    </r>
    <r>
      <rPr>
        <sz val="10"/>
        <color indexed="8"/>
        <rFont val="Calibri"/>
        <family val="2"/>
        <charset val="204"/>
      </rPr>
      <t xml:space="preserve">введен режим «Чрезвычайная ситуация» </t>
    </r>
    <r>
      <rPr>
        <sz val="10"/>
        <rFont val="Calibri"/>
        <family val="2"/>
        <charset val="204"/>
      </rPr>
      <t>с 13.05.2018 г на территории «Чурапчинский район».</t>
    </r>
  </si>
  <si>
    <r>
      <t xml:space="preserve">Распоряжением главы МО «Соловьевский наслег» Чурапчинского района М.Ф. Кронникова от 13.05.2018 г. № в связи с повышением уровня воды на р. Амга выше критической отметки у гидропоста с. Мырыла, с подтоплением 7 домов в н.п. Мырыла и 46 дворовых территорий, </t>
    </r>
    <r>
      <rPr>
        <sz val="10"/>
        <color indexed="8"/>
        <rFont val="Calibri"/>
        <family val="2"/>
        <charset val="204"/>
      </rPr>
      <t xml:space="preserve">введен режим «Чрезвычайная ситуация» </t>
    </r>
    <r>
      <rPr>
        <sz val="10"/>
        <rFont val="Calibri"/>
        <family val="2"/>
        <charset val="204"/>
      </rPr>
      <t xml:space="preserve">с 13.05.2018 г на территории «Соловьевский наслег».Распоряжением главы МО «Соловьевский наслег» Чурапчинского района М.Ф. Кронниковым от 16.05.2018 г. № 29, в связи с понижением уровня воды на реке Амга, </t>
    </r>
    <r>
      <rPr>
        <sz val="10"/>
        <color indexed="8"/>
        <rFont val="Calibri"/>
        <family val="2"/>
        <charset val="204"/>
      </rPr>
      <t>снят режим «Чрезвычайная ситуация»</t>
    </r>
    <r>
      <rPr>
        <sz val="10"/>
        <rFont val="Calibri"/>
        <family val="2"/>
        <charset val="204"/>
      </rPr>
      <t xml:space="preserve"> с 25.05.2018 г на территории «Соловьевский наслег».</t>
    </r>
  </si>
  <si>
    <r>
      <t xml:space="preserve">Распоряжением главы МР «Таттинский район» М.М. Соровым от 13.05.2018 г. №652-р в связи с повышением уровня воды на р. Амга выше критических, с подтоплением домов в н.п. Дайа-Амгата, Харбалах, Чымнайи и размывами республиканской и муниципальных дорог, </t>
    </r>
    <r>
      <rPr>
        <sz val="10"/>
        <color indexed="8"/>
        <rFont val="Calibri"/>
        <family val="2"/>
        <charset val="204"/>
      </rPr>
      <t xml:space="preserve">введен режим «Чрезвычайная ситуация» </t>
    </r>
    <r>
      <rPr>
        <sz val="10"/>
        <rFont val="Calibri"/>
        <family val="2"/>
        <charset val="204"/>
      </rPr>
      <t xml:space="preserve">с 13.05.2018 г на территории «Таттинский район».Распоряжением главы МР «Таттинский район» М.М. Соровым от 22.06.2018 г. №833-р, в связи со стабилизацией гидрологической обстановки, понижением уровней воды на реках Амга, Алдан и Татта </t>
    </r>
    <r>
      <rPr>
        <sz val="10"/>
        <color indexed="8"/>
        <rFont val="Calibri"/>
        <family val="2"/>
        <charset val="204"/>
      </rPr>
      <t xml:space="preserve">снят режим «Чрезвычайная ситуация» </t>
    </r>
    <r>
      <rPr>
        <sz val="10"/>
        <rFont val="Calibri"/>
        <family val="2"/>
        <charset val="204"/>
      </rPr>
      <t>с 22.06.2018 г на территории «Таттинский район».</t>
    </r>
  </si>
  <si>
    <t>По Протоколу заседания Правительственной комиссии по предупреждению и ликвидации чрезвычайных ситуаций и обеспечению пожарной безопасности ЧС обусловленный прохождением паводка на территории РС (Я), с учетем ее прогноза, с 14.05.2018г. признан как ЧС федерального характера. По Протоколу заседания постоянно действующей рабочей группы Правительственной комиссии по предупреждению и ликвидации чрезвычайных ситуаций и обеспечению пожарной безопасности при угрозе и возникновении чс межРегиональныйионального и федерального характера и комиссии по редупреждению и ликвидации чс и обеспечению пожарной безопасности Красноярского края, в связи со стабилизацией обстановки, с 25.06.2018г. №1 снят ЧС федерального характера</t>
  </si>
  <si>
    <r>
      <t xml:space="preserve">Распоряжением главы ГО «Якутск» А.С. Николаевым от 15.05.2018 г. №780р в связи с образовавшимся затором ниже поста с. Табага и выше поста мрк. Кангалассы наблюдается интенсивный подъем паводковых вод до критических уровней угрожающий населенным пунктам городского округа «город Якутск», </t>
    </r>
    <r>
      <rPr>
        <sz val="10"/>
        <color indexed="8"/>
        <rFont val="Calibri"/>
        <family val="2"/>
        <charset val="204"/>
      </rPr>
      <t xml:space="preserve">введен режим «Чрезвычайная ситуация» </t>
    </r>
    <r>
      <rPr>
        <sz val="10"/>
        <rFont val="Calibri"/>
        <family val="2"/>
        <charset val="204"/>
      </rPr>
      <t xml:space="preserve">с 15.05.2018 г.Распоряжением главы ГО «Якутск» А.С. Николаевым от 21.05.2018 г. №825р , </t>
    </r>
    <r>
      <rPr>
        <sz val="10"/>
        <color indexed="8"/>
        <rFont val="Calibri"/>
        <family val="2"/>
        <charset val="204"/>
      </rPr>
      <t>снят режим «Чрезвычайная ситуация»</t>
    </r>
    <r>
      <rPr>
        <sz val="10"/>
        <rFont val="Calibri"/>
        <family val="2"/>
        <charset val="204"/>
      </rPr>
      <t xml:space="preserve"> с 21.05.2018 г.</t>
    </r>
  </si>
  <si>
    <r>
      <t xml:space="preserve">Распоряжением главы МР «Хангаласский район» Г.Ю. Алексеевым от 15.05.2018 г. №533-р в связи со сложившейся оперативной обстановкой ухудшением прохождения паводка на территории МР «Хангаласский район», затоплением части жилого сектора в населенных пунктах сс. Октемцы, Хоточчу, Чкалово, Кытыл-Дюра и угрозой подтопления других населенных пунктов, </t>
    </r>
    <r>
      <rPr>
        <sz val="10"/>
        <color indexed="8"/>
        <rFont val="Calibri"/>
        <family val="2"/>
        <charset val="204"/>
      </rPr>
      <t xml:space="preserve">введен режим «Чрезвычайная ситуация» </t>
    </r>
    <r>
      <rPr>
        <sz val="10"/>
        <rFont val="Calibri"/>
        <family val="2"/>
        <charset val="204"/>
      </rPr>
      <t xml:space="preserve">с 15.05.2018 г на территории «Хангаласский район».Распоряжением главы МР «Хангаласский район» Г.Ю. Алексеевым от 21.05.2018 г. №561-р, в связи со стабилизацией оперативной обстановки по прохождению паводховых вод, отступлением угрозы затопления населенных пунктов, </t>
    </r>
    <r>
      <rPr>
        <sz val="10"/>
        <color indexed="8"/>
        <rFont val="Calibri"/>
        <family val="2"/>
        <charset val="204"/>
      </rPr>
      <t>снят режим «Чрезвычайная ситуация»</t>
    </r>
    <r>
      <rPr>
        <sz val="10"/>
        <rFont val="Calibri"/>
        <family val="2"/>
        <charset val="204"/>
      </rPr>
      <t xml:space="preserve"> с 21.05.2018 г на территории «Хангаласский район».</t>
    </r>
  </si>
  <si>
    <r>
      <t xml:space="preserve">Распоряжением главы МО «Россолодинский наслег» И.В. Макаровым от 15.05.2018 г. №61 в связи с повышением уровня воды на р. Лене и затоплением внутрипоселковых дорог и дамб, с нарушением автомобильного сообщения с микрорайонами «Кыпчыла» и «Тайвань», подтоплением преусадебных участков и жилых домов, </t>
    </r>
    <r>
      <rPr>
        <sz val="10"/>
        <color indexed="8"/>
        <rFont val="Calibri"/>
        <family val="2"/>
        <charset val="204"/>
      </rPr>
      <t xml:space="preserve">введен режим «Чрезвычайная ситуация» </t>
    </r>
    <r>
      <rPr>
        <sz val="10"/>
        <rFont val="Calibri"/>
        <family val="2"/>
        <charset val="204"/>
      </rPr>
      <t>с 15.05.2018 г на территории «Россолодинский наслег».Распоряжением главы МО «Россолодинский наслег» И.В. Макаров от 20.05.2018 г. №64 , в связи с понижением уровня воды от критической отметки подтопления 415 сантиметра  ,</t>
    </r>
    <r>
      <rPr>
        <sz val="10"/>
        <color indexed="8"/>
        <rFont val="Calibri"/>
        <family val="2"/>
        <charset val="204"/>
      </rPr>
      <t xml:space="preserve"> </t>
    </r>
    <r>
      <rPr>
        <sz val="10"/>
        <rFont val="Calibri"/>
        <family val="2"/>
        <charset val="204"/>
      </rPr>
      <t>ниже на 145 сантиметра,</t>
    </r>
    <r>
      <rPr>
        <sz val="10"/>
        <color indexed="8"/>
        <rFont val="Calibri"/>
        <family val="2"/>
        <charset val="204"/>
      </rPr>
      <t xml:space="preserve"> снят режим «Чрезвычайная ситуация» </t>
    </r>
    <r>
      <rPr>
        <sz val="10"/>
        <rFont val="Calibri"/>
        <family val="2"/>
        <charset val="204"/>
      </rPr>
      <t>с 20.05.2018 г на территории «Россолодинский наслег».</t>
    </r>
  </si>
  <si>
    <r>
      <t xml:space="preserve">Распоряжением главы МО «Хара-Алданский наслег» Д.А. Старостиным от 16.05.2018 г. №01-07-04-а в связи с приближением к критической отметке гидрологического поста и повышением уровня воды на р. Алдан, </t>
    </r>
    <r>
      <rPr>
        <sz val="10"/>
        <color indexed="8"/>
        <rFont val="Calibri"/>
        <family val="2"/>
        <charset val="204"/>
      </rPr>
      <t>введен режим «Чрезвычайная ситуация»</t>
    </r>
    <r>
      <rPr>
        <sz val="10"/>
        <rFont val="Calibri"/>
        <family val="2"/>
        <charset val="204"/>
      </rPr>
      <t xml:space="preserve"> г на территории «Хара-Алданский наслег».Распоряжением главы МО «Хара-Алданский наслег» Д.А. Старостиным от 18.05.2018 г. №01-07-06-а в связи со стабильным снижением уровня воды на реке Алдан, </t>
    </r>
    <r>
      <rPr>
        <sz val="10"/>
        <color indexed="8"/>
        <rFont val="Calibri"/>
        <family val="2"/>
        <charset val="204"/>
      </rPr>
      <t>снят режим «Чрезвычайная ситуация»</t>
    </r>
    <r>
      <rPr>
        <sz val="10"/>
        <rFont val="Calibri"/>
        <family val="2"/>
        <charset val="204"/>
      </rPr>
      <t xml:space="preserve"> с 18.06.2018</t>
    </r>
    <r>
      <rPr>
        <sz val="10"/>
        <color indexed="8"/>
        <rFont val="Calibri"/>
        <family val="2"/>
        <charset val="204"/>
      </rPr>
      <t xml:space="preserve"> </t>
    </r>
    <r>
      <rPr>
        <sz val="10"/>
        <rFont val="Calibri"/>
        <family val="2"/>
        <charset val="204"/>
      </rPr>
      <t>г на территории «Хара-Алданский наслег».</t>
    </r>
  </si>
  <si>
    <r>
      <t xml:space="preserve">Распоряжением главы МР «Томпонский район» Я.И. Степановым от 16.05.2018 г. №83 в связи с резким подъемом уровня воды на р. Алдан и поодтоплением населенного пункта с. Охотский-Перевоз и реальной угрозы подтопления п. Хандыга - 86 жилых домов, в которых проживает 271 человек, из них 48 детей, а также 1 участок автодороги, с. Кескил - 178 жилых домов, в которых проживает 568 человек, из них 160 детей, с.Мегино-Алдан - 167 жилых домов, в которых проживает 219  человек, из них 100 детей, </t>
    </r>
    <r>
      <rPr>
        <sz val="10"/>
        <color indexed="8"/>
        <rFont val="Calibri"/>
        <family val="2"/>
        <charset val="204"/>
      </rPr>
      <t xml:space="preserve">введен режим «Чрезвычайная ситуация» </t>
    </r>
    <r>
      <rPr>
        <sz val="10"/>
        <rFont val="Calibri"/>
        <family val="2"/>
        <charset val="204"/>
      </rPr>
      <t xml:space="preserve">«Томпонский район». Распоряжением главы МР «Томпонский район» Я.И. Степановым от 17.05.2018 г. №87 руководствуясь гидрологической обстановкой на территории Усть-Майского района - Томпонского районов, а также стабилизацией уровней паводковых вод, отсутствием угрозы подтопления населенных пунктов Томпонского района, </t>
    </r>
    <r>
      <rPr>
        <sz val="10"/>
        <color indexed="8"/>
        <rFont val="Calibri"/>
        <family val="2"/>
        <charset val="204"/>
      </rPr>
      <t>переведен в  режим «Повседневная деятельность.</t>
    </r>
  </si>
  <si>
    <r>
      <t xml:space="preserve">Распоряжением главы МР «Усть-Алданский район» А.В. Федотовым от 17.05.2018 г. №371, 17 мая в результате быстрого продвижения волны вскрытия по реке Алдан на участке - Чериктей и негативности ледового покрытия на участке Дыгдал - Чериктей к вскрытию в ранние сроки произошли заторные явления, накопление воды и затопление населенного пункта Чериктей. В результате повышения уровня воды на р. Алдан в населенном пункте Усть-Алданского района в зоне затопления оказались 6 жилых домов и 15 дворовых территорий, 2 внутрипоселковых автомобильных дорог муниципального значения. 16 мая 2018г. произошло разрушение дамбы озера Илин Ус-Кюеля, в результате поднятия уровня воды в населенном пункте Ус-Кюеля в зоне подтопления оказались 8 дворовых территорий, 4 внутрипоселковых автомобильных дорог, </t>
    </r>
    <r>
      <rPr>
        <sz val="10"/>
        <color indexed="8"/>
        <rFont val="Calibri"/>
        <family val="2"/>
        <charset val="204"/>
      </rPr>
      <t>введен режим «Чрезвычайная ситуация»</t>
    </r>
    <r>
      <rPr>
        <sz val="10"/>
        <rFont val="Calibri"/>
        <family val="2"/>
        <charset val="204"/>
      </rPr>
      <t xml:space="preserve"> с 17.05.2018 г. на территории «Усть-Алданский район».Распоряжением главы МР «Усть-Алданский район» А.В. Федотовым от 20.09.2018 г. №527, в связи с ликвидацией последствий весеннего паводка на реке Алдан,нормализацией условий жизнедеятельности населения в населенных пунктах,</t>
    </r>
    <r>
      <rPr>
        <sz val="10"/>
        <color indexed="8"/>
        <rFont val="Calibri"/>
        <family val="2"/>
        <charset val="204"/>
      </rPr>
      <t xml:space="preserve"> снят режим «Чрезвычайная ситуация» </t>
    </r>
    <r>
      <rPr>
        <sz val="10"/>
        <rFont val="Calibri"/>
        <family val="2"/>
        <charset val="204"/>
      </rPr>
      <t>с 20.09.2018 г. на территории «Усть-Алданский район».</t>
    </r>
  </si>
  <si>
    <r>
      <t xml:space="preserve">Распоряжением главы МР «Мегино-Кангаласский Улус» Н. Старостин от 15.05.2018 г. №781, в связи с повышением уровня воды на реке Лена, на малых реках и озерах вследствии весеннего половодья и обильных дождей на территории МР "Мегино-Кангаласский улус", </t>
    </r>
    <r>
      <rPr>
        <sz val="10"/>
        <color indexed="8"/>
        <rFont val="Calibri"/>
        <family val="2"/>
        <charset val="204"/>
      </rPr>
      <t xml:space="preserve">введен режим «Чрезвычайная ситуация» </t>
    </r>
    <r>
      <rPr>
        <sz val="10"/>
        <rFont val="Calibri"/>
        <family val="2"/>
        <charset val="204"/>
      </rPr>
      <t xml:space="preserve">с 15.05.2018 на территории «Мегино-Кангаласский улус».Распоряжением Главы МР "Мегино-Кангаласский райлн" РС(Я) 24.05.2018 г. №824,  внести измения о введение режима ЧС на территории  МР "Мегино-Кангаласский район" в с.Бедимя,в с.Норагана (Жабыльский наслег).Распоряжением главы МР «Мегино-Кангаласский Улус» Н. Старостин от 15.05.2018 г. №781, в связи с повышением уровня воды на реке Лена, на малых реках и озерах вследствии весеннего половодья и обильных дождей на территории МР "Мегино-Кангаласский улус", введен режим «Чрезвычайная ситуация» с 15.05.2018 на территории «Мегино-Кангаласский улус».Распоряжением Врио главы района МР "Мегино-Кангаласский района" РС(Я) Тарасовым А. от 12.10.2018 г. №1278,в связи со стабилизацией оперативной обстановки на реке Лена и в МО с завершением востановительных работ и оказание материальной помощи населению , </t>
    </r>
    <r>
      <rPr>
        <sz val="10"/>
        <color indexed="8"/>
        <rFont val="Calibri"/>
        <family val="2"/>
        <charset val="204"/>
      </rPr>
      <t xml:space="preserve">снят режим «Чрезвычайная ситуация» </t>
    </r>
    <r>
      <rPr>
        <sz val="10"/>
        <rFont val="Calibri"/>
        <family val="2"/>
        <charset val="204"/>
      </rPr>
      <t>с 12.10.2018 г на территории «Хангаласский район».  ,</t>
    </r>
  </si>
  <si>
    <r>
      <t xml:space="preserve">Постановлением главы М0 «Чурапчинский наслег» с. Чурапча С.А.Саргыдаев от 18.05.2018 г. №117, в связи резким повышением уровня воды оз. Когалы свыше уровня критического с западной стороны наслега, с юж. стороны половодьям р.Татты и началом перехода воды с ее стороны в оз. Чурапча, угрозой потапления части населенного пункта находящиеся в низменности и прилегающих к оз. Чурапча, р. Кохара на  территории  , </t>
    </r>
    <r>
      <rPr>
        <sz val="10"/>
        <color indexed="8"/>
        <rFont val="Calibri"/>
        <family val="2"/>
        <charset val="204"/>
      </rPr>
      <t>введен режим «Чрезвычайная ситуация»</t>
    </r>
    <r>
      <rPr>
        <sz val="10"/>
        <rFont val="Calibri"/>
        <family val="2"/>
        <charset val="204"/>
      </rPr>
      <t xml:space="preserve"> с 18.05.2018 г. на территории «Чурапчинский наслег».</t>
    </r>
  </si>
  <si>
    <r>
      <t xml:space="preserve">Распоряжением главы МО «Мегино-Кангаласский Улус» Е.Гавриева от 15.05.2018 г. №67, в связи с повышением уровня воды на реке Лена и затоплением внутрипоселковых дорог и дамб с нарушением автомобобильного сообщения с микрорайоном "Огдороон" в целях обеспечения безопасности жизни и здоровья граждан , </t>
    </r>
    <r>
      <rPr>
        <sz val="10"/>
        <color indexed="8"/>
        <rFont val="Calibri"/>
        <family val="2"/>
        <charset val="204"/>
      </rPr>
      <t>введен режим «Чрезвычайная ситуация»</t>
    </r>
    <r>
      <rPr>
        <sz val="10"/>
        <rFont val="Calibri"/>
        <family val="2"/>
        <charset val="204"/>
      </rPr>
      <t xml:space="preserve"> с 15.05.2018 на территории  «Хаптагайкий наслег».Распоряжением главы МО «Мегино-Кангаласский Улус» Е.Гавриева от 21.05.2018 г. №71, в связи со спадом уровня воды на реке Лена  , </t>
    </r>
    <r>
      <rPr>
        <sz val="10"/>
        <color indexed="8"/>
        <rFont val="Calibri"/>
        <family val="2"/>
        <charset val="204"/>
      </rPr>
      <t xml:space="preserve">снят режим «Чрезвычайная ситуация» </t>
    </r>
    <r>
      <rPr>
        <sz val="10"/>
        <rFont val="Calibri"/>
        <family val="2"/>
        <charset val="204"/>
      </rPr>
      <t>с 21.05.2018 на территории  «Хаптагайкий наслег».</t>
    </r>
  </si>
  <si>
    <t>природный.гидрология</t>
  </si>
  <si>
    <r>
      <t xml:space="preserve">Распоряжением главы МО «Поселок Нижний Бестях» МР "Мегино-Кангаласский район" РС(Я) И.Н.Егоровой от 16.05.2018 г. №294, в связи с резким повышением уровня воды на реке Лена, затоплением дамбы, высокой вероятностью затопления части населенного пункта,для проведения аварийно-спасательных работ и неотложных аварийно-восстановительных работ  и в целях ликвидации ЧС  , </t>
    </r>
    <r>
      <rPr>
        <sz val="10"/>
        <color indexed="8"/>
        <rFont val="Calibri"/>
        <family val="2"/>
        <charset val="204"/>
      </rPr>
      <t xml:space="preserve">введен режим «Чрезвычайная ситуация» </t>
    </r>
    <r>
      <rPr>
        <sz val="10"/>
        <rFont val="Calibri"/>
        <family val="2"/>
        <charset val="204"/>
      </rPr>
      <t xml:space="preserve">с 16.05.2018 г на территории МО «Поселок Нижний Бестях».Распоряжением главы МО «Поселок Нижний Бестях» МР "Мегино-Кангаласский район" РС(Я) Ю.Н.Колмаковым от 21.05.2018 г. №311, в связи со снижением уровня воды в реке Лена,снижением угрозы подтопления домов по ул.Пристанская,Подгорная,Проточная  , </t>
    </r>
    <r>
      <rPr>
        <sz val="10"/>
        <color indexed="8"/>
        <rFont val="Calibri"/>
        <family val="2"/>
        <charset val="204"/>
      </rPr>
      <t xml:space="preserve">снят режим «Чрезвычайная ситуация» </t>
    </r>
    <r>
      <rPr>
        <sz val="10"/>
        <rFont val="Calibri"/>
        <family val="2"/>
        <charset val="204"/>
      </rPr>
      <t>с 21.05.2018 г на территории МО «Поселок Нижний Бестях».</t>
    </r>
  </si>
  <si>
    <r>
      <t xml:space="preserve">Распоряжением главы МО «Мегино-Кангаласский Улус» Н.Г.Федоров от 16.05.2018 г. №328, в связи с резким повышением уровня воды на реке Лена, разрушением 3 дамб, затоплением 1 дамбы и 3 внутрипоселковых дорог муниципального значения, высокой вероятностью затопления населенного пункта, для проведения аварийно спасательных и неотложных работ  , </t>
    </r>
    <r>
      <rPr>
        <sz val="10"/>
        <color indexed="8"/>
        <rFont val="Calibri"/>
        <family val="2"/>
        <charset val="204"/>
      </rPr>
      <t xml:space="preserve">введен режим «Чрезвычайная ситуация» </t>
    </r>
    <r>
      <rPr>
        <sz val="10"/>
        <rFont val="Calibri"/>
        <family val="2"/>
        <charset val="204"/>
      </rPr>
      <t xml:space="preserve">с 16.05.2018 г на территории МО «Нерюктяйский наслег».Распоряжением главы МО «Мегино-Кангаласский Улус» Н.Г.Федоров от 21.05.2018 г. №331, на оснавании протокола заседания №3 от 21.05.2018 г.  КЧС в связи с падением уровня воды на р.Лена , </t>
    </r>
    <r>
      <rPr>
        <sz val="10"/>
        <color indexed="8"/>
        <rFont val="Calibri"/>
        <family val="2"/>
        <charset val="204"/>
      </rPr>
      <t>снят режим «Чрезвычайная ситуация</t>
    </r>
    <r>
      <rPr>
        <sz val="10"/>
        <rFont val="Calibri"/>
        <family val="2"/>
        <charset val="204"/>
      </rPr>
      <t>»  с 21.05.2018 на территории МО «Нерюктяйский наслег».</t>
    </r>
  </si>
  <si>
    <r>
      <t xml:space="preserve">Распоряжением главы МО «Кобяйский Улус» И.Н.Спиридонов от 19.05.2018 г. №613-р, в связи с одновременным выходом в русло р.Алдан, р.Вилюй и ледоходом на реке Лена на территории Кобяйского района произошел резкий рост уровня воды в р.Лена на территории Кобяйского района произошел резкий рост уровня воды в р.Лена, </t>
    </r>
    <r>
      <rPr>
        <sz val="10"/>
        <color indexed="8"/>
        <rFont val="Calibri"/>
        <family val="2"/>
        <charset val="204"/>
      </rPr>
      <t>введен режим «Чрезвычайная ситуация»</t>
    </r>
    <r>
      <rPr>
        <sz val="10"/>
        <rFont val="Calibri"/>
        <family val="2"/>
        <charset val="204"/>
      </rPr>
      <t xml:space="preserve"> с 19.05.2018 г на территории  «с.Батамай, Ситта, Кальвица, Куокуй, п.Сангар».Распоряжением главы  И.И.Левиным от 22.10.2018 г. №1281-р, в связи с окончанием аварийно-восстановительных работ на обьектах, пострадавших от негативного воздействия паводковых вод в 2018 г., на основании решения Комиссии по ЧС и обеспечению пожарной безопасности ,</t>
    </r>
    <r>
      <rPr>
        <sz val="10"/>
        <color indexed="8"/>
        <rFont val="Calibri"/>
        <family val="2"/>
        <charset val="204"/>
      </rPr>
      <t xml:space="preserve"> снят режим «Чрезвычайная ситуация»</t>
    </r>
    <r>
      <rPr>
        <sz val="10"/>
        <rFont val="Calibri"/>
        <family val="2"/>
        <charset val="204"/>
      </rPr>
      <t xml:space="preserve"> с 22.10.2018 г на территории  «с.Батамай, Ситта, Кальвица, Куокуй, п.Сангар».</t>
    </r>
  </si>
  <si>
    <r>
      <t xml:space="preserve">Распоряжением главы МО «Арбынский Наслег» Н.А.Соловьев от 18.05.2018 г. №34, в связи с повышением уровня воды 18 мая 2018 года до критической отметки 856 см. , </t>
    </r>
    <r>
      <rPr>
        <sz val="10"/>
        <color indexed="8"/>
        <rFont val="Calibri"/>
        <family val="2"/>
        <charset val="204"/>
      </rPr>
      <t>введен режим «Чрезвычайная ситуация»</t>
    </r>
    <r>
      <rPr>
        <sz val="10"/>
        <rFont val="Calibri"/>
        <family val="2"/>
        <charset val="204"/>
      </rPr>
      <t xml:space="preserve"> с 18.05.2018 г на территории МО «Намского улуса.Распоряжением главы МО «Арбынский Наслег» Н.А.Соловьев от 23.05.2018 г. №35, в связи со спадом уровня воды в наслеге, </t>
    </r>
    <r>
      <rPr>
        <sz val="10"/>
        <color indexed="8"/>
        <rFont val="Calibri"/>
        <family val="2"/>
        <charset val="204"/>
      </rPr>
      <t>снят режим «Чрезвычайная ситуация»</t>
    </r>
    <r>
      <rPr>
        <sz val="10"/>
        <rFont val="Calibri"/>
        <family val="2"/>
        <charset val="204"/>
      </rPr>
      <t xml:space="preserve"> с 23.05.2018 на территории МО «Арбынский наслег.</t>
    </r>
  </si>
  <si>
    <r>
      <t xml:space="preserve">Распоряжением главы МО «Чурапчинский улус» А.Т.Ноговицын от 21.05.2018 г. №707, осложнением ситуации на автодорогах межпоселкового и муниципального значения в связи с одаками, </t>
    </r>
    <r>
      <rPr>
        <sz val="10"/>
        <color indexed="8"/>
        <rFont val="Calibri"/>
        <family val="2"/>
        <charset val="204"/>
      </rPr>
      <t>введен режим «Чрезвычайная ситуация»</t>
    </r>
    <r>
      <rPr>
        <sz val="10"/>
        <rFont val="Calibri"/>
        <family val="2"/>
        <charset val="204"/>
      </rPr>
      <t xml:space="preserve"> г на территории МО «Чурапчинский улус.</t>
    </r>
  </si>
  <si>
    <r>
      <t>Распоряжением главы МО «Алданский наслег» Таттинского района В.Ю.Борисовым от 15.05.2018 г. №31-а в связи с  резким подъемом уровня на реке Алдан, в целях обеспечения режима безопасного и оперативного управления в период весеннего половодья на территории МО "Алданский наслег"</t>
    </r>
    <r>
      <rPr>
        <sz val="10"/>
        <color indexed="8"/>
        <rFont val="Calibri"/>
        <family val="2"/>
        <charset val="204"/>
      </rPr>
      <t xml:space="preserve">введен режим «Чрезвычайная ситуация» </t>
    </r>
    <r>
      <rPr>
        <sz val="10"/>
        <rFont val="Calibri"/>
        <family val="2"/>
        <charset val="204"/>
      </rPr>
      <t xml:space="preserve">с 15.05.2018 г на территории МО "Алданский наслег".Распоряжением главы МО "Таттинский наслег" В.Ю.Борисовым от 18.06.2018г. №33-а, в связи со спадом  уровня воды на р.Таатта </t>
    </r>
    <r>
      <rPr>
        <sz val="10"/>
        <color indexed="8"/>
        <rFont val="Calibri"/>
        <family val="2"/>
        <charset val="204"/>
      </rPr>
      <t>снят режим "Чрезвычайная ситуация" на территории МО "Алданский наслег"</t>
    </r>
  </si>
  <si>
    <r>
      <t xml:space="preserve">Распоряжением главы МО «Татинский наслег»  Е.И.Павлов от 20.05.2018 г. №65-р в связи с прибытием большого обьема вод и стремительным увеличением уровня р.Таатта, </t>
    </r>
    <r>
      <rPr>
        <sz val="10"/>
        <color indexed="8"/>
        <rFont val="Calibri"/>
        <family val="2"/>
        <charset val="204"/>
      </rPr>
      <t xml:space="preserve">введен режим «Чрезвычайная ситуация» </t>
    </r>
    <r>
      <rPr>
        <sz val="10"/>
        <rFont val="Calibri"/>
        <family val="2"/>
        <charset val="204"/>
      </rPr>
      <t xml:space="preserve">с 20.05.2018 на территории МО "Таттинский наслег". Распоряжением главы МО "Таттинский наслег" Е.И.Павловым от 04.06.2018г. №74-р в связи с понижением уровня воды в р.Таатта </t>
    </r>
    <r>
      <rPr>
        <sz val="10"/>
        <color indexed="8"/>
        <rFont val="Calibri"/>
        <family val="2"/>
        <charset val="204"/>
      </rPr>
      <t xml:space="preserve">снят режим "Чрезвычайная ситуация" </t>
    </r>
    <r>
      <rPr>
        <sz val="10"/>
        <rFont val="Calibri"/>
        <family val="2"/>
        <charset val="204"/>
      </rPr>
      <t xml:space="preserve">на территории МО "Таттинский наслег" </t>
    </r>
  </si>
  <si>
    <r>
      <t xml:space="preserve">Распоряжением главы МО «Жохсогонский наслег»  П.Е.Захаров от 21.05.2018 г. №09-13 в связи с ухудшением паводковой обстановки на р. Таатта , подтопление приусадебных участков жилого сектора села Боробул, </t>
    </r>
    <r>
      <rPr>
        <sz val="10"/>
        <color indexed="8"/>
        <rFont val="Calibri"/>
        <family val="2"/>
        <charset val="204"/>
      </rPr>
      <t>введен режим «Чрезвычайная ситуация»</t>
    </r>
    <r>
      <rPr>
        <sz val="10"/>
        <rFont val="Calibri"/>
        <family val="2"/>
        <charset val="204"/>
      </rPr>
      <t xml:space="preserve"> на территории МО "Жохсогонский наслег".Распоряжением главы МО «Жохсогонский наслег» МР "Таттинского района" П.Е.Захаровым  от 04.06.2018 г. №09-14-р., в связи со спадом уровня воды на реке Татта , </t>
    </r>
    <r>
      <rPr>
        <sz val="10"/>
        <color indexed="8"/>
        <rFont val="Calibri"/>
        <family val="2"/>
        <charset val="204"/>
      </rPr>
      <t>снят режим «Чрезвычайная ситуация»</t>
    </r>
    <r>
      <rPr>
        <sz val="10"/>
        <rFont val="Calibri"/>
        <family val="2"/>
        <charset val="204"/>
      </rPr>
      <t xml:space="preserve"> с 04.06.2018 на территории МО «Жохсогонский наслег»  Таттинского района.</t>
    </r>
  </si>
  <si>
    <r>
      <t xml:space="preserve">Распоряжением главы МО «Октябрьский наслег» Таттинского района   М.Г.Аржаков от 21.05.2018 г. №32-р в связи с ухудшение паводковой обстановки на р. Татта, подтопление участков села Черкех, </t>
    </r>
    <r>
      <rPr>
        <sz val="10"/>
        <color indexed="8"/>
        <rFont val="Calibri"/>
        <family val="2"/>
        <charset val="204"/>
      </rPr>
      <t xml:space="preserve">введен режим «Чрезвычайная ситуация» </t>
    </r>
    <r>
      <rPr>
        <sz val="10"/>
        <rFont val="Calibri"/>
        <family val="2"/>
        <charset val="204"/>
      </rPr>
      <t xml:space="preserve"> на территории МО "Октябрьский наслег" Таттинского района.Распоряжением главы МО «Октябрьский наслег» Таттинского района   М.Г.Аржаков от 25.06.2018 г. №44-р в связи со стабилизацией гидрологической обстановки,понижением уровня воды на р."Татта" на территории Октябрьского нас лега ,завершением подсчета ущерба от весеннего половодья и с отсутсвием угрозы затопления наслега,</t>
    </r>
    <r>
      <rPr>
        <sz val="10"/>
        <color indexed="8"/>
        <rFont val="Calibri"/>
        <family val="2"/>
        <charset val="204"/>
      </rPr>
      <t xml:space="preserve"> снят</t>
    </r>
    <r>
      <rPr>
        <sz val="10"/>
        <rFont val="Calibri"/>
        <family val="2"/>
        <charset val="204"/>
      </rPr>
      <t xml:space="preserve"> </t>
    </r>
    <r>
      <rPr>
        <sz val="10"/>
        <color indexed="8"/>
        <rFont val="Calibri"/>
        <family val="2"/>
        <charset val="204"/>
      </rPr>
      <t>режим «Чрезвычайная ситуация</t>
    </r>
    <r>
      <rPr>
        <sz val="10"/>
        <rFont val="Calibri"/>
        <family val="2"/>
        <charset val="204"/>
      </rPr>
      <t>»  на территории МО "Октябрьский наслег" Таттинского района</t>
    </r>
  </si>
  <si>
    <r>
      <t xml:space="preserve">Распоряжением главы МО «Березовский национальный (кочевой) наслег» Среднеколымского района Ю.Ю.Нестеровым от 24.05.2018 г. №42 в связи с повышением уровня воды на р. Березовка, подтоплением дорог и дворовых территорий  села Березовка, </t>
    </r>
    <r>
      <rPr>
        <sz val="10"/>
        <color indexed="8"/>
        <rFont val="Calibri"/>
        <family val="2"/>
        <charset val="204"/>
      </rPr>
      <t xml:space="preserve">введен режим «Чрезвычайная ситуация» </t>
    </r>
    <r>
      <rPr>
        <sz val="10"/>
        <rFont val="Calibri"/>
        <family val="2"/>
        <charset val="204"/>
      </rPr>
      <t>с 24.05.2018 на территории  «с.Березовка»</t>
    </r>
  </si>
  <si>
    <r>
      <t xml:space="preserve">Распоряжением главы МО «Среднеколымский улус (район)»  Е.М. Слепцовым от 24.05.2018 г. №419-а в связи с повышением уровня воды на р. Березовка, подтоплением дорог и дворовых территорий  села Березовка, </t>
    </r>
    <r>
      <rPr>
        <sz val="10"/>
        <color indexed="8"/>
        <rFont val="Calibri"/>
        <family val="2"/>
        <charset val="204"/>
      </rPr>
      <t xml:space="preserve">введен режим «Чрезвычайная ситуация» </t>
    </r>
    <r>
      <rPr>
        <sz val="10"/>
        <rFont val="Calibri"/>
        <family val="2"/>
        <charset val="204"/>
      </rPr>
      <t>с 24.05.2018 на территории "Березовский национальный (кочевой) наслег"»</t>
    </r>
  </si>
  <si>
    <r>
      <t xml:space="preserve">Распоряжением главы МО «Среднеколымский улус (район)»  Е.М. Слепцовым от 25.05.2018 г. №424-а в связи с повышением уровня воды составляет 1231 см (+26 см за 2 ч) при критическом 1200 см, с подтоплением ВПП, социально значимых объектов, </t>
    </r>
    <r>
      <rPr>
        <sz val="10"/>
        <color indexed="8"/>
        <rFont val="Calibri"/>
        <family val="2"/>
        <charset val="204"/>
      </rPr>
      <t xml:space="preserve">введен режим «Чрезвычайная ситуация» </t>
    </r>
    <r>
      <rPr>
        <sz val="10"/>
        <rFont val="Calibri"/>
        <family val="2"/>
        <charset val="204"/>
      </rPr>
      <t>с 25.05.2018 на территории МО «Город Среднеколымск» и МО "Березовский национальный (кочевой) наслег"</t>
    </r>
  </si>
  <si>
    <r>
      <t xml:space="preserve">Распоряжением главы МО "п. Нижний Бестях"  МР "Мегино-Кангаласский район" РС(Я) И.Н.Егоровой от 16.05.2018 г. №294,  в связи с резким  повышением уровня воды на реке Лена , затоплением дамбы, высокой вероятностью затопления части населенного пункта, для проведения аварийно-спасательных работ и неотложных аварийоно-восстановительных работ на территории МО "поселок Нижний Бестях" и в целях ликвидации ЧС, </t>
    </r>
    <r>
      <rPr>
        <sz val="10"/>
        <color indexed="8"/>
        <rFont val="Calibri"/>
        <family val="2"/>
        <charset val="204"/>
      </rPr>
      <t>введен режим «Чрезвычайная ситуация»</t>
    </r>
    <r>
      <rPr>
        <sz val="10"/>
        <rFont val="Calibri"/>
        <family val="2"/>
        <charset val="204"/>
      </rPr>
      <t xml:space="preserve"> на территории  МО "п. Нижний Бестях".Распоряжением главы МО "п. Нижний Бестях" Ю.Н. Колмаковым от 21.05.2018 г. №311  в связи со снижением уровня воды на р. Лена, снижением угрозы подтопления домов по ул. Пристанская, Подгорная, Проточная </t>
    </r>
    <r>
      <rPr>
        <sz val="10"/>
        <color indexed="8"/>
        <rFont val="Calibri"/>
        <family val="2"/>
        <charset val="204"/>
      </rPr>
      <t>снят режим «Чрезвычайная ситуация»</t>
    </r>
    <r>
      <rPr>
        <sz val="10"/>
        <rFont val="Calibri"/>
        <family val="2"/>
        <charset val="204"/>
      </rPr>
      <t xml:space="preserve"> на территории  МО "п. Нижний Бестях".</t>
    </r>
  </si>
  <si>
    <t>Указом Главы РС (Я) Е.Борисовым от 16.05.2018 №2573, на территории МР «Томпонский район», МР «Мегино-Кангаласский район», МР «Хангаласский район», ГО «город Якутск»</t>
  </si>
  <si>
    <t>Томпонский муниципальный район, Мегино-Кангаласский муниципальный район, Хангаласский муниципальный район, Город Якутск</t>
  </si>
  <si>
    <r>
      <t xml:space="preserve">Указом Главы "г.Якутска" Е.Борисовым от 18.05.2018  №2575, в связи с затоплением паводковыми водами населенного пункта с.Сыгыннах МО "Намский улус" РС(Я), повлекшим материальный ущерб более пяти миллионов рублей и нарушение условий жизнедеятельности пострадавшего населения,  </t>
    </r>
    <r>
      <rPr>
        <sz val="10"/>
        <color indexed="8"/>
        <rFont val="Calibri"/>
        <family val="2"/>
        <charset val="204"/>
      </rPr>
      <t>введен режим «Чрезвычайная ситуация»</t>
    </r>
    <r>
      <rPr>
        <sz val="10"/>
        <rFont val="Calibri"/>
        <family val="2"/>
        <charset val="204"/>
      </rPr>
      <t xml:space="preserve"> с 18.05.2018 на территории МО «Намский район» РС(Я) </t>
    </r>
  </si>
  <si>
    <t>Распоряжением главы МО «Усть-Янский улус(район)»  Г.Н.Федоров от 01.06.2018 г. №231/1-ОД в связи со сложившейся обстановкой, связанной с повышением уровня воды р. Яна, выше критической отметки до 1023 см. и подтоплением жилых домов с. Усть-Янск, введен режим «Чрезвычайная ситуация» с 01.06.2018 на территории  МО «Усть-Янский улус(район)».Распоряжением главы МО «Усть-Янский улус(район)» Г.Н.Федоров от 09.06.2018 г. №239-ОД, в связи с падением уровня воды на р.Яна , снят режим «Чрезвычайная ситуация»  с 09.06.2018 на территории МО «Усть-Янский улус(район)».</t>
  </si>
  <si>
    <r>
      <t xml:space="preserve">Распоряжением главы МО «Казачинский национальный наслег» Усть-Янского района Р.Р.Аллагужиновым от 01.06.2018 г. №61/1-ОД в связи со сложившейся обстановкой, связанной с повышением уровня воды р. Яна, выше критической отметки до 1023 см. и подтоплением жилых домов с. Усть-Янск, введен режим «Чрезвычайная ситуация» с 01.06.2018 на территории  МО «Казачинский национальный наслег».Распоряжением главы МО «Казачинский национальный наслег» Р.Р.Аллагужин от 08.06.2018 г. №63-ОД, в связи с падением уровня воды на р.Яна , </t>
    </r>
    <r>
      <rPr>
        <sz val="10"/>
        <color indexed="8"/>
        <rFont val="Calibri"/>
        <family val="2"/>
        <charset val="204"/>
      </rPr>
      <t>снят режим «Чрезвычайная ситуация»</t>
    </r>
    <r>
      <rPr>
        <sz val="10"/>
        <rFont val="Calibri"/>
        <family val="2"/>
        <charset val="204"/>
      </rPr>
      <t xml:space="preserve">  с 08.06.2018 на территории МО «Казачинский национальный наслег».</t>
    </r>
  </si>
  <si>
    <r>
      <t xml:space="preserve">Распоряжением главы МО «Усть-Янский национальный наслег» Усть-Янского района И.В.Гороховым от 31.05.2018 г. №50-ОД в связи со сложившейся обстановкой, связанной с повышением уровня воды р. Яна, выше критической отметки до 1023 см. и подтоплением жилых домов с. Усть-Янск, </t>
    </r>
    <r>
      <rPr>
        <sz val="10"/>
        <color indexed="8"/>
        <rFont val="Calibri"/>
        <family val="2"/>
        <charset val="204"/>
      </rPr>
      <t>введен режим «Чрезвычайная ситуация»</t>
    </r>
    <r>
      <rPr>
        <sz val="10"/>
        <rFont val="Calibri"/>
        <family val="2"/>
        <charset val="204"/>
      </rPr>
      <t xml:space="preserve"> с 31.05.2018 на территории  МО «Усть-Янский национальный наслег».Распоряжением главы МО «Усть-Янский национальный наслег» И.В.Горохов от 07.06.2018 г. №54-ОД, в связи с падением уровня воды на р.Яна , снят режим «Чрезвычайная ситуация»  с 07.06.2018 на территории МО «Усть-Янский национальный наслег».</t>
    </r>
  </si>
  <si>
    <r>
      <t xml:space="preserve">Распоряжением главы Врио РС(Я) А.Николаевым от 22.06.2018 г. №2695 в связи с затоплением паводковыми водами населенных пунктов с.Березовка (сельское поселение "Березовский национальный (кочевой) наслег").г. Среднеколымск, </t>
    </r>
    <r>
      <rPr>
        <sz val="10"/>
        <color indexed="8"/>
        <rFont val="Calibri"/>
        <family val="2"/>
        <charset val="204"/>
      </rPr>
      <t xml:space="preserve">введен режим «Чрезвычайная ситуация» </t>
    </r>
    <r>
      <rPr>
        <sz val="10"/>
        <rFont val="Calibri"/>
        <family val="2"/>
        <charset val="204"/>
      </rPr>
      <t>с 24.05.2018 на территории  МО «Среднеколымский район» РС(Я)</t>
    </r>
  </si>
  <si>
    <r>
      <t xml:space="preserve">Распоряжением главы МО «ЧН Халарчинский наслег» Нижнеколымского района П.А. Котельниковым от 01.06.2018 г. №65 в связи со сложной обстановкой, вызванной повышением уровня р. Колыма, угрожающей подтоплением дворовых территорий и жилых домов. угрозой затопления системы электрообеспечения и теплоснабжения на территории с. Колымское </t>
    </r>
    <r>
      <rPr>
        <sz val="10"/>
        <color indexed="8"/>
        <rFont val="Calibri"/>
        <family val="2"/>
        <charset val="204"/>
      </rPr>
      <t>введен режим «Чрезвычайная ситуация»</t>
    </r>
    <r>
      <rPr>
        <sz val="10"/>
        <rFont val="Calibri"/>
        <family val="2"/>
        <charset val="204"/>
      </rPr>
      <t xml:space="preserve"> с 01.06.2018 на территории  МО «ЧН Халарчинский наслег».</t>
    </r>
  </si>
  <si>
    <t xml:space="preserve">Указом Врио Главы Республики Саха (Якутия) А.С. Николаевым от 02.06.2018  №2640, в связи с затоплением паводковыми водами населенного пункта с.Усть-Янск (района) РС (Я), в результате которого количество пострадавших составило 265 человек,  введен режим «Чрезвычайная ситуация» Региональныйионального характера с 02.06.2018 на территории  МО «Усть-Янский район»РС(Я) </t>
  </si>
  <si>
    <r>
      <t xml:space="preserve">Распоряжением главы администрации МР «Нижнеколымский район" РС(Я) И.П.Суздоловым от 05.06.2018 г. №190, </t>
    </r>
    <r>
      <rPr>
        <sz val="10"/>
        <color indexed="8"/>
        <rFont val="Calibri"/>
        <family val="2"/>
        <charset val="204"/>
      </rPr>
      <t xml:space="preserve"> введен режим «Чрезвычайная ситуация»</t>
    </r>
    <r>
      <rPr>
        <sz val="10"/>
        <rFont val="Calibri"/>
        <family val="2"/>
        <charset val="204"/>
      </rPr>
      <t xml:space="preserve"> с 05.06.2018 на территории  для органов управления сил и средств Нижнеколымского районного звена Якутской территориальной подсистемы Единой государственной системы предупреждения и ликвидации ЧС</t>
    </r>
  </si>
  <si>
    <t>Указом Врио Главы Республики Саха (Якутия) № 2639 от 01 июня 2018г. введен режим «ЧРЕЗВЫЧАЙНАЯ СИТУАЦИЯ» Региональныйионального характера на территории МО «Чукотский национальный Халарчинский наслег» муниципального района «Нижнеколымский район» Республики Саха (Якутия)</t>
  </si>
  <si>
    <t xml:space="preserve">Указом Врио Главы Республики Саха (Якутия) А.С. Николаевым от 07.06.2018  №2650, в связи с затоплением паводковыми водами населенного пункта с. Походск (МО "Походский наслег") Нижнеколымского улуса (района) РС (Я), в результате которого в зоне подтопления оказалось население в количестве 128 человек, в том числе 35 детей,  введен режим «Чрезвычайная ситуация» Региональныйионального характера с 07.06.2018 на территории  МО «Походский наслег» </t>
  </si>
  <si>
    <t>лесной пожар</t>
  </si>
  <si>
    <t xml:space="preserve"> Постановлением И.О главы Усть-Майского улуса В.А.Илларионовым 29 мая 2018 г №313-П объявить режим чрезвычайной ситуации муниципального характера в лесах , возникшей вследствии лесных пожаров на территории "Усть-Майского улуса (района)". Постановление И.О главы Усть-Майского улуса В.А.Илларионовым , в связи со стабилизацией лесопожарной обстановки , ликвидации лесного пожара №1А : отменить с 1 июня 2018 года режим чрезвычайной ситуации муниципального характера в лесах , возникшей вследствие лесных пожаров на территории "Усмть-Майского райоа".        </t>
  </si>
  <si>
    <t xml:space="preserve">             лесной пожар </t>
  </si>
  <si>
    <t>Распоряжением главы муниципального образования "Таттинского наслега" Е.И.Павловым 20 мая 2018 г №65-р , признать ситуацию сложившуюся 20 мая 2018 года на территории муниципального образования "Таттинский наслег" режим "чрезвычайной ситуации". Распоряжением главы МР"Таттинского района" М.М.Соровым от  22 июня 2018 г 832-р. , в связи с ликвидацией лесного пожара и установлением 2-3 класса пожарной опасности в лесах на территории Таттинского улуса , снят режим ЧС на территории МО "Таттинский улус" РС(Я) с 22.06.2018 г.</t>
  </si>
  <si>
    <t xml:space="preserve">лесной пожар </t>
  </si>
  <si>
    <r>
      <t xml:space="preserve">Распоряжением главы МР «Вилюйский улус» от 02.07.2018 №499 введен режим «Чрезвычайная ситуация» в лесах муниципального характера на территории Вилюйского района.Распоряжением главы МР «Вилюйский улус» С.Н.Винокуровым от 01.08.2018 №600, </t>
    </r>
    <r>
      <rPr>
        <sz val="10"/>
        <color indexed="8"/>
        <rFont val="Calibri"/>
        <family val="2"/>
        <charset val="204"/>
      </rPr>
      <t>снят режим «Чрезвычайная ситуация» в лесах муниципального характера на территории Вилюйского района.</t>
    </r>
  </si>
  <si>
    <r>
      <t xml:space="preserve">Распоряжением главы МР «Нюрбинский район» от 13.07.2018 №1180, в связи с действующим крупным лесным пожаром, </t>
    </r>
    <r>
      <rPr>
        <sz val="10"/>
        <color indexed="8"/>
        <rFont val="Calibri"/>
        <family val="2"/>
        <charset val="204"/>
      </rPr>
      <t>введен режим «Чрезвычайная ситуация» на территории Нюрбинского района.Распоряжением главы МР «Нюрбинский район» А.М.Иннокентьевым от 20.08.2018 г.№1605, в связи со стабилизацией лесопожарной обстановки , снят режим «Чрезвычайная ситуация» на территории Нюрбинского района с 07.08.2018г.</t>
    </r>
  </si>
  <si>
    <r>
      <t xml:space="preserve">Распоряжением главы МО «Чурапчинский район» РС(Я) А.Т.Ноговицын от 02.06.2018 г. №779 вследствие лесного пожара на территории Чурапчинского района  РС(Я), </t>
    </r>
    <r>
      <rPr>
        <sz val="10"/>
        <color indexed="8"/>
        <rFont val="Calibri"/>
        <family val="2"/>
        <charset val="204"/>
      </rPr>
      <t>введен режим «Чрезвычайная ситуация» с 02.06.2018 г на территории «Чурапчинский район».Распоряжением главы МО «Чурапчинский район» РС(Я) А.Т.Ноговицын от 05.06.2018 г. №782 , в связи с ликвидацией  лесного пожара №2 А на территории Чакырского наслега Чурапчинского района, снят режим «Чрезвычайная ситуация» с 05.06.2018 г на территории «Чурапчинский район».</t>
    </r>
  </si>
  <si>
    <r>
      <t xml:space="preserve">Решением Администрации МО "Среднеколымский район" Комиссия по предупреждению  и лиувидации ЧС и обеспечению пожарной безопасно от 22.06.2018 г. №21, уровень паводковой воды в с.Сватай составиляет 751 см, что превышает критический уровень 750 см. Главой МО "Мятисский 2-наслег" №20  , </t>
    </r>
    <r>
      <rPr>
        <sz val="10"/>
        <color indexed="8"/>
        <rFont val="Calibri"/>
        <family val="2"/>
        <charset val="204"/>
      </rPr>
      <t>введен режим «Чрезвычайная ситуация» с 22.06.2018 г на территориальной посистемы РСЧС «Среднеколымского района».</t>
    </r>
  </si>
  <si>
    <r>
      <t xml:space="preserve">Распоряжением главы МО «Город Среднеколымск» Городская администрация   В.И.Шаборшин от 25.05.2018 г. №89-р в связи с превышением критического уровня воды на реке Колыма в районе Среднеколымск  , </t>
    </r>
    <r>
      <rPr>
        <sz val="10"/>
        <color indexed="8"/>
        <rFont val="Calibri"/>
        <family val="2"/>
        <charset val="204"/>
      </rPr>
      <t>введен режим «Чрезвычайная ситуация» с 25.05.2018 г на территории МО «Город Среднеколымс».</t>
    </r>
  </si>
  <si>
    <r>
      <t xml:space="preserve">Распоряжение  Главы РС(Я) Е.Борисов от 24.05.2018 г. №2583/а в связи с затоплением паводкыми водами населенного пункта " с.Сватай Среднеколымского района РС(Я )(сельское поселение "Мятисский 2-наслег"), </t>
    </r>
    <r>
      <rPr>
        <sz val="10"/>
        <color indexed="8"/>
        <rFont val="Calibri"/>
        <family val="2"/>
        <charset val="204"/>
      </rPr>
      <t xml:space="preserve">введен режим «Чрезвычайная ситуация» с 22.06.2018 г на территории МО "Мятисский 2-й наслег" Среднеколымского района РС(Я).Распоряжение о внесении измений  Главы Врио РС(Я) А.Николаев от 24.05.2018 г. №2633 в связи с затоплением паводкыми водами населенного пункта "г. Среднеколымск (городское поселение "г Среднеколымск)" дополнить словами, "с. Налимск (сельское поселение "Байдинский наслег")" МО "Среднеколымский район" РС(Я)  , введен режим «Чрезвычайная ситуация» с 30.05.2018 г на территории с. Налимск (сельское поселение "Байдинский наслег")" МО "Среднеколымский район" РС(Я)  </t>
    </r>
  </si>
  <si>
    <r>
      <t xml:space="preserve">Распоряжением Заместителя главы МО "Мятисский 2-й наслег" Д.Н.Борисова от 22.06.2018 г. №20 в связи с превышением критического уровня воды на реке Алазея, подтоплением дорог и дворовых территорий, </t>
    </r>
    <r>
      <rPr>
        <sz val="10"/>
        <color indexed="8"/>
        <rFont val="Calibri"/>
        <family val="2"/>
        <charset val="204"/>
      </rPr>
      <t>введен режим «Чрезвычайная ситуация» с 30.06.2018 г на территории с.Сватай</t>
    </r>
  </si>
  <si>
    <r>
      <t xml:space="preserve">Распоряжением Главы МО "Байдинский наслег  В.П.Оконешников  от 30.05.2018 г.  №33 в связи с превышением критического уровня воды в оз. Налимск, </t>
    </r>
    <r>
      <rPr>
        <sz val="10"/>
        <color indexed="8"/>
        <rFont val="Calibri"/>
        <family val="2"/>
        <charset val="204"/>
      </rPr>
      <t>введен режим «Чрезвычайная ситуация» с 30.05.2018 г на территории МО "Байдинский наслег"</t>
    </r>
  </si>
  <si>
    <r>
      <t xml:space="preserve">Распоряжением Главы МО "Среднеколымский район" Е.М.Слепцов  от 30.05.2018 г.  №441-а в связи с подтоплением паводковыми водами , </t>
    </r>
    <r>
      <rPr>
        <sz val="10"/>
        <color indexed="8"/>
        <rFont val="Calibri"/>
        <family val="2"/>
        <charset val="204"/>
      </rPr>
      <t>введен режим «Чрезвычайная ситуация» с 30.05.2018 г на территории МО  "Город Среднеколымск", МО Березовский национальный кочевой наслег" и МО "Байдинский наслег"</t>
    </r>
  </si>
  <si>
    <r>
      <t xml:space="preserve">Распоряжением Главы МО "Среднеколымский район" Е.М.Слепцов  от 06.06.2018 г.  №517-а в связи с подтоплением паводковыми водами 6 дворовых территорий, а также обьекта ДЭС, составляет 788 см при критическом уровне 777 см , </t>
    </r>
    <r>
      <rPr>
        <sz val="10"/>
        <color indexed="8"/>
        <rFont val="Calibri"/>
        <family val="2"/>
        <charset val="204"/>
      </rPr>
      <t>введен режим «Чрезвычайная ситуация» с 06.06.2018 г на территории МО  "Мятисский 2-1 наслег", МО "Алазейский наслег".</t>
    </r>
  </si>
  <si>
    <r>
      <t xml:space="preserve">Распоряжением И.о.  главы улусной (районной) администрации МО "Среднеколымский район" Гаврильевым  от 22.06.2018 г.  №482-а в связи с подтоплением паводковыми водами 22 дворовых территорий, авиаплощадки , </t>
    </r>
    <r>
      <rPr>
        <sz val="10"/>
        <color indexed="8"/>
        <rFont val="Calibri"/>
        <family val="2"/>
        <charset val="204"/>
      </rPr>
      <t>введен режим «Чрезвычайная ситуация» с 22.06.2018 г на территории МО  "Мятисский 2-1 наслег".</t>
    </r>
  </si>
  <si>
    <r>
      <t xml:space="preserve">Распоряжением Главы МО "Алазейский наслег" А.Н.Сивцев от 06.07.2018 г.  №49 в связи с повышением уровня воды на реке Алазея, подтоплением дорог и дворовых территорий и территорий обьектов села Аргахтах, </t>
    </r>
    <r>
      <rPr>
        <sz val="10"/>
        <color indexed="8"/>
        <rFont val="Calibri"/>
        <family val="2"/>
        <charset val="204"/>
      </rPr>
      <t>введен режим «Чрезвычайная ситуация» с 06.07.2018 г на территории населенного пункта с.Аргахтах.</t>
    </r>
  </si>
  <si>
    <r>
      <t xml:space="preserve">Распоряжением главы МР "Горный район" РС(Я)  Ю.А.Алексеевым от 10.07.2018 г. №810/18-1, в связи с угрозой распространения лесного пожара в сторону с.Ерт, </t>
    </r>
    <r>
      <rPr>
        <sz val="10"/>
        <color indexed="8"/>
        <rFont val="Calibri"/>
        <family val="2"/>
        <charset val="204"/>
      </rPr>
      <t>введен режим «Чрезвычайная ситуация»</t>
    </r>
    <r>
      <rPr>
        <sz val="10"/>
        <rFont val="Calibri"/>
        <family val="2"/>
        <charset val="204"/>
      </rPr>
      <t xml:space="preserve"> с 10.07.2018 г. на территории МР "Горный район" РС(Я) . Распоряжением главы МР "Горный район" РС(Я)  Ю.А.Алексеевым от 02.08.2018 г. №897/18, в связи со стабилизацией лесопожарной обстановки и снижением до 1 класса пожарной опасности в лесном фонде Горного улуса по данным ФГБУ </t>
    </r>
    <r>
      <rPr>
        <sz val="10"/>
        <color indexed="8"/>
        <rFont val="Calibri"/>
        <family val="2"/>
        <charset val="204"/>
      </rPr>
      <t xml:space="preserve">снят режим «Чрезвычайная ситуация» </t>
    </r>
    <r>
      <rPr>
        <sz val="10"/>
        <rFont val="Calibri"/>
        <family val="2"/>
        <charset val="204"/>
      </rPr>
      <t xml:space="preserve">с 02.08.2018 г. на территории МР "Горный район" РС(Я) </t>
    </r>
  </si>
  <si>
    <r>
      <t xml:space="preserve">Распоряжением главы  наслега МО «Арыктахский наслег» Кобяйского района РС(Я) А.С.Сивцевым от 18.07.2018 г. №77 в связи с угрозой природного пожара населенному пункту Люксюгюн МО "Арыктахский наслег", </t>
    </r>
    <r>
      <rPr>
        <sz val="10"/>
        <color indexed="8"/>
        <rFont val="Calibri"/>
        <family val="2"/>
        <charset val="204"/>
      </rPr>
      <t>введен режим «Чрезвычайная ситуация»</t>
    </r>
    <r>
      <rPr>
        <sz val="10"/>
        <rFont val="Calibri"/>
        <family val="2"/>
        <charset val="204"/>
      </rPr>
      <t xml:space="preserve"> с 18.07.2018 на территории МО "Арыктахский наслег".Распоряжением главы  наслега МО «Арыктахский наслег» Кобяйского района РС(Я) А.С.Сивцевым от 25.07.2018 г. №80-р, в связи со стабилизациейобстановки,ликвидацией лесного пожара ЛП-19А, </t>
    </r>
    <r>
      <rPr>
        <sz val="10"/>
        <color indexed="8"/>
        <rFont val="Calibri"/>
        <family val="2"/>
        <charset val="204"/>
      </rPr>
      <t>снят режим «Чрезвычайная ситуация»</t>
    </r>
    <r>
      <rPr>
        <sz val="10"/>
        <rFont val="Calibri"/>
        <family val="2"/>
        <charset val="204"/>
      </rPr>
      <t xml:space="preserve"> с 25.07.2018 на территории МО "Арыктахский наслег"</t>
    </r>
  </si>
  <si>
    <r>
      <t xml:space="preserve">Распоряжением Администрации МР  «Усть-Майского района» РС(Я) В.А.Илларионовым от 18.07.2018 г. №261-р. Возникшим вследствии лесных пожаров, действием лесного пожара №12А(ЗК) с приростом до 3500 га (К-1380, К-1384,К-1272 обьединились в один пожар) более пяти суток,установлением сухой ,ветреной погоды, </t>
    </r>
    <r>
      <rPr>
        <sz val="10"/>
        <color indexed="8"/>
        <rFont val="Calibri"/>
        <family val="2"/>
        <charset val="204"/>
      </rPr>
      <t>введен режим «Чрезвычайная ситуация»</t>
    </r>
    <r>
      <rPr>
        <sz val="10"/>
        <rFont val="Calibri"/>
        <family val="2"/>
        <charset val="204"/>
      </rPr>
      <t xml:space="preserve"> с 18.07.2018 на территории Усть-Майского района.Распоряжением Администрации МР  «Усть-Майского района» РС(Я) В.А.Илларионовым от 25.07.2018 г. №268-р. ,в связи со стабилизацией лесопожарной обстановки,ликвидации лесного пожара №12 А(ЗК), </t>
    </r>
    <r>
      <rPr>
        <sz val="10"/>
        <color indexed="8"/>
        <rFont val="Calibri"/>
        <family val="2"/>
        <charset val="204"/>
      </rPr>
      <t>снят режим «Чрезвычайная ситуация»</t>
    </r>
    <r>
      <rPr>
        <sz val="10"/>
        <rFont val="Calibri"/>
        <family val="2"/>
        <charset val="204"/>
      </rPr>
      <t xml:space="preserve"> с 25.07.2018 на территории Усть-Майского района</t>
    </r>
  </si>
  <si>
    <r>
      <t xml:space="preserve">Распоряжением главы МО "Тыайинский наслег" Кобяйский район П.И.Поповым от 17.07.2018 г. №57, в связи угрозой природногопажара населенному пункту Тыайа МО "Тыайинский наслег", </t>
    </r>
    <r>
      <rPr>
        <sz val="10"/>
        <color indexed="8"/>
        <rFont val="Calibri"/>
        <family val="2"/>
        <charset val="204"/>
      </rPr>
      <t>введен режим «Чрезвычайная ситуация»</t>
    </r>
    <r>
      <rPr>
        <sz val="10"/>
        <rFont val="Calibri"/>
        <family val="2"/>
        <charset val="204"/>
      </rPr>
      <t xml:space="preserve"> с 17.07.2018 на территории МО "Тыайинский наслег".Распоряжением главы МО "Тыайинский наслег" Кобяйский район П.И.Поповым от 28.07.2018 г. №59, в связи со стабилизацией лесопожарной обстановки, </t>
    </r>
    <r>
      <rPr>
        <sz val="10"/>
        <color indexed="8"/>
        <rFont val="Calibri"/>
        <family val="2"/>
        <charset val="204"/>
      </rPr>
      <t>снят режим «Чрезвычайная ситуация»</t>
    </r>
    <r>
      <rPr>
        <sz val="10"/>
        <rFont val="Calibri"/>
        <family val="2"/>
        <charset val="204"/>
      </rPr>
      <t xml:space="preserve"> с 28.07.2018 на территории МО "Тыайинский наслег"</t>
    </r>
  </si>
  <si>
    <t>Указом Врио Главы Республики Саха (Якутия) № 2720 от 06.07.2018г. введен режим функционирования «ЧРЕЗВЫЧАЙНАЯ СИТУАЦИЯ» в лесах Региональныйионального характера, возникшей в следствии лесных пожаров на территории Республики Саха (Якутия). В связи с введением чрезвычайной ситуации в лесах муниципального характера на территории Намского улуса, Вилюйской группы районов, наступлением IV-V класса пожарной опасности в лесах, увеличением количества и площади лесных пожаров в результате неблагоприятных природных условий, сухими грозами на территории Республики Саха (Якутия).Указом Врио Главы Республики Саха (Якутия) № 2791 от 07.08.2018г. снят режим функционирования «ЧРЕЗВЫЧАЙНАЯ СИТУАЦИЯ» в лесах Региональныйионального характера, возникшей в следствии лесных пожаров на территории Республики Саха (Якутия). В связи с локализацией лесных пожаров на обслуживаемой зоне лесного фонда , отменой режимов ЧС в лесах муниципального характера  в Верхневилюйском, Вилюйском и Намском районах, снижением до !  и 2 класса пожарной опасности на территории Республики Саха (Якутия)..Указом Главы Республики Саха (Якутия) № 2791 от 07 августа 2018г. , снят режим «ЧРЕЗВЫЧАЙНАЯ СИТУАЦИЯ» Региональныйионального характера на территории Республики Саха (Якутия) с 07.08.2018 г.</t>
  </si>
  <si>
    <r>
      <t xml:space="preserve">Распоряжением МО «Намский район» РС(Я) И.о.Главы района Е.Е.Гоголевым от 03.07.2018 г. №1496, в связи возникновением крупного лесного пожара №6Ана территории Тюбятского наслега на площиди 200 га (лесная-100 га,нелесная 100 га), </t>
    </r>
    <r>
      <rPr>
        <sz val="10"/>
        <color indexed="8"/>
        <rFont val="Calibri"/>
        <family val="2"/>
        <charset val="204"/>
      </rPr>
      <t>введен режим «Чрезвычайная ситуация»</t>
    </r>
    <r>
      <rPr>
        <sz val="10"/>
        <rFont val="Calibri"/>
        <family val="2"/>
        <charset val="204"/>
      </rPr>
      <t xml:space="preserve"> с 03.07.2018 на территории Намского района.Распоряжением МО «Намский район» РС(Я) И.о.Главы района Е.Е.Гоголевым от 03.08.2018 г. №1646-р в связи с отсутствием угрозы возникновения ЧС в лесах и ликвидацией крупных лесных пожаров , с</t>
    </r>
    <r>
      <rPr>
        <sz val="10"/>
        <color indexed="8"/>
        <rFont val="Calibri"/>
        <family val="2"/>
        <charset val="204"/>
      </rPr>
      <t>нят режим «Чрезвычайная ситуация» с 03.08.2018 г.</t>
    </r>
    <r>
      <rPr>
        <sz val="10"/>
        <rFont val="Calibri"/>
        <family val="2"/>
        <charset val="204"/>
      </rPr>
      <t xml:space="preserve"> на территории Намского района</t>
    </r>
  </si>
  <si>
    <r>
      <t xml:space="preserve">Распоряжением главы МО "Кировский эвенский национальный наслег" Кобяйского района РС(Я)  М.Н.Алексеевым от 09.07.2018 г. №39, в связи угрозой природного пажара населенному пункту Батамай МО "Кировский национальный наслег", </t>
    </r>
    <r>
      <rPr>
        <sz val="10"/>
        <color indexed="8"/>
        <rFont val="Calibri"/>
        <family val="2"/>
        <charset val="204"/>
      </rPr>
      <t>введен режим «Чрезвычайная ситуация»</t>
    </r>
    <r>
      <rPr>
        <sz val="10"/>
        <rFont val="Calibri"/>
        <family val="2"/>
        <charset val="204"/>
      </rPr>
      <t xml:space="preserve"> с 09.07.2018 г. на территории МО "Кировский эвенский национальный наслег".Распоряжением главы МО "Кировский эвенский национальный наслег" Кобяйского района РС(Я)  М.Н.Алексеевым от 23.07.2018 г. №42, в связи со снятием угрозы лесного пожара селу Батамай МО "Кировский эвенский национальный наслег", с</t>
    </r>
    <r>
      <rPr>
        <sz val="10"/>
        <color indexed="8"/>
        <rFont val="Calibri"/>
        <family val="2"/>
        <charset val="204"/>
      </rPr>
      <t>нят режим «Чрезвычайная ситуация»</t>
    </r>
    <r>
      <rPr>
        <sz val="10"/>
        <rFont val="Calibri"/>
        <family val="2"/>
        <charset val="204"/>
      </rPr>
      <t xml:space="preserve"> с 23.07.2018 г. на территории МО "Кировский национальный наслег"</t>
    </r>
  </si>
  <si>
    <r>
      <t xml:space="preserve">Распоряжением главы МО "Малтанинский наслег" МР "Горный район"РС(Я)  А.С.Алексеевой от 21.07.2018 г. №29, в связи с расширением лесного пожара №11 АЗК и угрозой населенному с.Кептин, </t>
    </r>
    <r>
      <rPr>
        <sz val="10"/>
        <color indexed="8"/>
        <rFont val="Calibri"/>
        <family val="2"/>
        <charset val="204"/>
      </rPr>
      <t>введен режим «Чрезвычайная ситуация»</t>
    </r>
    <r>
      <rPr>
        <sz val="10"/>
        <rFont val="Calibri"/>
        <family val="2"/>
        <charset val="204"/>
      </rPr>
      <t xml:space="preserve"> с 21.07.2018 г. на территории МО "Малтининский наслег".Распоряжением главы МО "Малтанинский наслег" МР "Горный район"РС(Я)  А.С.Алексеевой от 08.08.2018 г. №40, в связи со стабилизацией лесопожарной обстановки , </t>
    </r>
    <r>
      <rPr>
        <sz val="10"/>
        <color indexed="8"/>
        <rFont val="Calibri"/>
        <family val="2"/>
        <charset val="204"/>
      </rPr>
      <t xml:space="preserve">снят режим «Чрезвычайная ситуация» </t>
    </r>
    <r>
      <rPr>
        <sz val="10"/>
        <rFont val="Calibri"/>
        <family val="2"/>
        <charset val="204"/>
      </rPr>
      <t>с 08.08.2018 г. на территории МО "Малтининский наслег".</t>
    </r>
  </si>
  <si>
    <r>
      <t xml:space="preserve">Распоряжением Главы МО "Октемский наслег" Хангаласского района РС(Я) А.Н.Большаковым от 20.07.2018 г.  №118-о, в связи с резким подъемом уровня воды на реке Лена,разрушением гидротехнического сооружения водохранилища "Кюмюк-Юрях" и угрозой подтопления жилых домов , </t>
    </r>
    <r>
      <rPr>
        <sz val="10"/>
        <color indexed="8"/>
        <rFont val="Calibri"/>
        <family val="2"/>
        <charset val="204"/>
      </rPr>
      <t>введен режим «Чрезвычайная ситуация» с 20.07.2018 г на территории МО"Октемский наслег".Распоряжением Главы МО "Октемский наслег" Хангаласского района РС(Я) А.Н.Большаковым от 30.07.2018 г.  №123-о, в связи со стабилизацией обстановки,повсеместнымпостепенным снижением уровней воды в населенных пунктах Хангаласского района , снят режим «Чрезвычайная ситуация» с 30.07.2018 г на территории МО"Октемский наслег".</t>
    </r>
  </si>
  <si>
    <r>
      <t xml:space="preserve">Распоряжением Главы МО "Сордоннохский наслег" Оймяконского района РС(Я) И.Е.Максимовым от 01.08.2018 г.  №23, в связи  с поднятием уровня воды в реке Индинирка , </t>
    </r>
    <r>
      <rPr>
        <sz val="10"/>
        <color indexed="8"/>
        <rFont val="Calibri"/>
        <family val="2"/>
        <charset val="204"/>
      </rPr>
      <t>введен режим «Чрезвычайная ситуация» с 01.07.2018 г на территории МО"Сордоннохский наслег".Распоряжением Главы МО "Сордоннохский наслег" Оймяконского района РС(Я) И.Е.Максимовым от 06.08.2018 г.  №25, в связи  с выполнением мероприятий по ликвидации ЧС, снят режим «Чрезвычайная ситуация» с 06.08.2018 г на территории МО"Сордоннохский наслег".</t>
    </r>
  </si>
  <si>
    <r>
      <t xml:space="preserve">Распоряжением Главы Администрации  МО "Борогонский 2-й наслег" Оймяконского района РС(Я) Н.Н.Протоповым от 02.08.2018 г.  №23, в связи  с поднятием уровня воды в реках Куйдусун и Буар-Юрях, размытием дорожного полотна от с. Томтор до уч.Куйдусун, </t>
    </r>
    <r>
      <rPr>
        <sz val="10"/>
        <color indexed="8"/>
        <rFont val="Calibri"/>
        <family val="2"/>
        <charset val="204"/>
      </rPr>
      <t>введен режим «Чрезвычайная ситуация» с 02.08.2018 г на территории МО "Борогонский 2-й наслег" .Распоряжением Главы Администрации  МО "Борогонский 2-й наслег" Оймяконского района РС(Я) Н.Н.Протоповым от 15.08.2018 г.  №25, в связи  с окончанием работ по ликвидации последствий ЧС , снят режим «Чрезвычайная ситуация» с 15.08.2018 г на территории МО "Борогонский 2-й наслег" .</t>
    </r>
  </si>
  <si>
    <t>Распоряжением Первым заместителем главы МО " Оймяконский район" И.П.Водовозовым от 04.08.2018 г.  №308, в связи  с размывом муниципальных дорог на территории МО  "Оймякон Полюс Холода", Оймякон,с. БеРегиональный-Юрдя, с. Хара-Тумул, МО "Сордонохский наслег" Орто-Балаган, МО Борогонский 2-й наслег, с.Томтор, подтопление придомовых территорий ,жилых домов,производственных помещений сенокосных угодий, в связи негативным воздействием паводковых вод, введен режим «Чрезвычайная ситуация» с 04.07.2018 г для органов управления и сил Оймяконского звена Якутской территориальной подсистемы РСЧС.</t>
  </si>
  <si>
    <t>Распоряжением Главы МО "Оймякон Полюс Холода" Оймяконского района РС(Я) П.В.Васильевым от 01.08.2018 г.  №101, в связи  с поднятием уровня воды в реке Индинирка  после проливных дождей , из-за отсутствия света и связи в с.БеРегиональный-Юрдя, размытием дорожного полотна и мостов, введен режим «Чрезвычайная ситуация» с 01.07.2018 г на территории "Оймякон Полюс Холода" ".Распоряжением Главы МО "Оймякон Полюс Холода" Оймяконского района РС(Я) П.В.Васильевым от 16.08.2018 г.  №110, на основании протеста №7-17-2018 от 14.08.2018 г. Прокуратуры Оймяконского района , снят режим «Чрезвычайная ситуация» с 01.08.2018 г на территории "Оймякон Полюс Холода" ".</t>
  </si>
  <si>
    <r>
      <t xml:space="preserve">Распоряжением главы И.о. главы МО «Булунский улус (район)»  Н.В.Казновым от 09.08.2018 г. №397-р, в связи с расположением водохранилища на межпоселеченской территории и в целях предотвращения угрозы остановки деятельности объектов жизнеобеспечения, на озере Мелкое, </t>
    </r>
    <r>
      <rPr>
        <sz val="10"/>
        <color indexed="8"/>
        <rFont val="Calibri"/>
        <family val="2"/>
        <charset val="204"/>
      </rPr>
      <t>введен режим «Чрезвычайная ситуация» с 09.08.2018 на территории " Булунский район»</t>
    </r>
  </si>
  <si>
    <r>
      <t xml:space="preserve">Распоряжением И.о. главы МР "Усть-Майский район" В.А.Илларионовым от 10.09.2018 г. №434-р, в связи с выпадением обильных осадков в горной части , </t>
    </r>
    <r>
      <rPr>
        <sz val="10"/>
        <color indexed="8"/>
        <rFont val="Calibri"/>
        <family val="2"/>
        <charset val="204"/>
      </rPr>
      <t>введен режим «Чрезвычайная ситуация»</t>
    </r>
    <r>
      <rPr>
        <sz val="10"/>
        <rFont val="Calibri"/>
        <family val="2"/>
        <charset val="204"/>
      </rPr>
      <t xml:space="preserve"> с 10.09.2018 г. на территории  "Усть-Майский район".Распоряжением  главы МР "Усть-Майский район" А.А.Антипиным от 05.10.2018 г. №462-р, в связи с завершением аварийно-востановительных работ на автомлбильной дороге "Амга на участке Эльдикан-Солнечный=Югоренок,обеспечением транспортного сообщения между населенными пунктами Эльдикан,Солнечный,Югоренок ,</t>
    </r>
    <r>
      <rPr>
        <sz val="10"/>
        <color indexed="8"/>
        <rFont val="Calibri"/>
        <family val="2"/>
        <charset val="204"/>
      </rPr>
      <t xml:space="preserve"> снят режим «Чрезвычайная ситуация» </t>
    </r>
    <r>
      <rPr>
        <sz val="10"/>
        <rFont val="Calibri"/>
        <family val="2"/>
        <charset val="204"/>
      </rPr>
      <t>с 03.10.2018 г. на территории  "Усть-Майский район"</t>
    </r>
  </si>
  <si>
    <r>
      <t xml:space="preserve">Распоряжением  главы МР "Амгинский район" Н.А.Архиповым от 10.09.2018 г. №1189, в связи с гибелью сельхозяйственных посевных зерновых культур на площади 3400 га,в результате проливных дождей с 5 по 7 сентября и мокрого снега с 8 по 9 сентября , </t>
    </r>
    <r>
      <rPr>
        <sz val="10"/>
        <color indexed="8"/>
        <rFont val="Calibri"/>
        <family val="2"/>
        <charset val="204"/>
      </rPr>
      <t>введен режим «Чрезвычайная ситуация»</t>
    </r>
    <r>
      <rPr>
        <sz val="10"/>
        <rFont val="Calibri"/>
        <family val="2"/>
        <charset val="204"/>
      </rPr>
      <t xml:space="preserve"> с 10.09.2018 г. на территории  МР "Амгинский район" .Распоряжением И.о. главы МР "Амгинский район" Д.Д.Ивановым  от 24.09.2018 г. №1227, в связи с гибелью посевных зерновых культур вследствии продолжительных ливневых дождей и мокрого снега , </t>
    </r>
    <r>
      <rPr>
        <sz val="10"/>
        <color indexed="8"/>
        <rFont val="Calibri"/>
        <family val="2"/>
        <charset val="204"/>
      </rPr>
      <t xml:space="preserve">снят режим «Чрезвычайная ситуация» </t>
    </r>
    <r>
      <rPr>
        <sz val="10"/>
        <rFont val="Calibri"/>
        <family val="2"/>
        <charset val="204"/>
      </rPr>
      <t xml:space="preserve">с 24.09.2018 г. на территории  МР "Амгинский район" </t>
    </r>
  </si>
  <si>
    <r>
      <t xml:space="preserve">Распоряжением главы МО «Баягинский наслег»  Р.Р.Романовым от 10.09.2018 г. №28, в связи с нарушением жизнедеятельности населения, с острой нехваткой запасов продуктов питания,лекарств первой необходимости, уменьшения ГСМ, </t>
    </r>
    <r>
      <rPr>
        <sz val="10"/>
        <color indexed="8"/>
        <rFont val="Calibri"/>
        <family val="2"/>
        <charset val="204"/>
      </rPr>
      <t>введен режим «Чрезвычайная ситуация»</t>
    </r>
    <r>
      <rPr>
        <sz val="10"/>
        <rFont val="Calibri"/>
        <family val="2"/>
        <charset val="204"/>
      </rPr>
      <t xml:space="preserve"> на территории МО "Баягинский  наслег".</t>
    </r>
  </si>
  <si>
    <t xml:space="preserve"> Таттинский муниципальный район</t>
  </si>
  <si>
    <r>
      <t xml:space="preserve">Распоряжением И.о главы Яковлевой Е.Ю. МО ГП «Поселок Чокурдах» Аллаиховский район от 18.09.2018 г. №334, в целях необходимости принятия неукоснительных мер по защите жизнеобеспечения населения и безопасности территории поселения, </t>
    </r>
    <r>
      <rPr>
        <sz val="10"/>
        <color indexed="8"/>
        <rFont val="Calibri"/>
        <family val="2"/>
        <charset val="204"/>
      </rPr>
      <t>введен режим «Чрезвычайная ситуация»</t>
    </r>
    <r>
      <rPr>
        <sz val="10"/>
        <rFont val="Calibri"/>
        <family val="2"/>
        <charset val="204"/>
      </rPr>
      <t xml:space="preserve"> на территории МО "Поселок Чокурдах".Распоряжением И.о главы Администрации Яковлевой Е.Ю. МО ГП «Поселок Чокурдах» Аллаиховский район" РС(Я) от 21.09.2018 г. №336, в связи с несоответсвием локального акта ,по факту отсутствия определения срока оканчания ЧС и нормализацией обстановки-сокращением сточных вод по ул.Гагарина и прекрощением обвала почвы, </t>
    </r>
    <r>
      <rPr>
        <sz val="10"/>
        <color indexed="8"/>
        <rFont val="Calibri"/>
        <family val="2"/>
        <charset val="204"/>
      </rPr>
      <t xml:space="preserve">снят режим «Чрезвычайная ситуация» </t>
    </r>
    <r>
      <rPr>
        <sz val="10"/>
        <rFont val="Calibri"/>
        <family val="2"/>
        <charset val="204"/>
      </rPr>
      <t>на территории МО "Поселок Чокурдах" с 18.09.2018 г..</t>
    </r>
  </si>
  <si>
    <r>
      <t xml:space="preserve">Распоряжением главы Администрации  МО «Суоттунский наслег»  Усть-Алданского района В.И.Ивановым от 01.11.2018 г. №127, в целях проведения первоочередных мероприятий по ликвидации ЧС природного характера,связанной с разрушением дамбы, </t>
    </r>
    <r>
      <rPr>
        <sz val="10"/>
        <color indexed="8"/>
        <rFont val="Calibri"/>
        <family val="2"/>
        <charset val="204"/>
      </rPr>
      <t>введен режим «Чрезвычайная ситуация»</t>
    </r>
    <r>
      <rPr>
        <sz val="10"/>
        <rFont val="Calibri"/>
        <family val="2"/>
        <charset val="204"/>
      </rPr>
      <t xml:space="preserve"> на территории МО «Суоттунский наслег»  .</t>
    </r>
  </si>
  <si>
    <t xml:space="preserve"> Усть-Алданский муниципальный район</t>
  </si>
  <si>
    <t>По протоколу . Режим ЧС. Порыв гапровода на участке Таастаах - Якутск</t>
  </si>
  <si>
    <r>
      <t xml:space="preserve">Распоряжением Первого заместителя главы А.С.Сивцева   от 10.05.2019 г. №507-р, в связи с поисками пропавшего Яковлева Н.Н., </t>
    </r>
    <r>
      <rPr>
        <sz val="10"/>
        <color theme="1"/>
        <rFont val="Calibri"/>
        <family val="2"/>
        <charset val="204"/>
      </rPr>
      <t>введен режим «Чрезвычайная ситуация»</t>
    </r>
    <r>
      <rPr>
        <sz val="10"/>
        <rFont val="Calibri"/>
        <family val="2"/>
        <charset val="204"/>
      </rPr>
      <t xml:space="preserve"> с 10.05.2019 на территории МО "Куокуйский наслег".Распоряжением Первого заместителя главы А.С.Сивцева  от 11.05.2019 г. №508-р, в связи (пришел в с.Аргас), </t>
    </r>
    <r>
      <rPr>
        <sz val="10"/>
        <color theme="1"/>
        <rFont val="Calibri"/>
        <family val="2"/>
        <charset val="204"/>
      </rPr>
      <t xml:space="preserve">снят режим «Чрезвычайная ситуация» </t>
    </r>
    <r>
      <rPr>
        <sz val="10"/>
        <rFont val="Calibri"/>
        <family val="2"/>
        <charset val="204"/>
      </rPr>
      <t>с 11.05.2019 на территории МО "Куокуйский наслег".</t>
    </r>
  </si>
  <si>
    <t>Эвакуация людей</t>
  </si>
  <si>
    <r>
      <t>Распоряжением главы МО  «Верхоянский район» Г.И.Чирикова от 11.05.2019 г. №Б\н,в связи с необходимостью эвакуации 3 граждан с участка Эмонджи,</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11.05.2019 на территории МО  «Верхоянский район». Распоряжением главы МО  «Верхоянский район» Г.И.Чирикова от 14.05.2019 г. №Б\н связи с окончанием проведения эвакуационных мероприятий граждан В.М.,Слепцова И.С.,Старостина П.И.,с уч. Эмонджи, </t>
    </r>
    <r>
      <rPr>
        <sz val="10"/>
        <color theme="1"/>
        <rFont val="Calibri"/>
        <family val="2"/>
        <charset val="204"/>
      </rPr>
      <t>снят режим</t>
    </r>
    <r>
      <rPr>
        <sz val="10"/>
        <rFont val="Calibri"/>
        <family val="2"/>
        <charset val="204"/>
      </rPr>
      <t xml:space="preserve"> «Чрезвычайная ситуация» с 14.05.2019 г на территории МО  «Верхоянский район».</t>
    </r>
  </si>
  <si>
    <t>Гидрология</t>
  </si>
  <si>
    <r>
      <t xml:space="preserve">Распоряжением главы МО  «Поселок Эльдикан» Усть-Майского района РС(Я) А.В.Бороздунова от 20.05.2019 г. №38, в связи с неблагоприятным развитием паводковой обстановки,отключением электроэнергии, </t>
    </r>
    <r>
      <rPr>
        <sz val="10"/>
        <color theme="1"/>
        <rFont val="Calibri"/>
        <family val="2"/>
        <charset val="204"/>
      </rPr>
      <t>введен режим «Чрезвычайная ситуация»</t>
    </r>
    <r>
      <rPr>
        <sz val="10"/>
        <rFont val="Calibri"/>
        <family val="2"/>
        <charset val="204"/>
      </rPr>
      <t xml:space="preserve"> с 20.05.2019 на территории МО "Поселок Эльдикан".Распоряжением главы МО  «Поселок Эльдикан» Усть-Майского района РС(Я) А.В.Бороздунова от 31.05.2019 г. №44, в связи со стабилизацией паводковой обстановки, восстановлением электроснабжения на территории мо "Поселок Элидикан", </t>
    </r>
    <r>
      <rPr>
        <sz val="10"/>
        <color theme="1"/>
        <rFont val="Calibri"/>
        <family val="2"/>
        <charset val="204"/>
      </rPr>
      <t xml:space="preserve">снят режим «Чрезвычайная ситуация» </t>
    </r>
    <r>
      <rPr>
        <sz val="10"/>
        <rFont val="Calibri"/>
        <family val="2"/>
        <charset val="204"/>
      </rPr>
      <t>с 31.05.2019 на территории МО "Поселок Эльдикан".</t>
    </r>
  </si>
  <si>
    <r>
      <t xml:space="preserve">Распоряжением главы Н.И.Попова МО  «Поселок Сангар» Кобяйского района РС(Я) Н.И. от 20.05.2019 г. №105-р, в связи с резким подъемом уровней воды на реке Лена,угрозовой подтопления жилых домов в поселке Сангар,нанесением паводковыми водами материальный ущерба более 100 тыс.рублей, </t>
    </r>
    <r>
      <rPr>
        <sz val="10"/>
        <color theme="1"/>
        <rFont val="Calibri"/>
        <family val="2"/>
        <charset val="204"/>
      </rPr>
      <t>введен режим «Чрезвычайная ситуация»</t>
    </r>
    <r>
      <rPr>
        <sz val="10"/>
        <rFont val="Calibri"/>
        <family val="2"/>
        <charset val="204"/>
      </rPr>
      <t xml:space="preserve"> с 20.05.2019 на территории МО "Поселок Сангар", Распоряжением главы Н.И.Попова МО  «Поселок Сангар» Кобяйского района РС(Я) Н.И. от 14.10.2019 г. №241-р, в связи со стабилизацией обстановки и устранением обстоятельств, </t>
    </r>
    <r>
      <rPr>
        <sz val="10"/>
        <color theme="1"/>
        <rFont val="Calibri"/>
        <family val="2"/>
        <charset val="204"/>
      </rPr>
      <t>снят режим «Чрезвычайная ситуация»</t>
    </r>
    <r>
      <rPr>
        <sz val="10"/>
        <rFont val="Calibri"/>
        <family val="2"/>
        <charset val="204"/>
      </rPr>
      <t xml:space="preserve"> с 14.10.2019 на территории МО «Поселок Сангар» Кобяйского района.</t>
    </r>
  </si>
  <si>
    <r>
      <t xml:space="preserve">Распоряжением Врио главы МО  «Город Среднеколымск» Л.Н.Левенковой от 23.05.2019 г. №90-р, в связи с превышением критического уровня на реке Колыма в районе Среднеколымска, </t>
    </r>
    <r>
      <rPr>
        <sz val="10"/>
        <color theme="1"/>
        <rFont val="Calibri"/>
        <family val="2"/>
        <charset val="204"/>
      </rPr>
      <t>введен режим «Чрезвычайная ситуация»</t>
    </r>
    <r>
      <rPr>
        <sz val="10"/>
        <rFont val="Calibri"/>
        <family val="2"/>
        <charset val="204"/>
      </rPr>
      <t xml:space="preserve"> с 23.05.2019 на территории МО "Город Среднеколымск".Распоряжением Врио главы МО  «Город Среднеколымск» Л.Н.Левенковой от 25.05.2019 г. №91-р, в связи с понижением уровня воды на р.Колыма, Анкудинка в районе Среднеколымска, </t>
    </r>
    <r>
      <rPr>
        <sz val="10"/>
        <color theme="1"/>
        <rFont val="Calibri"/>
        <family val="2"/>
        <charset val="204"/>
      </rPr>
      <t>снят режим «Чрезвычайная ситуация»</t>
    </r>
    <r>
      <rPr>
        <sz val="10"/>
        <rFont val="Calibri"/>
        <family val="2"/>
        <charset val="204"/>
      </rPr>
      <t xml:space="preserve"> с 25.05.2019 на территории МО "Город Среднеколымск".</t>
    </r>
  </si>
  <si>
    <t>поисковые работы</t>
  </si>
  <si>
    <r>
      <t xml:space="preserve">Распоряжением главы А.С.Иванова "Оленекский эвенкийский национальный район", от 31.05.2019 №741-р, в связи с весенним половодьем и недоступности места для поисковых работ гр Шарыпова В.А. на территории МР "Оленекский эвенкийский национальный район", </t>
    </r>
    <r>
      <rPr>
        <sz val="10"/>
        <color theme="1"/>
        <rFont val="Calibri"/>
        <family val="2"/>
        <charset val="204"/>
      </rPr>
      <t xml:space="preserve">введен режим «Чрезвычайная ситуация» </t>
    </r>
    <r>
      <rPr>
        <sz val="10"/>
        <rFont val="Calibri"/>
        <family val="2"/>
        <charset val="204"/>
      </rPr>
      <t xml:space="preserve">с 31.05.2019  муниципального характера на территории МР "Оленекский эвенкийский национальный район" .  Распоряжением главы А.С.Иванова "Оленекский эвенкийский национальный район" от 01.06.2019 №742-р, в связи с успешным завершением спасательного мероприятия гр.Шарыпова В.А., </t>
    </r>
    <r>
      <rPr>
        <sz val="10"/>
        <color theme="1"/>
        <rFont val="Calibri"/>
        <family val="2"/>
        <charset val="204"/>
      </rPr>
      <t>снят режим  «Чрезвычайная ситуация»</t>
    </r>
    <r>
      <rPr>
        <sz val="10"/>
        <rFont val="Calibri"/>
        <family val="2"/>
        <charset val="204"/>
      </rPr>
      <t>на территории МР "Оленекский эвенкийский национальный район".</t>
    </r>
  </si>
  <si>
    <r>
      <t xml:space="preserve">Распоряжением Главы администрации МО "Походский наслег" М.С.Картуновой от 03.06.2019 г. №57, в связи повышением воды в мо "Походский наслег" выше критической отметки 266 на 10см., в целях минимизации последствий чс на территории МО "Походский наслег", </t>
    </r>
    <r>
      <rPr>
        <sz val="10"/>
        <color theme="1"/>
        <rFont val="Calibri"/>
        <family val="2"/>
        <charset val="204"/>
      </rPr>
      <t>введен режим «Чрезвычайная ситуация»</t>
    </r>
    <r>
      <rPr>
        <sz val="10"/>
        <rFont val="Calibri"/>
        <family val="2"/>
        <charset val="204"/>
      </rPr>
      <t xml:space="preserve"> с 03.06.2019 на территории МО "Походский наслег".Распоряжением Главы администрации МО "Походский наслег" М.С.Картуновой от 04.06.2019 г. №58, в связи понижением уровня воды ниже критического уровня на территории МО "Походский наслег", </t>
    </r>
    <r>
      <rPr>
        <sz val="10"/>
        <color theme="1"/>
        <rFont val="Calibri"/>
        <family val="2"/>
        <charset val="204"/>
      </rPr>
      <t xml:space="preserve">снят режим «Чрезвычайная ситуация» </t>
    </r>
    <r>
      <rPr>
        <sz val="10"/>
        <rFont val="Calibri"/>
        <family val="2"/>
        <charset val="204"/>
      </rPr>
      <t>с 04.06.2019 на территории МО "Походский наслег".</t>
    </r>
  </si>
  <si>
    <r>
      <t xml:space="preserve">Приказом Исполнительной дирекции С.Н.Попова "г.Мирный"  от 10.06.2019 г. №93, в связи с выявленной утечкой нефти из нефтепровода КП №5-УПН.для локализации и ликвидации последствий произошедшего розлива, </t>
    </r>
    <r>
      <rPr>
        <sz val="10"/>
        <color theme="1"/>
        <rFont val="Calibri"/>
        <family val="2"/>
        <charset val="204"/>
      </rPr>
      <t>введен режим «Чрезвычайная ситуация»</t>
    </r>
    <r>
      <rPr>
        <sz val="10"/>
        <rFont val="Calibri"/>
        <family val="2"/>
        <charset val="204"/>
      </rPr>
      <t xml:space="preserve"> с 10.06.2019 в ООО "Иреляхское". Приказом Руководителя С.И.Захарченко  "г.Мирный" от 07.10.2019 г.№115, в связи с завершением работ по ликвидации аварийного розлива нефти на Иреляхском нефтегазоконденсатном месторождении, </t>
    </r>
    <r>
      <rPr>
        <sz val="10"/>
        <color theme="1"/>
        <rFont val="Calibri"/>
        <family val="2"/>
        <charset val="204"/>
      </rPr>
      <t xml:space="preserve">снят режим «Чрезвычайная ситуация» </t>
    </r>
    <r>
      <rPr>
        <sz val="10"/>
        <rFont val="Calibri"/>
        <family val="2"/>
        <charset val="204"/>
      </rPr>
      <t>с 07.10.2019 в ООО "Иреляхское".</t>
    </r>
  </si>
  <si>
    <r>
      <t xml:space="preserve">Распоряжением главы Г.И. Чирикова МО  «Верхоянский район» от 12.06.2019 г. №596-РА,в связи с введением особого противопожарного режима на территории МО"Верхоянский район распоряжение Главы администрации от 23 мая 2019 г. №521-РА, на основании Решения КЧС и ОПБ Верхоянского района №7 от 12.06.2019 г., наступлением IV класса пожарной безопасности в лесах, увеличением количества и площади лесных пожаров в результате неблагоприятных природных условий, а также возникновений угрозы ЧС в населенных пунктах Верхоянского района, </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12.06.2019 на территории МО  «Верхоянский район». Распоряжением главы Г.И. Чирикова МО  «Верхоянский район» от 09.09.2019 г. №811-РА, в связи с ликвидацией природных пожаров и стабилизации пожарной обстановки на територии  МО"Верхоянский район , </t>
    </r>
    <r>
      <rPr>
        <sz val="10"/>
        <color theme="1"/>
        <rFont val="Calibri"/>
        <family val="2"/>
        <charset val="204"/>
      </rPr>
      <t xml:space="preserve">снят режим «Чрезвычайная ситуация» </t>
    </r>
    <r>
      <rPr>
        <sz val="10"/>
        <rFont val="Calibri"/>
        <family val="2"/>
        <charset val="204"/>
      </rPr>
      <t xml:space="preserve">с 09.09.2019 на территории МО  «Верхоянский район». </t>
    </r>
  </si>
  <si>
    <r>
      <t>Распоряжением Первого заместителя главы В.В.Корякина МО  «Момский район» от 24.06.2019 г. №99,в связи с введением режима Повышенной готовности на территории Момский район РС(Я)  распоряжение Главы администрации от 13.06.2019 г. №272, на основании Решения КЧС и ОПБ Момского района, наступлением IV класса пожарной безопасности в лесах, на основании рекомендательного письма заместителя председателя госкомитета по обеспечению безопасности жизнедеятельности населения РС(Я) №22/07-2949 от 24.06.19, увеличением количества и площади лесных пожаров в результате неблагоприятных природных условий, а также возникновений угрозы ЧС в населенных пунктах Момского района,</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24.06.2019 на территории МО  «Момский район».  Распоряжением 1 зам. главы В.В. Корякина МО Момского района   от 04.07.2019 г. №102, в связи с нормализацией обстановки, с отсутствием очагов лесных пожаров,</t>
    </r>
    <r>
      <rPr>
        <sz val="10"/>
        <color theme="1"/>
        <rFont val="Calibri"/>
        <family val="2"/>
        <charset val="204"/>
      </rPr>
      <t xml:space="preserve"> снят</t>
    </r>
    <r>
      <rPr>
        <sz val="10"/>
        <rFont val="Calibri"/>
        <family val="2"/>
        <charset val="204"/>
      </rPr>
      <t xml:space="preserve"> режим «Чрезвычайная ситуация» с 04.07.2019 на территории МО "Момский район"</t>
    </r>
  </si>
  <si>
    <r>
      <t>Распоряжением главы наслега П.М.Мараказова МО  «Улахан-Чистайский национальный наслег» Момского района РС(Я) от 25.06.2019 г. №46 р,на основании Решениями КЧС и ОПБ Момского района,МО  «Улахан-Чистайский национальный наслег» , наступлением IV класса пожарной безопасности в лесах, на основании рекомендательного письма заместителя председателя госкомитета по обеспечению безопасности жизнедеятельности населения РС(Я) №22/07-2949 от 24.06.19, увеличением количества и площади лесных пожаров в результате неблагоприятных природных условий, а также возникновений угрозы ЧС  МО  «Улахан-Чистайский национальный наслег» ,</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25.06.2019 на территории  МО  «Улахан-Чистайский национальный наслег». Распоряжением главы наслега П.М.Мараказова МО  «Улахан-Чистайский национальный наслег» Момского района РС(Я) от 05.07.2019 г. №50 р,в связи с нормализацией обстановки, с отсутствием очагов лесных пожаров на территории  МО  «Улахан-Чистайский национальный наслег» ,</t>
    </r>
    <r>
      <rPr>
        <sz val="10"/>
        <color theme="1"/>
        <rFont val="Calibri"/>
        <family val="2"/>
        <charset val="204"/>
      </rPr>
      <t xml:space="preserve">снят режим «Чрезвычайная ситуация» </t>
    </r>
    <r>
      <rPr>
        <sz val="10"/>
        <rFont val="Calibri"/>
        <family val="2"/>
        <charset val="204"/>
      </rPr>
      <t>с 05.07.2019 на территории  МО  «Улахан-Чистайский национальный наслег».</t>
    </r>
  </si>
  <si>
    <r>
      <t>Указом главы РС(Я) А.С.Николаева г.Якутск от 25.06.2019 г. №609, в целях устранения угрозы перехода лесных и природных пожаров в населенные пункты РС(Я)  ,</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25.06.2019 межмуниципального характера на территории  МО  «Верхоянский район» и МО  «Момский район». Указом главы РС(Я) А.С. Николаева г.Якутск от 19.09.2019 г. №746, в связи со стабилизацией лесопожарной обстановки и ликвидацией угрозы лесных пожаров населенным пунктам, </t>
    </r>
    <r>
      <rPr>
        <sz val="10"/>
        <color theme="1"/>
        <rFont val="Calibri"/>
        <family val="2"/>
        <charset val="204"/>
      </rPr>
      <t>снят режим «Чрезвычайная ситуация»</t>
    </r>
    <r>
      <rPr>
        <sz val="10"/>
        <rFont val="Calibri"/>
        <family val="2"/>
        <charset val="204"/>
      </rPr>
      <t xml:space="preserve"> с 19.09.2019 межмуниципального характера на территории  МО  «Верхоянский район» и МО  «Момский район».</t>
    </r>
  </si>
  <si>
    <t>Верхоянский муниципальный район и Момский муниципальный район</t>
  </si>
  <si>
    <r>
      <t xml:space="preserve">Распоряжением главы Н.П. Николаевой МО "Силянняхский национальный наслег"  Усть-Янского района "от 26.06.2019 №66-ОД, в связи с возникновением угрозы населенному пункту, </t>
    </r>
    <r>
      <rPr>
        <sz val="10"/>
        <color theme="1"/>
        <rFont val="Calibri"/>
        <family val="2"/>
        <charset val="204"/>
      </rPr>
      <t xml:space="preserve">введен режим «Чрезвычайная ситуация» </t>
    </r>
    <r>
      <rPr>
        <sz val="10"/>
        <rFont val="Calibri"/>
        <family val="2"/>
        <charset val="204"/>
      </rPr>
      <t xml:space="preserve">с  26.06.2019 муниципального характера на террритории МО "Силянняхский национальный наслег". Распоряжением главы Н.П. Николаевой МО "Силянняхский национальный наслег"  Усть-Янского района "от 02.07.2019 №67-ОД, в связи проведением защитных мероприятий в полном объеме, локализацией июня 209 г. и проведением защитных мероприятий в полном объеме, локализацией открытых очагов возгорания и отсутствием угрозы перехода пожара на населенный пуект открытых очагов возгорания и осутствием угрозы перехода пожара на населенный пуект, </t>
    </r>
    <r>
      <rPr>
        <sz val="10"/>
        <color theme="1"/>
        <rFont val="Calibri"/>
        <family val="2"/>
        <charset val="204"/>
      </rPr>
      <t xml:space="preserve">снят режим «Чрезвычайная ситуация» </t>
    </r>
    <r>
      <rPr>
        <sz val="10"/>
        <rFont val="Calibri"/>
        <family val="2"/>
        <charset val="204"/>
      </rPr>
      <t>с  02.07.2019 муниципального характера на террритории МО "Силянняхский национальный наслег".</t>
    </r>
  </si>
  <si>
    <r>
      <t xml:space="preserve">Распоряжением зам. главы М.В. Черемкиной МО "Абыйский наслег" Абыйского района ,  от 27.06.2019 №6/16, в связи с возникновением угрозы населенному пункту </t>
    </r>
    <r>
      <rPr>
        <sz val="10"/>
        <color theme="1"/>
        <rFont val="Calibri"/>
        <family val="2"/>
        <charset val="204"/>
      </rPr>
      <t xml:space="preserve">введен режим «Чрезвычайная ситуация» </t>
    </r>
    <r>
      <rPr>
        <sz val="10"/>
        <rFont val="Calibri"/>
        <family val="2"/>
        <charset val="204"/>
      </rPr>
      <t xml:space="preserve">с  27.06.2019 муниципального характера на территории МО "Абыйский наслег". Распоряжением зам. главы М.В. Черемкиной МО "Абыйский наслег" Абыйского района  от 03.07.2019 №7/1, в связи со стабилизацией населенному пункту Абый МО "Абыйский наслег" от лесного пожара, </t>
    </r>
    <r>
      <rPr>
        <sz val="10"/>
        <color theme="1"/>
        <rFont val="Calibri"/>
        <family val="2"/>
        <charset val="204"/>
      </rPr>
      <t>снят режим «Чрезвычайная ситуация»</t>
    </r>
    <r>
      <rPr>
        <sz val="10"/>
        <rFont val="Calibri"/>
        <family val="2"/>
        <charset val="204"/>
      </rPr>
      <t xml:space="preserve"> с  03.07.2019 муниципального характера на территории с. Абый МО "Абыйский наслег".</t>
    </r>
  </si>
  <si>
    <r>
      <t xml:space="preserve">Распоряжением главы И.И. Атласова, сельского поселения "Майорский национальный наслег" от 27.06.2019 №156, признать обстановку, сложившуеся к 27.06.2019 на территории , обусловленную многочисленными природными, в том числе лесными пожарами, чс муниципального характера, влекущей угрозу нарушения функционирования систем жизнеобеспечения населения, обьяктов экономики наслега, </t>
    </r>
    <r>
      <rPr>
        <sz val="10"/>
        <color theme="1"/>
        <rFont val="Calibri"/>
        <family val="2"/>
        <charset val="204"/>
      </rPr>
      <t xml:space="preserve">введен режим «Чрезвычайная ситуация» </t>
    </r>
    <r>
      <rPr>
        <sz val="10"/>
        <rFont val="Calibri"/>
        <family val="2"/>
        <charset val="204"/>
      </rPr>
      <t xml:space="preserve">с 27.06.2019 на территории  МО СП "Майорский национальный наслег". Распоряжением главы И.И. Атласова, от 04.07.2019 №160, аннулировать распоряжение главы МО СП "Майорский национальный наслег" "О введении режима функционирования "ЧС" во время лесных пожаров на территории МО СП "Майорский национальный наслег" Абыйского улуса РС(Я) от 27.06.2019 №156, </t>
    </r>
    <r>
      <rPr>
        <sz val="10"/>
        <color theme="1"/>
        <rFont val="Calibri"/>
        <family val="2"/>
        <charset val="204"/>
      </rPr>
      <t>снят режим «Чрезвычайная ситуация»</t>
    </r>
    <r>
      <rPr>
        <sz val="10"/>
        <rFont val="Calibri"/>
        <family val="2"/>
        <charset val="204"/>
      </rPr>
      <t xml:space="preserve"> на территории  МО СП "Майорский национальный наслег".</t>
    </r>
  </si>
  <si>
    <r>
      <t xml:space="preserve">Распоряжением и.о. главы Н.А. Яковлевой, МО Тойбохойский наслег МР Сунтарский улус (район), от 04.07.2019 №38 в целях привлечения авиации ГКУ РС(Я) "Служба спасения РС(Я)" сил и средств Сунтарского звена ЯТПЕГС предупреждения и ликвидации ЧС, для оперативного проведения ПСР по поиску Попова А.Н., </t>
    </r>
    <r>
      <rPr>
        <sz val="10"/>
        <color theme="1"/>
        <rFont val="Calibri"/>
        <family val="2"/>
        <charset val="204"/>
      </rPr>
      <t xml:space="preserve">введен режим «Чрезвычайная ситуация» </t>
    </r>
    <r>
      <rPr>
        <sz val="10"/>
        <rFont val="Calibri"/>
        <family val="2"/>
        <charset val="204"/>
      </rPr>
      <t>с 04.07.2019  муниципального характера на территории МО Тойбохойский наслег МР Сунтарский улус (район). Распоряжением главы И.А. Попова МО Тойбохойский наслег МР Сунтарский улус (район) от 11.07.2019 №07-2, по решению №1 от 11.07.2019 оперативного штаба о приостановлении поисков, в связи с тем что все необходимые мероприятия проведены в полном объеме и не дали результатов, 11.07.2019 решено прекратить активные поисковые работы по поиску Попова А.Н.,</t>
    </r>
    <r>
      <rPr>
        <sz val="10"/>
        <color theme="1"/>
        <rFont val="Calibri"/>
        <family val="2"/>
        <charset val="204"/>
      </rPr>
      <t xml:space="preserve"> снят режим «Чрезвычайная ситуация»</t>
    </r>
    <r>
      <rPr>
        <sz val="10"/>
        <rFont val="Calibri"/>
        <family val="2"/>
        <charset val="204"/>
      </rPr>
      <t xml:space="preserve"> с 11.07.2019  муниципального характера на территории МО Тойбохойский наслег . </t>
    </r>
  </si>
  <si>
    <r>
      <t xml:space="preserve">Распоряжением главы В.А. Жироховой МО "Дабанский наслег" МР Олекминский  улус (район), от 04.07.2019 №77, в связи со сложившейся обстановкой по поискам пропавшего Габышева Н.Р., </t>
    </r>
    <r>
      <rPr>
        <sz val="10"/>
        <color theme="1"/>
        <rFont val="Calibri"/>
        <family val="2"/>
        <charset val="204"/>
      </rPr>
      <t>введен режим «Чрезвычайная ситуация»</t>
    </r>
    <r>
      <rPr>
        <sz val="10"/>
        <rFont val="Calibri"/>
        <family val="2"/>
        <charset val="204"/>
      </rPr>
      <t xml:space="preserve"> с 04.07.2019 муниципального характерана территории МО Дабанский наслег "Олекминского района".  Распоряжения главы В.А.Жироховой от 05.07.2019 №78, в связи с положительными резултатами поиска пропавшего гр. Габышева Н.Р. (тело найдено 04.07.2019 в местности переката Курун), </t>
    </r>
    <r>
      <rPr>
        <sz val="10"/>
        <color theme="1"/>
        <rFont val="Calibri"/>
        <family val="2"/>
        <charset val="204"/>
      </rPr>
      <t xml:space="preserve">снят режим "Чрезвычайная ситуация»  </t>
    </r>
    <r>
      <rPr>
        <sz val="10"/>
        <rFont val="Calibri"/>
        <family val="2"/>
        <charset val="204"/>
      </rPr>
      <t>МО Дабанский наслег "Олекминского района".</t>
    </r>
  </si>
  <si>
    <r>
      <t xml:space="preserve">
Распоряжением главы муниципального района, председателем КЧС и ПБ С. Н. Винокурова МО «Тылгынинский наслег» МР «Вилюйский улус (район)» от 16.07.2019 №14-18, </t>
    </r>
    <r>
      <rPr>
        <sz val="10"/>
        <color theme="1"/>
        <rFont val="Calibri"/>
        <family val="2"/>
        <charset val="204"/>
      </rPr>
      <t xml:space="preserve">введен режим «Чрезвычайная ситуация» </t>
    </r>
    <r>
      <rPr>
        <sz val="10"/>
        <rFont val="Calibri"/>
        <family val="2"/>
        <charset val="204"/>
      </rPr>
      <t>с 16.07.2019 муниципального характера на территории 
МО «Тылгынинский наслег» МР «Вилюйский улус (район)».</t>
    </r>
    <r>
      <rPr>
        <sz val="10"/>
        <color theme="1"/>
        <rFont val="Calibri"/>
        <family val="2"/>
        <charset val="204"/>
      </rPr>
      <t xml:space="preserve"> </t>
    </r>
    <r>
      <rPr>
        <sz val="10"/>
        <rFont val="Calibri"/>
        <family val="2"/>
        <charset val="204"/>
      </rPr>
      <t xml:space="preserve">Распоряжением главы муниципального района, председателем КЧС и ПБ С. Н. Винокурова МР «Вилюйский улус (район)» от 19.07.2019 №14-19, </t>
    </r>
    <r>
      <rPr>
        <sz val="10"/>
        <color theme="1"/>
        <rFont val="Calibri"/>
        <family val="2"/>
        <charset val="204"/>
      </rPr>
      <t>снят режим Чрезвычайная ситуация»</t>
    </r>
    <r>
      <rPr>
        <sz val="10"/>
        <rFont val="Calibri"/>
        <family val="2"/>
        <charset val="204"/>
      </rPr>
      <t xml:space="preserve"> с 19.07.2019 №14-19 на территории МО «Тылгынинский наслег» МР «Вилюйский улус (район).
</t>
    </r>
  </si>
  <si>
    <r>
      <t xml:space="preserve">
Распоряжением главы Антонова Н.И. МО "Линдинский наслег " МР «Жиганский национальный эвенкийский район»,  от 16.07.2019 №75-19, в связи с установлением высокого 5 класса пожарной опасности в лесах </t>
    </r>
    <r>
      <rPr>
        <sz val="10"/>
        <color theme="1"/>
        <rFont val="Calibri"/>
        <family val="2"/>
        <charset val="204"/>
      </rPr>
      <t>введен режим «Чрезвычайная ситуация</t>
    </r>
    <r>
      <rPr>
        <sz val="10"/>
        <rFont val="Calibri"/>
        <family val="2"/>
        <charset val="204"/>
      </rPr>
      <t>» с 16.07.2019, муниципального характера, на территории 
МО «Линдинский наслег» МР «Жиганский национальный эвенкийский район»</t>
    </r>
    <r>
      <rPr>
        <sz val="10"/>
        <color theme="1"/>
        <rFont val="Calibri"/>
        <family val="2"/>
        <charset val="204"/>
      </rPr>
      <t>.</t>
    </r>
    <r>
      <rPr>
        <sz val="10"/>
        <rFont val="Calibri"/>
        <family val="2"/>
        <charset val="204"/>
      </rPr>
      <t xml:space="preserve">Распоряжением зам  главы Л.С. Алексеевой МО "Линдинский наслег " МР «Жиганский национальный эвенкийский район»  от 23.08.2019 №373, в связи со стабилизацией, </t>
    </r>
    <r>
      <rPr>
        <sz val="10"/>
        <color theme="1"/>
        <rFont val="Calibri"/>
        <family val="2"/>
        <charset val="204"/>
      </rPr>
      <t xml:space="preserve">снят режим «Чрезвычайная ситуация» </t>
    </r>
    <r>
      <rPr>
        <sz val="10"/>
        <rFont val="Calibri"/>
        <family val="2"/>
        <charset val="204"/>
      </rPr>
      <t xml:space="preserve">с 23.08.2019 г на территории МР  «Жиганский национальный эвенкийский район» МО "Линдинский наслег "
</t>
    </r>
  </si>
  <si>
    <t>Жиганский муниципальный район</t>
  </si>
  <si>
    <r>
      <t xml:space="preserve">Распоряжением главы И.С. Петрова МО "Одунунский наслег" МР Горный улус, от 17.07.2019 №64, в связи с возникновением 3 класса пожарной опасности на территории  МО"Одунунский наслег" </t>
    </r>
    <r>
      <rPr>
        <sz val="10"/>
        <color theme="1"/>
        <rFont val="Calibri"/>
        <family val="2"/>
        <charset val="204"/>
      </rPr>
      <t>введен режим «Чрезвычайная ситуация»,</t>
    </r>
    <r>
      <rPr>
        <sz val="10"/>
        <rFont val="Calibri"/>
        <family val="2"/>
        <charset val="204"/>
      </rPr>
      <t xml:space="preserve">  на территории 
МО"Одунунский наслег" МР Горный улус.Распоряжением главы И.С. Петрова МО "Одунунский наслег" МР Горный улус, от 06.08.2019 №75, в связи со стабилизацией лесопожарной обстановки в лесах Одунунского наслега, </t>
    </r>
    <r>
      <rPr>
        <sz val="10"/>
        <color theme="1"/>
        <rFont val="Calibri"/>
        <family val="2"/>
        <charset val="204"/>
      </rPr>
      <t>снят режим «Чрезвычайная ситуация»</t>
    </r>
    <r>
      <rPr>
        <sz val="10"/>
        <rFont val="Calibri"/>
        <family val="2"/>
        <charset val="204"/>
      </rPr>
      <t>,  с 06.08.19 на территории 
МО"Одунунский наслег" МР Горный улус.</t>
    </r>
  </si>
  <si>
    <r>
      <t xml:space="preserve">Распоряжением главы МО А.Н. Захарова МО "Шологонский наслег" МР Горный улус от 16.07.2019 №45-01/2019, в связи с возникновением лесных пожаров №12 АЗК, №13 АЗК, угрожающих населенному пункту с.Ерт на территории МО "Шологонский наслег", </t>
    </r>
    <r>
      <rPr>
        <sz val="10"/>
        <color theme="1"/>
        <rFont val="Calibri"/>
        <family val="2"/>
        <charset val="204"/>
      </rPr>
      <t xml:space="preserve">введен режим «Чрезвычайная ситуация» </t>
    </r>
    <r>
      <rPr>
        <sz val="10"/>
        <rFont val="Calibri"/>
        <family val="2"/>
        <charset val="204"/>
      </rPr>
      <t xml:space="preserve">16.07.2019 на территории 
МО "Шологонский наслег" . Распоряжением главы МО А.Н. Захарова МО "Шологонский наслег" МР Горный улус от 22.07.2019 №47-01/2019, в связи с ликвидацией лесных пожаров №12 АЗК, №13 АЗК, угрожающих населенному пункту с.Ерт на территории МО "Шологонский наслег", </t>
    </r>
    <r>
      <rPr>
        <sz val="10"/>
        <color theme="1"/>
        <rFont val="Calibri"/>
        <family val="2"/>
        <charset val="204"/>
      </rPr>
      <t>снят</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22.07.2019 №47-01/19 на территории 
МО "Шологонский наслег".</t>
    </r>
  </si>
  <si>
    <r>
      <t xml:space="preserve">Распоряжением заместителя главы Егорова А.П. МР «Жиганский национальный эвенкийский район» от 25.07.2019 №328, в связи со сложной лесопожарной обстановкой, </t>
    </r>
    <r>
      <rPr>
        <sz val="10"/>
        <color theme="1"/>
        <rFont val="Calibri"/>
        <family val="2"/>
        <charset val="204"/>
      </rPr>
      <t>введен режим «Чрезвычайная ситуация»</t>
    </r>
    <r>
      <rPr>
        <sz val="10"/>
        <rFont val="Calibri"/>
        <family val="2"/>
        <charset val="204"/>
      </rPr>
      <t>, на территории МР «Жиганский национальный эвенкийский район»,</t>
    </r>
    <r>
      <rPr>
        <sz val="10"/>
        <color theme="1"/>
        <rFont val="Calibri"/>
        <family val="2"/>
        <charset val="204"/>
      </rPr>
      <t xml:space="preserve"> </t>
    </r>
    <r>
      <rPr>
        <sz val="10"/>
        <rFont val="Calibri"/>
        <family val="2"/>
        <charset val="204"/>
      </rPr>
      <t>Распоряжением главы А.Е.Мандарова МР «Жиганский национальный эвенкийский район» от 23.08.2019 №373, на основании протокола КЧС и ОПБ МР "Жиганского НЭР" от 23.08.2019за №14, а также со стабилизацией,</t>
    </r>
    <r>
      <rPr>
        <sz val="10"/>
        <color theme="1"/>
        <rFont val="Calibri"/>
        <family val="2"/>
        <charset val="204"/>
      </rPr>
      <t xml:space="preserve"> снят режим «Чрезвычайная ситуация», </t>
    </r>
    <r>
      <rPr>
        <sz val="10"/>
        <rFont val="Calibri"/>
        <family val="2"/>
        <charset val="204"/>
      </rPr>
      <t>на территории МР «Жиганский национальный эвенкийский район»  с 23.08.2019 г на территории МР  «Жиганский национальный эвенкийский район»</t>
    </r>
  </si>
  <si>
    <r>
      <t xml:space="preserve">Распоряжением заместителя главы Григорьева А.В. МР «Сунтарский улус» от 30.07.2019 №А31/1, в связи с угрозой природных пожаров населенным пунктам муниципального района Сунтарский улус, введен режим «Чрезвычайная ситуация», на территории МР «Сунтарский улус». Распоряжением главы А.В.Григорьева МР «Сунтарский улус» от 19.08.2019 №195, в связи со стабилизацией лесопожарной обстановки на территории Сунтарского района, </t>
    </r>
    <r>
      <rPr>
        <sz val="10"/>
        <color theme="1"/>
        <rFont val="Calibri"/>
        <family val="2"/>
        <charset val="204"/>
      </rPr>
      <t>снят режим «Чрезвычайная ситуация»</t>
    </r>
    <r>
      <rPr>
        <sz val="10"/>
        <rFont val="Calibri"/>
        <family val="2"/>
        <charset val="204"/>
      </rPr>
      <t xml:space="preserve">, на территории МР «Сунтарский улус» с 19.08.2019 г на территории МО  «Сунтарский улус».  </t>
    </r>
  </si>
  <si>
    <r>
      <t xml:space="preserve">Распоряжением главы А.М. Шадрина МО "Синский наслег" Хангаласского улуса  от 30.07.2019 №157-р, в связи с 5 классом пожарной опасности на территории Хангаласского улуса, отсутствием осадков и сухой ветреной погодой, в целях устранения угрозы распространения и перехода лесного пожара №10 на територии МО "Синский наслег", </t>
    </r>
    <r>
      <rPr>
        <sz val="10"/>
        <color theme="1"/>
        <rFont val="Calibri"/>
        <family val="2"/>
        <charset val="204"/>
      </rPr>
      <t>введен режим «Чрезвычайная ситуация»</t>
    </r>
    <r>
      <rPr>
        <sz val="10"/>
        <rFont val="Calibri"/>
        <family val="2"/>
        <charset val="204"/>
      </rPr>
      <t xml:space="preserve"> на территории МО "Синский наслег" Хангаласского улуса. Распоряжением и.о.главы Р.А.Иевлева МО "Синский наслег" Хангаласского улуса  от 05.08.2019 №881-р, в связи со стабилизацией лесопожарной обстановки и выпадением обильных осадков ,</t>
    </r>
    <r>
      <rPr>
        <sz val="10"/>
        <color theme="1"/>
        <rFont val="Calibri"/>
        <family val="2"/>
        <charset val="204"/>
      </rPr>
      <t xml:space="preserve"> снят режим «Чрезвычайная ситуация»</t>
    </r>
    <r>
      <rPr>
        <sz val="10"/>
        <rFont val="Calibri"/>
        <family val="2"/>
        <charset val="204"/>
      </rPr>
      <t xml:space="preserve"> с 05.08.2019 на территории МО "Синский наслег"</t>
    </r>
    <r>
      <rPr>
        <sz val="10"/>
        <color theme="1"/>
        <rFont val="Calibri"/>
        <family val="2"/>
        <charset val="204"/>
      </rPr>
      <t xml:space="preserve"> </t>
    </r>
    <r>
      <rPr>
        <sz val="10"/>
        <rFont val="Calibri"/>
        <family val="2"/>
        <charset val="204"/>
      </rPr>
      <t>.</t>
    </r>
  </si>
  <si>
    <t>Указом главы РС(Я) А.Николаева г.Якутск от 01.08.2019 г. №681, в связи с введением чрезвычайной ситуации в лесах муниципального характера на территории Усть-Алданского улуса, режима «Чрезвычайная ситуация» в Сунтарском улусе, длительным установившимся 4 классом пожарной опасности в лесах, увеличением количества и площади лесных пожаров в результате неблагоприятных погодных условий с сухими грозами на территориях центральных, заречных и западных районов Республики Саха (Якутия), введен режим «Чрезвычайная ситуация с 01.08.2019 Региональныйионального характера на территории РС(Я). Указом главы РС(Я) А.Николаева г.Якутск от 22.08.2019 г. №708, в связи с локализацией лесных пожаров , отсутствием действующих крупных пожаров на актовно охраняемой зоне лесного фонда,отменой режимов чс в лесах муниципального характера в Сунтарском и Усть-Алданском района, снижением до I и II класса пожарной опасности на территории РС(Я)  , снят режим «Чрезвычайная ситуация с 22.08.2019 Региональныйионального характера на территории РС(Я).</t>
  </si>
  <si>
    <r>
      <t xml:space="preserve">Постанавлением И.о. главы А.В. Фирстова Нерюнгринской районной администрацией от 08.08.2019 г. №1274, Протокола заседания Комис ии по ЧС и обеспечению пожарной безопасности МО "Нерюнгринский район" от 08.08.2019 №36 , Нерюнгринская районная администрация, </t>
    </r>
    <r>
      <rPr>
        <sz val="10"/>
        <color theme="1"/>
        <rFont val="Calibri"/>
        <family val="2"/>
        <charset val="204"/>
      </rPr>
      <t xml:space="preserve">введен режим «Чрезвычайная ситуация» </t>
    </r>
    <r>
      <rPr>
        <sz val="10"/>
        <rFont val="Calibri"/>
        <family val="2"/>
        <charset val="204"/>
      </rPr>
      <t xml:space="preserve">с 08.08.2019 на территории МО  «Нерюнгринский район». Постанавлением И.о. главы А.В. Фирстова Нерюнгринской районной администрацией от 16.08.2019 г. №1332, Письма ГКУ РС(Я) "Нерюнгринское лесничество" от 15.08.2019 "659, Протокола заседания Комис ии по ЧС и обеспечению пожарной безопасности МО "Нерюнгринский район" от 15.08.2019 №41 , Нерюнгринская районная администрация,  </t>
    </r>
    <r>
      <rPr>
        <sz val="10"/>
        <color theme="1"/>
        <rFont val="Calibri"/>
        <family val="2"/>
        <charset val="204"/>
      </rPr>
      <t>снят режим</t>
    </r>
    <r>
      <rPr>
        <sz val="10"/>
        <rFont val="Calibri"/>
        <family val="2"/>
        <charset val="204"/>
      </rPr>
      <t xml:space="preserve"> «Чрезвычайная ситуация» с 15.08.2019 на территории МО Нерюнгринский район.</t>
    </r>
  </si>
  <si>
    <r>
      <t xml:space="preserve">Распоряжением главы  Ю.А.Гуляева МО "Кангаласский 2-й наслег" Среднеколымский район от 18.08.2019 г. №94, в связи со сложной обстановкой, вызванной возгоранием леса  в участке Таралыйар  и угрозой населенному пункту  на территории МО "Кангаласский 2-й наслег" с.Эбях Среднеколымский район" , </t>
    </r>
    <r>
      <rPr>
        <sz val="10"/>
        <color theme="1"/>
        <rFont val="Calibri"/>
        <family val="2"/>
        <charset val="204"/>
      </rPr>
      <t xml:space="preserve">введен режим «Чрезвычайная ситуация» </t>
    </r>
    <r>
      <rPr>
        <sz val="10"/>
        <rFont val="Calibri"/>
        <family val="2"/>
        <charset val="204"/>
      </rPr>
      <t>с 18.08.2019 на территории МО  «Кангаласский 2-й наслег». Распоряжением главы  Ю.А.Гуляева  МО "Кангаласский 2-й наслег" Среднеколымский район от 27.08.2019 г. №95, в связи с локализацией лесного пожара К-3686 снять режим реагирования чс для сил и средств,</t>
    </r>
    <r>
      <rPr>
        <sz val="10"/>
        <color theme="1"/>
        <rFont val="Calibri"/>
        <family val="2"/>
        <charset val="204"/>
      </rPr>
      <t xml:space="preserve"> снят режим «Чрезвычайная ситуация» </t>
    </r>
    <r>
      <rPr>
        <sz val="10"/>
        <rFont val="Calibri"/>
        <family val="2"/>
        <charset val="204"/>
      </rPr>
      <t xml:space="preserve">с 27.08.2019 на территории МО  «Кангаласский 2-й наслег» с.Эбях. </t>
    </r>
  </si>
  <si>
    <r>
      <t xml:space="preserve">Распоряжением главы Д.А. Старостина МО Хара-Алданский наслег МР  Таттинский улус (район), от 19.08.2019 №01-01-17а, в связи с пропажей 16.08.2019 г. около 20:00 вечера Старостина Иннокентия Егоровича 1954 года рождения, в местности "Бутэй иhэ" в 9 км. от с.Хара-Алдан , </t>
    </r>
    <r>
      <rPr>
        <sz val="10"/>
        <color theme="1"/>
        <rFont val="Calibri"/>
        <family val="2"/>
        <charset val="204"/>
      </rPr>
      <t xml:space="preserve">введен режим «Чрезвычайная ситуация» </t>
    </r>
    <r>
      <rPr>
        <sz val="10"/>
        <rFont val="Calibri"/>
        <family val="2"/>
        <charset val="204"/>
      </rPr>
      <t xml:space="preserve">с 19.08.2019  муниципального характера на территории МО Хара-Алданский наслег. Распоряжением главы Д.А.Старостина МО Хара-Алданский наслег МР  Таттинский улус (район), от 23.08.2019 №01-01-19-а, в связи с прибытием в село ХарАлдан 22.08.2019 года Старостина Иннокентия Егоровича, потерявшегося 17.08.19 г. в местности "Бутэй иhэ", </t>
    </r>
    <r>
      <rPr>
        <sz val="10"/>
        <color theme="1"/>
        <rFont val="Calibri"/>
        <family val="2"/>
        <charset val="204"/>
      </rPr>
      <t>снят</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23.08.2019 на территории МО "Хара-Алданский наслег". </t>
    </r>
  </si>
  <si>
    <r>
      <t xml:space="preserve">Распоряжением заместителя главы Р.С.Гаврильева МО «Среднеколымский улус» от 19.08.2019 №А465а, в связи со сложной обстановкой, вызванной возгоранем леса на участке Таралыйар и угрозой населенному пункту на территории МО "Кангаласский 2 наслег", </t>
    </r>
    <r>
      <rPr>
        <sz val="10"/>
        <color theme="1"/>
        <rFont val="Calibri"/>
        <family val="2"/>
        <charset val="204"/>
      </rPr>
      <t>введен режим «Чрезвычайная ситуация»</t>
    </r>
    <r>
      <rPr>
        <sz val="10"/>
        <rFont val="Calibri"/>
        <family val="2"/>
        <charset val="204"/>
      </rPr>
      <t xml:space="preserve">, на территории МО "Кангаласский 2 наслег".Распоряжением заместителя главы Е.М.Слепцова МО «Среднеколымский улус» от 02.09.2019 №492-а , в связи с локализацией лесного пожара К-3686 на  территории МО "Кангаласский 2 наслег", </t>
    </r>
    <r>
      <rPr>
        <sz val="10"/>
        <color theme="1"/>
        <rFont val="Calibri"/>
        <family val="2"/>
        <charset val="204"/>
      </rPr>
      <t xml:space="preserve">снят режим «Чрезвычайная ситуация» </t>
    </r>
    <r>
      <rPr>
        <sz val="10"/>
        <rFont val="Calibri"/>
        <family val="2"/>
        <charset val="204"/>
      </rPr>
      <t>с 02.09.2019 на территории МО "Среднеколымский район".</t>
    </r>
  </si>
  <si>
    <r>
      <t>Указом Главы С.В. Авксентьевой от  31.08.19г. №1384р, в связи  с возникновыением угрозы обеспечения бесперебойного и качественного водоснабжения населения города Якутска (письмо АО "Водоканал" от 31.08.2019 №003-3134),</t>
    </r>
    <r>
      <rPr>
        <sz val="10"/>
        <color theme="1"/>
        <rFont val="Calibri"/>
        <family val="2"/>
        <charset val="204"/>
      </rPr>
      <t xml:space="preserve"> введен режим функционирования «Чрезвычайная ситуация»</t>
    </r>
    <r>
      <rPr>
        <sz val="10"/>
        <rFont val="Calibri"/>
        <family val="2"/>
        <charset val="204"/>
      </rPr>
      <t xml:space="preserve"> с 31.08.19  органам управления и силам Якутского городского звена Якутской территориальной подсистемы Единой государственной системы предупреждения и ликвидации чрезвычайных ситуаций. Указом Главы С.В Авксентьевой от  21.10.19г. №1627р, в связи  с завершением дноуглубительных работ на участке реки Лена РС(Я) и ликвидации угрозы бесперебойного водоснабжения на территории городского округа "город Якутск", </t>
    </r>
    <r>
      <rPr>
        <sz val="10"/>
        <color theme="1"/>
        <rFont val="Calibri"/>
        <family val="2"/>
        <charset val="204"/>
      </rPr>
      <t xml:space="preserve">снят режим функционирования «Чрезвычайная ситуация» </t>
    </r>
    <r>
      <rPr>
        <sz val="10"/>
        <rFont val="Calibri"/>
        <family val="2"/>
        <charset val="204"/>
      </rPr>
      <t>с 21.10.19  органам управления и силам Якутского городского звена Якутской территориальной подсистемы Единой государственной системы предупреждения и ликвидации чрезвычайных ситуаций.</t>
    </r>
  </si>
  <si>
    <t>гидрология</t>
  </si>
  <si>
    <r>
      <t xml:space="preserve">Распоряжением Председателя КЧС и ПБ ГО "Жатай" А.Е.Кистенева от 31.08.19г №757-р, в связи с низким уровнем водына р.Лена, </t>
    </r>
    <r>
      <rPr>
        <sz val="10"/>
        <color theme="1"/>
        <rFont val="Calibri"/>
        <family val="2"/>
        <charset val="204"/>
      </rPr>
      <t>введен режим «Чрезвычайная ситуация»</t>
    </r>
    <r>
      <rPr>
        <sz val="10"/>
        <rFont val="Calibri"/>
        <family val="2"/>
        <charset val="204"/>
      </rPr>
      <t xml:space="preserve"> с 31.08.19  на территории «Жатай».Распоряжением Главы Е.Н. Исаевой от 28.10.19г №954/1-р, на основании Решения комиссии по чс и противопожарной безопасности ГО"Жатай" №9 от 28.10.19,</t>
    </r>
    <r>
      <rPr>
        <sz val="10"/>
        <color theme="1"/>
        <rFont val="Calibri"/>
        <family val="2"/>
        <charset val="204"/>
      </rPr>
      <t xml:space="preserve"> снят режим «Чрезвычайная ситуация» </t>
    </r>
    <r>
      <rPr>
        <sz val="10"/>
        <rFont val="Calibri"/>
        <family val="2"/>
        <charset val="204"/>
      </rPr>
      <t>с 28.10.19  на территории «Жатай».</t>
    </r>
  </si>
  <si>
    <r>
      <t xml:space="preserve">Указом главы А.Николаева от 01.09.19г №717 на территориях ГО «Город Якутск» и «Жатай» </t>
    </r>
    <r>
      <rPr>
        <sz val="10"/>
        <color theme="1"/>
        <rFont val="Calibri"/>
        <family val="2"/>
        <charset val="204"/>
      </rPr>
      <t>введен режим функционирования «Чрезвычайная ситуация» межмуниципального характера</t>
    </r>
    <r>
      <rPr>
        <sz val="10"/>
        <rFont val="Calibri"/>
        <family val="2"/>
        <charset val="204"/>
      </rPr>
      <t xml:space="preserve"> для обеспечения безопасных судоходных условий на участке реки Лена от 1623 км до 1666 км и стабильного обеспечения водой населения города Якутска. Указом главы А.Николаевым от 21.11.19г №831 на территориях ГО «Город Якутск» и «Жатай» </t>
    </r>
    <r>
      <rPr>
        <sz val="10"/>
        <color theme="1"/>
        <rFont val="Calibri"/>
        <family val="2"/>
        <charset val="204"/>
      </rPr>
      <t xml:space="preserve">снят режим функционирования «Чрезвычайная ситуация» </t>
    </r>
    <r>
      <rPr>
        <sz val="10"/>
        <rFont val="Calibri"/>
        <family val="2"/>
        <charset val="204"/>
      </rPr>
      <t>межмуниципального характера, в связи с завершением дноуглубительных работ  на участке реки Лена РС(Я), ликвидации угрозы бесперебойного водоснабжения населения городских округов «Город Якутск» и «Жатай»  и обеспечения безопасных судоходных условий на участке реки Лена от 1623 км до 1666 км РС(Я).</t>
    </r>
  </si>
  <si>
    <t>Распоряжением главы Ж.П. Пимановой МО «поселок Югоренок» Усть-Майского улуса (района) от 17.09.2019 №115-п, в связи с прохождением крупного дождевого паводка на территории МО «поселок Югоренок», подьемом воды в горных речках и выходом из беРегиональныйов р.Дагор, р.Джайканга, р.Домбра, р.Юр, р.В.Бриндакитка, р.Фин, р.Бриндакит, р.Грань, многочисленными размывами дорожного полотна на участке автодороги Югоренок-Солнечный, автомобильной дороги Амга, в т.ч. перевалов Домбринский и Юрский, прекращением транспортного сообщения, невозможностью завоза ТМЦ и ГСМ, продуктов, угля на котельные поселка, перерывами в подаче электроэнергии по ЛЭП-35 кВ, введен режим «Чрезвычайная ситуация», на территории МО «поселок Югоренок» Усть-Майского улуса (района). Распоряжением зам. главы Н.В. Кравец МО «поселок Югоренок» Усть-Майского улуса (района) от 28.10.2019 №133-п, в связи с завершением аварийно востановительных работ на автомобильной дороге "Амга" на участке Югоренок - Солнечный, обеспечением транспортного сообщения между населенными пунктами Югоренок, Солнечный, снят  режим «Чрезвычайная ситуация» с 28.10.19 на территории МО «поселок Югоренок» Усть-Майского улуса (района).</t>
  </si>
  <si>
    <t xml:space="preserve"> Усть-Майский муниципальный район</t>
  </si>
  <si>
    <r>
      <t xml:space="preserve">Распоряжением главы А.С. Пахомова МО «поселок Солнечный» Усть-Майского улуса (района) от 18.09.2019 №69, в целях минимизации последствий чрезвычайной ситуации, вызванной обильными осадками, в связи с отсутсвием автодороги Солнечный-Эльдикан с 05.07.2019, размывом объездной дороги, необходимостью завоза топлива, угля, продуктов питания, ТМЦ в отопительный сезон 2019-2020 гг., обеспечением безопасности транспортировки граждан введен режим «Чрезвычайная ситуация», на территории МО «поселок Солнечный» Усть-Майского улуса (района).Распоряжением главы А.С. Пахомова МО «поселок Солнечный» Усть-Майского улуса (района) от 23.10.2019 №75, наличием возможности проезда до п.Эльдикан администрация п.Солнечный, </t>
    </r>
    <r>
      <rPr>
        <sz val="10"/>
        <color theme="1"/>
        <rFont val="Calibri"/>
        <family val="2"/>
        <charset val="204"/>
      </rPr>
      <t xml:space="preserve">снят режим «Чрезвычайная ситуация» </t>
    </r>
    <r>
      <rPr>
        <sz val="10"/>
        <rFont val="Calibri"/>
        <family val="2"/>
        <charset val="204"/>
      </rPr>
      <t>с 23.10.19 на территории МО «поселок Солнечный» Усть-Майского улуса (района).</t>
    </r>
  </si>
  <si>
    <t>Распоряжением главы А.А. Антипина МР Усть-Майского улуса (района) от 18.09.2019 №392-р, в связи с выпадением обильных осадков на территории Усть-Майского района, выходом из беРегиональныйов реки Аллах-Юнь и ее притоков, произошли размывы дорожного полотна на автомобильной дороге Амга, на участке Эльдикан-Солнечный-Югоренко, обьезд отсутсвует. В связи с этим прекращено транспортное сообщение до поселков Солнечный, Югоренко. Прекращен подвоз продуктов питания и предметов первой необходимости. Срыва.тся сроки по завозу товарно-материальных ценностей для старательских артелей. В целях оперативного взаимодействия и организации восстановления поврежденных участков автомобильной дороги введен режим «Чрезвычайная ситуация» на территории МР Усть-Майский улус (район).Распоряжением главы А.А. Антипина МР "Усть-Майского улуса (района)" от 28.10.2019 №456-р, в связи с завершением аварийно-восстановительных работ на автомобильной дороге Амга, на участке Эльдикан-Солнечный-Югоренко, обеспечением транспортного сообщения между населенными пунктами Эльдикан-Солнечный-Югоренко, снят режим «Чрезвычайная ситуация»  с 28.10.19 на территории МР Усть-Майский улус (район).</t>
  </si>
  <si>
    <r>
      <t xml:space="preserve">Распоряжением главы Елисеева Я.Г., МО Аллайховский улус (район), от 09.10.2019 №360 в целях привлечения авиации ГКУ РС(Я) "Служба спасения РС(Я)" сил и средств Аллайховского звена ЯТПЕГС предупреждения и ликвидации ЧС, для оперативного проведения ПСР по поиску Лебедева М.М., введен режим «Чрезвычайная ситуация» с 09.10.2019  муниципального характера на территории МО  Аллайховский улус (район).Распоряжением главы Елисеева Я.Г., МО Аллайховский улус (район), от 10.10.2019 №362 на основании Решения КЧС и ОПБ МО "Аллаиховский район" от 09.10.19, по поиску Лебедева М.М., </t>
    </r>
    <r>
      <rPr>
        <sz val="10"/>
        <color theme="1"/>
        <rFont val="Calibri"/>
        <family val="2"/>
        <charset val="204"/>
      </rPr>
      <t xml:space="preserve">снят режим «Чрезвычайная ситуация» </t>
    </r>
    <r>
      <rPr>
        <sz val="10"/>
        <rFont val="Calibri"/>
        <family val="2"/>
        <charset val="204"/>
      </rPr>
      <t>с 10.10.2019  муниципального характера на территории МО  Аллайховский улус (район)</t>
    </r>
  </si>
  <si>
    <t>Распоряжением 1-го зам. главы Слепцова В.Н., МР Абыйский улус (район), от 15.10.2019 №10 в целях привлечения авиации ГКУ РС(Я) "Служба спасения РС(Я)" сил и средств Абыйского звена ЯТПЕГС предупреждения и ликвидации ЧС, для оперативного проведения ПСР по поиску Подкопаева В.А., введен режим «Чрезвычайная ситуация» с 15.10.2019  муниципального характера на территории МО  Абыйский улус (район).Распоряжением Главы С.Я.Цюхцинским, МР Абыйский улус (район), от 09.12.2019 №136, о нахождении живым без вести пропавшего гр. В.А.Подкопаева, снят режим «Чрезвычайная ситуация» с 09.11.2019 муниципального характера на территории МО  Абыйский улус (район).</t>
  </si>
  <si>
    <t xml:space="preserve">Техногенный </t>
  </si>
  <si>
    <r>
      <t xml:space="preserve">Распоряжением Главы И.В. Кудряшова, МО Булунский улус (район), от 28.10.2019 №575-р, в связи с значительных материальных потерь и недопущения повтора событий связанных с аварией плотины водохранилища на озере "Мелкое" , до ликвидации угрозы обрушения плотины вызванной усиленной фильтрацией (утечки) водных запасов из вохранилища на озере "Мелкое", </t>
    </r>
    <r>
      <rPr>
        <sz val="10"/>
        <color theme="1"/>
        <rFont val="Calibri"/>
        <family val="2"/>
        <charset val="204"/>
      </rPr>
      <t>введен режим «Чрезвычайная ситуация»</t>
    </r>
    <r>
      <rPr>
        <sz val="10"/>
        <rFont val="Calibri"/>
        <family val="2"/>
        <charset val="204"/>
      </rPr>
      <t xml:space="preserve"> с 28.10.2019  муниципального характера на территории МО  Булунский улус (район) озеро "Мелкое".Распоряжением Главы И.В. Кудряшова, МО Булунский улус (район), от 16.12.2019 №683-р, в связи с окончанием работ по укреплению тела дамбы водохранилища на озере "Мелкое" , </t>
    </r>
    <r>
      <rPr>
        <sz val="10"/>
        <color theme="1"/>
        <rFont val="Calibri"/>
        <family val="2"/>
        <charset val="204"/>
      </rPr>
      <t>снят режим «Чрезвычайная ситуация»</t>
    </r>
    <r>
      <rPr>
        <sz val="10"/>
        <rFont val="Calibri"/>
        <family val="2"/>
        <charset val="204"/>
      </rPr>
      <t xml:space="preserve"> с 16.12.2019  муниципального характера на территории МО  Булунский улус (район) озеро "Мелкое".</t>
    </r>
  </si>
  <si>
    <r>
      <t xml:space="preserve">Постановлением И.о. главы И.П. Водовозова МО Булунский улус (район), от 16.12.2019 №151, в связи с приостановлением деятельности МУП «Хотой» на территории п. Усть-Нера и п.Артык и с угрозой розлива фекальных вод на дворовые территориях жилищного фонда, </t>
    </r>
    <r>
      <rPr>
        <sz val="10"/>
        <color theme="1"/>
        <rFont val="Calibri"/>
        <family val="2"/>
        <charset val="204"/>
      </rPr>
      <t>введен режим «Чрезвычайная ситуация»</t>
    </r>
    <r>
      <rPr>
        <sz val="10"/>
        <rFont val="Calibri"/>
        <family val="2"/>
        <charset val="204"/>
      </rPr>
      <t xml:space="preserve"> с 16.12.2019 на территории МО Оймяконский район.О снятии ЧС Распоряжение № 152 от 18 декабря 2019г.</t>
    </r>
  </si>
  <si>
    <r>
      <t>Заместителем главы Т.В.Кирилиллина МО "Кыстатыам", от 25.12.2019 №101, в связи с проишествием с участием 2 автомашин марки "Камаз" с человеческими жертвами на территории ЭМО "Кыстатыам",</t>
    </r>
    <r>
      <rPr>
        <sz val="10"/>
        <color theme="1"/>
        <rFont val="Calibri"/>
        <family val="2"/>
        <charset val="204"/>
      </rPr>
      <t xml:space="preserve"> введен режим «Чрезвычайная ситуация»</t>
    </r>
    <r>
      <rPr>
        <sz val="10"/>
        <rFont val="Calibri"/>
        <family val="2"/>
        <charset val="204"/>
      </rPr>
      <t xml:space="preserve"> с 25.12.2019 на территории ЭМО "Кыстатыам".Заместителем главы Т.В.Кирилиллина МО "Кыстатыам", от 27.12.2019 №103, в связи с ликвидацией последствий ЧС, </t>
    </r>
    <r>
      <rPr>
        <sz val="10"/>
        <color theme="1"/>
        <rFont val="Calibri"/>
        <family val="2"/>
        <charset val="204"/>
      </rPr>
      <t>снят режим «Чрезвычайная ситуация»</t>
    </r>
    <r>
      <rPr>
        <sz val="10"/>
        <rFont val="Calibri"/>
        <family val="2"/>
        <charset val="204"/>
      </rPr>
      <t xml:space="preserve"> с 27.12.2019 на территории ЭМО "Кыстатыам".</t>
    </r>
  </si>
  <si>
    <r>
      <t>Распоряжением главы МО  «Верхоянский район» от 12.06.2019 г. №596-РА,в связи с введением особого противопожарного режима на территории МО"Верхоянский район распоряжение Главы администрации от 23 мая 2019 г. №521-РА, на основании Решения КЧС и ОПБ Верхоянского района №7 от 12.06.2019 г., наступлением IV класса пожарной безопасности в лесах, увеличением количества и площади лесных пожаров в результате неблагоприятных природных условий, а также возникновений угрозы ЧС в населенных пунктах Верхоянского района,</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12.06.2019 на территории МО  «Верхоянский район». </t>
    </r>
  </si>
  <si>
    <r>
      <t>Распоряжением Первого заместителя главы В.В.Корякин МО  «Момский район» от 24.06.2019 г. №99,в связи с введением режима Повышенной готовности на территории Момский район РС(Я)  распоряжение Главы администрации от 13.06.2019 г. №272, на основании Решения КЧС и ОПБ Момского района, наступлением IV класса пожарной безопасности в лесах, на основании рекомендательного письма заместителя председателя госкомитета по обеспечению безопасности жизнедеятельности населения РС(Я) №22/07-2949 от 24.06.19, увеличением количества и площади лесных пожаров в результате неблагоприятных природных условий, а также возникновений угрозы ЧС в населенных пунктах Момского района,</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24.06.2019 на территории МО  «Момский район».  Распоряжением 1 зам. главы В.В. Корякина МО Момского района   от 04.07.2019 г. №102, в связи с нормализацией обстановки, с отсутствием очагов лесных пожаров,</t>
    </r>
    <r>
      <rPr>
        <sz val="10"/>
        <color theme="1"/>
        <rFont val="Calibri"/>
        <family val="2"/>
        <charset val="204"/>
      </rPr>
      <t xml:space="preserve"> снят</t>
    </r>
    <r>
      <rPr>
        <sz val="10"/>
        <rFont val="Calibri"/>
        <family val="2"/>
        <charset val="204"/>
      </rPr>
      <t xml:space="preserve"> режим «Чрезвычайная ситуация» с 04.07.2019 на территории МО "Момский район"</t>
    </r>
  </si>
  <si>
    <r>
      <t>Распоряжением главы наслега П.М.Мараказов МО  «Улахан-Чистайский национальный наслег» Момского района РС(Я) от 25.06.2019 г. №46 р,на основании Решениями КЧС и ОПБ Момского района,МО  «Улахан-Чистайский национальный наслег» , наступлением IV класса пожарной безопасности в лесах, на основании рекомендательного письма заместителя председателя госкомитета по обеспечению безопасности жизнедеятельности населения РС(Я) №22/07-2949 от 24.06.19, увеличением количества и площади лесных пожаров в результате неблагоприятных природных условий, а также возникновений угрозы ЧС  МО  «Улахан-Чистайский национальный наслег» ,</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25.06.2019 на территории  МО  «Улахан-Чистайский национальный наслег», в связи с нормализацией обсановки </t>
    </r>
    <r>
      <rPr>
        <sz val="10"/>
        <color theme="1"/>
        <rFont val="Calibri"/>
        <family val="2"/>
        <charset val="204"/>
      </rPr>
      <t>снят</t>
    </r>
    <r>
      <rPr>
        <sz val="10"/>
        <rFont val="Calibri"/>
        <family val="2"/>
        <charset val="204"/>
      </rPr>
      <t xml:space="preserve"> режим «Чрезвычайная ситуация» с 05.07.2019 на территории МО "Улахан-Чистайский национальный наслег"</t>
    </r>
  </si>
  <si>
    <r>
      <t>Указом главы РС(Я) А.Николаевым г.Якутск от 25.06.2019 г. №609, в целях устранения угрозы перехода лесных и природных пожаров в населенные пункты РС(Я)  ,</t>
    </r>
    <r>
      <rPr>
        <sz val="10"/>
        <color theme="1"/>
        <rFont val="Calibri"/>
        <family val="2"/>
        <charset val="204"/>
      </rPr>
      <t>введен</t>
    </r>
    <r>
      <rPr>
        <sz val="10"/>
        <rFont val="Calibri"/>
        <family val="2"/>
        <charset val="204"/>
      </rPr>
      <t xml:space="preserve"> </t>
    </r>
    <r>
      <rPr>
        <sz val="10"/>
        <color theme="1"/>
        <rFont val="Calibri"/>
        <family val="2"/>
        <charset val="204"/>
      </rPr>
      <t>режим «Чрезвычайная ситуация»</t>
    </r>
    <r>
      <rPr>
        <sz val="10"/>
        <rFont val="Calibri"/>
        <family val="2"/>
        <charset val="204"/>
      </rPr>
      <t xml:space="preserve"> с 25.06.2019 межмуниципального характера на территории  МО  «Верхоянский район» и МО  «Момский район». </t>
    </r>
  </si>
  <si>
    <r>
      <t xml:space="preserve">Распоряжением главы Николаевой Н.П. МО "Силянняхский национальный наслег"  Усть-Янского района "от 26.06.2019 №66-ОД, в связи с возникновением угрозы населенному пункту, </t>
    </r>
    <r>
      <rPr>
        <sz val="10"/>
        <color theme="1"/>
        <rFont val="Calibri"/>
        <family val="2"/>
        <charset val="204"/>
      </rPr>
      <t xml:space="preserve">введен режим «Чрезвычайная ситуация» </t>
    </r>
    <r>
      <rPr>
        <sz val="10"/>
        <rFont val="Calibri"/>
        <family val="2"/>
        <charset val="204"/>
      </rPr>
      <t xml:space="preserve">с  26.06.2019 муниципального характера на террритории МО "Силянняхский национальный наслег", </t>
    </r>
    <r>
      <rPr>
        <sz val="10"/>
        <color theme="1"/>
        <rFont val="Calibri"/>
        <family val="2"/>
        <charset val="204"/>
      </rPr>
      <t>снят</t>
    </r>
    <r>
      <rPr>
        <sz val="10"/>
        <rFont val="Calibri"/>
        <family val="2"/>
        <charset val="204"/>
      </rPr>
      <t xml:space="preserve"> режим «Чрезвычайная ситуация» с 02.07.2019 №67-ОД на основании Распоряжения главы Николаевой Н.П. на территории МО "Силянняхский национальный наслег"</t>
    </r>
  </si>
  <si>
    <r>
      <t xml:space="preserve">Распоряжением зам. главы Черемкиной М.В. с. Абый  МО "Абыйский наслег",  от 27.06.2019 №6/16, в связи с возникновением угрозы населенному пункту </t>
    </r>
    <r>
      <rPr>
        <sz val="10"/>
        <color theme="1"/>
        <rFont val="Calibri"/>
        <family val="2"/>
        <charset val="204"/>
      </rPr>
      <t xml:space="preserve">введен режим «Чрезвычайная ситуация» </t>
    </r>
    <r>
      <rPr>
        <sz val="10"/>
        <rFont val="Calibri"/>
        <family val="2"/>
        <charset val="204"/>
      </rPr>
      <t xml:space="preserve">с  27.06.2019 муниципального характера на территории с. Абый, </t>
    </r>
    <r>
      <rPr>
        <sz val="10"/>
        <color theme="1"/>
        <rFont val="Calibri"/>
        <family val="2"/>
        <charset val="204"/>
      </rPr>
      <t>снят</t>
    </r>
    <r>
      <rPr>
        <sz val="10"/>
        <rFont val="Calibri"/>
        <family val="2"/>
        <charset val="204"/>
      </rPr>
      <t xml:space="preserve"> режим  «Чрезвычайная ситуация» с 03.07.2019 № 7/1 на основании Распоряжения зам. главы Черемкиной М.В. на территории МО "Абыйский наслег"</t>
    </r>
  </si>
  <si>
    <r>
      <t xml:space="preserve">Распоряжением главы Атласовым И.И., сельского поселения "Майорский национальный наслег" от 27.06.2019 №156, признать обстановку, сложившуеся к 27.06.2019 на территории , обусловленную многочисленными природными, в том числе лесными пожарами, чс муниципального характера, влекущей угрозу нарушения функционирования систем жизнеобеспечения населения, обьяктов экономики наслега, </t>
    </r>
    <r>
      <rPr>
        <sz val="10"/>
        <color theme="1"/>
        <rFont val="Calibri"/>
        <family val="2"/>
        <charset val="204"/>
      </rPr>
      <t xml:space="preserve">введен режим «Чрезвычайная ситуация» </t>
    </r>
    <r>
      <rPr>
        <sz val="10"/>
        <rFont val="Calibri"/>
        <family val="2"/>
        <charset val="204"/>
      </rPr>
      <t xml:space="preserve">с 27.06.2019 на территории  МО СП "Майорский национальный наслег".Распоряжением главы Атласовым И.И., от 04.07.2019 №160, аннулировать распоряжение главы МО СП "Майорский национальный наслег" "О введении режима функционирования "ЧС" во время лесных пожаров на территории МО СП "Майорский национальный наслег" Абыйского улуса РС(Я) от 27.06.2019 №156, </t>
    </r>
    <r>
      <rPr>
        <sz val="10"/>
        <color theme="1"/>
        <rFont val="Calibri"/>
        <family val="2"/>
        <charset val="204"/>
      </rPr>
      <t>снят режим «Чрезвычайная ситуация»</t>
    </r>
    <r>
      <rPr>
        <sz val="10"/>
        <rFont val="Calibri"/>
        <family val="2"/>
        <charset val="204"/>
      </rPr>
      <t xml:space="preserve"> на территории  МО СП "Майорский национальный наслег".</t>
    </r>
  </si>
  <si>
    <r>
      <t xml:space="preserve">
Распоряжением главы муниципального района, председателем КЧС и ПБ С. Н. Винокуровым МО «Тылгынинский наслег» МР «Вилюйский улус (район)» от 16.07.2019 №14-18, </t>
    </r>
    <r>
      <rPr>
        <sz val="10"/>
        <color theme="1"/>
        <rFont val="Calibri"/>
        <family val="2"/>
        <charset val="204"/>
      </rPr>
      <t xml:space="preserve">введен режим «Чрезвычайная ситуация» </t>
    </r>
    <r>
      <rPr>
        <sz val="10"/>
        <rFont val="Calibri"/>
        <family val="2"/>
        <charset val="204"/>
      </rPr>
      <t>с 16.07.2019 муниципального характера на территории 
МО «Тылгынинский наслег» МР «Вилюйский улус (район)»,</t>
    </r>
    <r>
      <rPr>
        <sz val="10"/>
        <color theme="1"/>
        <rFont val="Calibri"/>
        <family val="2"/>
        <charset val="204"/>
      </rPr>
      <t xml:space="preserve"> снят </t>
    </r>
    <r>
      <rPr>
        <sz val="10"/>
        <rFont val="Calibri"/>
        <family val="2"/>
        <charset val="204"/>
      </rPr>
      <t xml:space="preserve">режим Чрезвычайная ситуация» с 19.07.2019 №14-19 МО «Тылгынинский наслег» МР «Вилюйский улус (район) 
</t>
    </r>
  </si>
  <si>
    <r>
      <t xml:space="preserve">
Распоряжением главы Антоновым Н.И. МО "Линдинский наслег " МР «Жиганский национальный эвенкийский район»,  от 16.07.2019 №75-19, в связи с установлением высокого 5 класса пожарной опасности в лесах </t>
    </r>
    <r>
      <rPr>
        <sz val="10"/>
        <color theme="1"/>
        <rFont val="Calibri"/>
        <family val="2"/>
        <charset val="204"/>
      </rPr>
      <t>введен режим «Чрезвычайная ситуация</t>
    </r>
    <r>
      <rPr>
        <sz val="10"/>
        <rFont val="Calibri"/>
        <family val="2"/>
        <charset val="204"/>
      </rPr>
      <t>» с 16.07.2019, муниципального характера, на территории 
МО «Линдинский наслег» МР «Жиганский национальный эвенкийский район»,</t>
    </r>
    <r>
      <rPr>
        <sz val="10"/>
        <color theme="1"/>
        <rFont val="Calibri"/>
        <family val="2"/>
        <charset val="204"/>
      </rPr>
      <t xml:space="preserve"> снят</t>
    </r>
    <r>
      <rPr>
        <sz val="10"/>
        <rFont val="Calibri"/>
        <family val="2"/>
        <charset val="204"/>
      </rPr>
      <t xml:space="preserve"> режим «Чрезвычайная ситуация» с 23.08.2019 г на территории МР  «Жиганский национальный эвенкийский район» МО "Линдинский наслег "
</t>
    </r>
  </si>
  <si>
    <r>
      <t xml:space="preserve">Распоряжением главы Петровым И.С. МО "Одунунский наслег" МР Горный улус, от 17.07.2019 №64, в связи с возникновением 3 класса пожарной опасности на территории  МО"Одунунский наслег" </t>
    </r>
    <r>
      <rPr>
        <sz val="10"/>
        <color theme="1"/>
        <rFont val="Calibri"/>
        <family val="2"/>
        <charset val="204"/>
      </rPr>
      <t>введен режим «Чрезвычайная ситуация»,</t>
    </r>
    <r>
      <rPr>
        <sz val="10"/>
        <rFont val="Calibri"/>
        <family val="2"/>
        <charset val="204"/>
      </rPr>
      <t xml:space="preserve">  на территории 
МО"Одунунский наслег" МР Горный улус</t>
    </r>
  </si>
  <si>
    <r>
      <t xml:space="preserve">Распоряжением главы МО Захаровым А.Н. МО "Шологонский наслег" МР Горный улус от 16.07.2019 №45-01/2019, в связи с возникновением лесных пожаров №12 АЗК, №13 АЗК, угрожающих населенному пункту с.Ерт на территории МО "Шологонский наслег", </t>
    </r>
    <r>
      <rPr>
        <sz val="10"/>
        <color theme="1"/>
        <rFont val="Calibri"/>
        <family val="2"/>
        <charset val="204"/>
      </rPr>
      <t>введен режим «Чрезвычайная ситуация»,</t>
    </r>
    <r>
      <rPr>
        <sz val="10"/>
        <rFont val="Calibri"/>
        <family val="2"/>
        <charset val="204"/>
      </rPr>
      <t xml:space="preserve">  на территории 
МО "Шологонский наслег"  МР Горный улус, , </t>
    </r>
    <r>
      <rPr>
        <sz val="10"/>
        <color theme="1"/>
        <rFont val="Calibri"/>
        <family val="2"/>
        <charset val="204"/>
      </rPr>
      <t>снят</t>
    </r>
    <r>
      <rPr>
        <sz val="10"/>
        <rFont val="Calibri"/>
        <family val="2"/>
        <charset val="204"/>
      </rPr>
      <t xml:space="preserve"> режим Чрезвычайная ситуация» с 22.07.2019 №17-01/19 на основании решения главы района, в связи с ликвидацией лесных пожаров, угрожающих населенному пункту Ерт</t>
    </r>
  </si>
  <si>
    <r>
      <t xml:space="preserve">Распоряжением заместителя главы Егоровым А.П. МР «Жиганский национальный эвенкийский район» от 25.07.2019 №328, в связи со сложной лесопожарной обстановкой, </t>
    </r>
    <r>
      <rPr>
        <sz val="10"/>
        <color theme="1"/>
        <rFont val="Calibri"/>
        <family val="2"/>
        <charset val="204"/>
      </rPr>
      <t>введен режим «Чрезвычайная ситуация»</t>
    </r>
    <r>
      <rPr>
        <sz val="10"/>
        <rFont val="Calibri"/>
        <family val="2"/>
        <charset val="204"/>
      </rPr>
      <t>, на территории МР «Жиганский национальный эвенкийский район»,</t>
    </r>
    <r>
      <rPr>
        <sz val="10"/>
        <color theme="1"/>
        <rFont val="Calibri"/>
        <family val="2"/>
        <charset val="204"/>
      </rPr>
      <t xml:space="preserve"> снят </t>
    </r>
    <r>
      <rPr>
        <sz val="10"/>
        <rFont val="Calibri"/>
        <family val="2"/>
        <charset val="204"/>
      </rPr>
      <t>режим «Чрезвычайная ситуация» с 23.08.2019 г на территории МР  «Жиганский национальный эвенкийский район»</t>
    </r>
  </si>
  <si>
    <r>
      <t xml:space="preserve">Распоряжением заместителя главы Григорьевым А.В. МР «Сунтарский улус» от 30.07.2019 №А31/1, в связи с угрозой природных пожаров населенным пунктам муниципального района Сунтарский улус, введен режим «Чрезвычайная ситуация», на территории МР «Сунтарский улус», </t>
    </r>
    <r>
      <rPr>
        <sz val="10"/>
        <color theme="1"/>
        <rFont val="Calibri"/>
        <family val="2"/>
        <charset val="204"/>
      </rPr>
      <t xml:space="preserve">снят </t>
    </r>
    <r>
      <rPr>
        <sz val="10"/>
        <rFont val="Calibri"/>
        <family val="2"/>
        <charset val="204"/>
      </rPr>
      <t xml:space="preserve">режим «Чрезвычайная ситуация» с 19.08.2019 г на территории МО  «Сунтарский улус».  </t>
    </r>
  </si>
  <si>
    <r>
      <t xml:space="preserve">Распоряжением главы Шадрина А.М. МО "Синский наслег" Хангаласского улуса  от 30.07.2019 №157-р, в связи с 5 классом пожарной опасности на территории Хангаласского улуса, отсутствием осадков и сухой ветреной погодой, в целях устранения угрозы распространения и перехода лесного пожара №10 на територии МО "Синский наслег", </t>
    </r>
    <r>
      <rPr>
        <sz val="10"/>
        <color theme="1"/>
        <rFont val="Calibri"/>
        <family val="2"/>
        <charset val="204"/>
      </rPr>
      <t>введен режим «Чрезвычайная ситуация»</t>
    </r>
    <r>
      <rPr>
        <sz val="10"/>
        <rFont val="Calibri"/>
        <family val="2"/>
        <charset val="204"/>
      </rPr>
      <t xml:space="preserve"> на территории МО "Синский наслег" Хангаласского улуса, </t>
    </r>
    <r>
      <rPr>
        <sz val="10"/>
        <color theme="1"/>
        <rFont val="Calibri"/>
        <family val="2"/>
        <charset val="204"/>
      </rPr>
      <t xml:space="preserve">снят </t>
    </r>
    <r>
      <rPr>
        <sz val="10"/>
        <rFont val="Calibri"/>
        <family val="2"/>
        <charset val="204"/>
      </rPr>
      <t xml:space="preserve">режим «Чрезвычайная ситуация» с 05.08.2019 на территории МО "Синский наслег". на основании распоряжения главы МО "Синский наслег" Хангаласского улуса И.о. главы Р.А.Иевлеевым. от 05.08.2019 №881-р, в связи со стабилизацией лесопожарной обстановки и выпавдением обильных осадков  </t>
    </r>
  </si>
  <si>
    <t xml:space="preserve">Указом главы РС(Я) А.Николаевым г.Якутск от 01.08.2019 г. №681, в связи с введением чрезвычайной ситуации в лесах муниципального характера на территории Усть-Алданского улуса, режима «Чрезвычайная ситуация» в Сунтарском улусе, длительным установившимся 4 классом пожарной опасности в лесах, увеличением количества и площади лесных пожаров в результате неблагоприятных погодных условий с сухими грозами на территориях центральных, заречных и западных районов Республики Саха (Якутия), введен режим «Чрезвычайная ситуация с 01.08.2019 Региональныйионального характера,  снят режим «Чрезвычайная ситуация» с 22.08.2019 г в лесах Региональныйионального характера </t>
  </si>
  <si>
    <r>
      <t xml:space="preserve">Постанавлением И.о. главы Нерюнгринской районной администрацией от 08.08.2019 г. №1274, Протокола заседания Комис ии по ЧС и обеспечению пожарной безопасности МО "Нерюнгринский район" от 08.08.2019 №36 , Нерюнгринская районная администрация, </t>
    </r>
    <r>
      <rPr>
        <sz val="10"/>
        <color theme="1"/>
        <rFont val="Calibri"/>
        <family val="2"/>
        <charset val="204"/>
      </rPr>
      <t xml:space="preserve">введен режим «Чрезвычайная ситуация» </t>
    </r>
    <r>
      <rPr>
        <sz val="10"/>
        <rFont val="Calibri"/>
        <family val="2"/>
        <charset val="204"/>
      </rPr>
      <t xml:space="preserve">с 08.08.2019 на территории МО  «Нерюнгринский район», </t>
    </r>
    <r>
      <rPr>
        <sz val="10"/>
        <color theme="1"/>
        <rFont val="Calibri"/>
        <family val="2"/>
        <charset val="204"/>
      </rPr>
      <t>снят режим</t>
    </r>
    <r>
      <rPr>
        <sz val="10"/>
        <rFont val="Calibri"/>
        <family val="2"/>
        <charset val="204"/>
      </rPr>
      <t xml:space="preserve"> «Чрезвычайная ситуация» с 15.08.2019 на территории МО Нерюнгринский район.</t>
    </r>
  </si>
  <si>
    <r>
      <t xml:space="preserve">Распоряжением главы  МО "Кангаласский 2-й наслег" Среднеколымский район от 08.08.2019 г. №94, МО "Кангаласский 2-й наслег" Среднеколымский район" от 18.08.2019 №94, </t>
    </r>
    <r>
      <rPr>
        <sz val="10"/>
        <color theme="1"/>
        <rFont val="Calibri"/>
        <family val="2"/>
        <charset val="204"/>
      </rPr>
      <t xml:space="preserve">введен режим «Чрезвычайная ситуация» </t>
    </r>
    <r>
      <rPr>
        <sz val="10"/>
        <rFont val="Calibri"/>
        <family val="2"/>
        <charset val="204"/>
      </rPr>
      <t xml:space="preserve">с 18.08.2019 на территории МО  «Кангаласский 2-й наслег». </t>
    </r>
  </si>
  <si>
    <r>
      <t xml:space="preserve">Распоряжением заместителя главы Григорьевым А.В. МР «Среднеколымский улус» от 19.08.2019 №А465а, в связи со сложной обстановкой, вызванной возгоранем леса на участке Таралыйар и угрозой населенному пункту на территории МО "Кангаласский 2 наслег", </t>
    </r>
    <r>
      <rPr>
        <sz val="10"/>
        <color theme="1"/>
        <rFont val="Calibri"/>
        <family val="2"/>
        <charset val="204"/>
      </rPr>
      <t>введен режим «Чрезвычайная ситуация»</t>
    </r>
    <r>
      <rPr>
        <sz val="10"/>
        <rFont val="Calibri"/>
        <family val="2"/>
        <charset val="204"/>
      </rPr>
      <t>, на территории МР «Среднеколымский улус»</t>
    </r>
    <r>
      <rPr>
        <b/>
        <sz val="11"/>
        <color theme="1"/>
        <rFont val="Calibri"/>
        <family val="2"/>
        <charset val="204"/>
        <scheme val="minor"/>
      </rPr>
      <t/>
    </r>
  </si>
  <si>
    <t>Техногенный, отключение электроснабжения</t>
  </si>
  <si>
    <r>
      <t>Распоряжением Главы МО "Поселок Джебарики-Хая" В.Э.Пудогина  от 25.02.2020 г. №19, в связи со сложившийся ситуаций и целях ликвидации чс,</t>
    </r>
    <r>
      <rPr>
        <sz val="10"/>
        <color theme="1"/>
        <rFont val="Calibri"/>
        <family val="2"/>
        <charset val="204"/>
      </rPr>
      <t xml:space="preserve"> введен</t>
    </r>
    <r>
      <rPr>
        <sz val="10"/>
        <rFont val="Calibri"/>
        <family val="2"/>
        <charset val="204"/>
      </rPr>
      <t xml:space="preserve"> </t>
    </r>
    <r>
      <rPr>
        <sz val="10"/>
        <color theme="1"/>
        <rFont val="Calibri"/>
        <family val="2"/>
        <charset val="204"/>
      </rPr>
      <t xml:space="preserve">режим «Чрезвычайная ситуация» </t>
    </r>
    <r>
      <rPr>
        <sz val="10"/>
        <rFont val="Calibri"/>
        <family val="2"/>
        <charset val="204"/>
      </rPr>
      <t>с 25.02.2020 на территории МО "Поселок Джебарики-Хая". (отключение электроснабжения)</t>
    </r>
  </si>
  <si>
    <t>Природный, Гидрология</t>
  </si>
  <si>
    <r>
      <t xml:space="preserve">Распоряжением Главы  МО "Шологонский наслег” А.Н. Захарова  от 03.04.2020 г. №34, в связи с угрозой затопления с.Ерт, </t>
    </r>
    <r>
      <rPr>
        <sz val="10"/>
        <color theme="1"/>
        <rFont val="Calibri"/>
        <family val="2"/>
        <charset val="204"/>
      </rPr>
      <t>введен режим «Чрезвычайная ситуация»</t>
    </r>
    <r>
      <rPr>
        <sz val="10"/>
        <rFont val="Calibri"/>
        <family val="2"/>
        <charset val="204"/>
      </rPr>
      <t xml:space="preserve"> с 03.04.2020 на территории МО "Шологонский наслег” МР "Горный улус" РС(Я).</t>
    </r>
  </si>
  <si>
    <t>Распоряжением Главы  МО "Мальжагарский 5-й наслег” В.Н.Лотова  от 10.05.2020 г. №28, в связи с превышением критической отметки уровня воды на территории населенного пункта с.Кытыл-Дюра МО "Мальжагарский 5-й наслег"</t>
  </si>
  <si>
    <r>
      <t xml:space="preserve">Распоряжением Главы  МО "Усть-Амгинский наслег” Е.В.Васильев  от 11.05.2020 г. №22, в связи с размывом паводковым половодьем моста "Туспут куол" и затоплением муниципальной автодороги Харбалах, Чимнайи" </t>
    </r>
    <r>
      <rPr>
        <sz val="10"/>
        <color theme="1"/>
        <rFont val="Calibri"/>
        <family val="2"/>
        <charset val="204"/>
      </rPr>
      <t>введен режим «Чрезвычайная ситуация»</t>
    </r>
  </si>
  <si>
    <r>
      <t xml:space="preserve">Распоряжением Главы  МО "Средне-Амгинский наслег” А.И.Кулачиков  от 11.05.2020 г. №30, в связи с трудной паводковой ситуацией, с прибытием больших вод, с затоплением усадеб, изолированием н.п. Харбалах, из-за размытия паводовыми водами р/д "Ытык-Куоль - Харбалах" </t>
    </r>
    <r>
      <rPr>
        <sz val="10"/>
        <color theme="1"/>
        <rFont val="Calibri"/>
        <family val="2"/>
        <charset val="204"/>
      </rPr>
      <t>введен режим «Чрезвычайная ситуация»</t>
    </r>
  </si>
  <si>
    <t>Распоряжением Главы  ГО "Якутск” С.В. Авксентьева от 13.05.2020 г. №30, в связи с затоплением территории городского округа "г.Якутск" введен режим «Чрезвычайная ситуация»</t>
  </si>
  <si>
    <t>Распоряжением Главы  ГО "г.Жатай” .В.В. Гладышев от 13.05.2020 г. №238-Р, в связи с размывом дамбы-дороги  и подтоплением территориии Орленок" введен режим «Чрезвычайная ситуация»</t>
  </si>
  <si>
    <t>Распоряжением Главы  МО "Нерюктяйинский наслег" Н.Г. Федоров от 13.05.2020 №158 в связи с резким повышением уровня воды на рЛена разрушениям 2 дамб, угрозой затопления 2 дамб и 3 внутрипоселковых дорог муниципалтного значения  на территории МО "Нерюктяйинский наслег"</t>
  </si>
  <si>
    <t>Распоряжением Главы  МО "Нижний Бестях" Ю.Н. Колмаков от 13.05.2020 №205 в связи с резким повышением уровня воды на рЛена затоплением дамбы на территории МО "п.Нижний Бестях"</t>
  </si>
  <si>
    <t>Распоряжением Главы  МО "Тюляхский наслег" С.В. Винокуров от 14.05.2020 г. №31, в связи с  повышением уровня воды на речке Тимирдээх произошел размыв дамбы на межпоселенческой автомобильной дороге Кылайы-Борогонцы , введен режим «Чрезвычайная ситуация»</t>
  </si>
  <si>
    <t>Распоряжением Главы  МО "Хатын-Арынский наслег" И.Д. Ноговицын от 16.05.2020 г. №046/01-03/1, в связи с резким повышением уровня воды на рЛена и разрушением дамбы АЗС№5 - с.Графский БеРегиональный - с.Кысыл-Деревня, введен режим «Чрезвычайная ситуация»</t>
  </si>
  <si>
    <t>Распоряжением Главы  МР "Усть-Алданский район" А.В. Федотов от 18.05.2020 г. №261, в связи с  повышением уровня воды на рЛена, Алдан а также малых реках на территории МР Усть-Алданский район, введен режим «Чрезвычайная ситуация»</t>
  </si>
  <si>
    <t>Распоряжением Главы  МО "Чериктяйский наслег" Г.Г. Босиков от 18.05.2020 г. №23, в связи с  повышением уровня воды на рАлдан, введен режим «Чрезвычайная ситуация»</t>
  </si>
  <si>
    <t>Распоряжением Главы  МО "Суоттунский наслег" В.И. Иванов от 18.05.2020 г. №73, в связи с  разрушениям дамбы на путях межпоселкового транспортного сообщения с.Огородтах-Сасылыкан , введен режим «Чрезвычайная ситуация»</t>
  </si>
  <si>
    <t>Распоряжением Главы  МО "Борогонский наслег" В.П. Алексеев от 18.05.2020 г. №53, в связи с  разрушениеи дамбы "Ымыйахтах" введен режим «Чрезвычайная ситуация»</t>
  </si>
  <si>
    <t>Природный, размыв моста</t>
  </si>
  <si>
    <r>
      <t>Распоряжением Главы  МО "Малтанинский наслег” Д.Д. Борисова  от 18.05.2020 г. №42, в связи с отсутсвием транспортного сообщения ,</t>
    </r>
    <r>
      <rPr>
        <sz val="10"/>
        <color theme="1"/>
        <rFont val="Calibri"/>
        <family val="2"/>
        <charset val="204"/>
      </rPr>
      <t>введен режим «Чрезвычайная ситуация»</t>
    </r>
    <r>
      <rPr>
        <sz val="10"/>
        <rFont val="Calibri"/>
        <family val="2"/>
        <charset val="204"/>
      </rPr>
      <t xml:space="preserve"> </t>
    </r>
  </si>
  <si>
    <r>
      <t>Распоряжением Главы  МО "Бэрийинский наслег” П.В. Васильев  от 20.05.2020 г. №16, в связи с повышениям уровня воды на речке "Танда"</t>
    </r>
    <r>
      <rPr>
        <sz val="10"/>
        <color theme="1"/>
        <rFont val="Calibri"/>
        <family val="2"/>
        <charset val="204"/>
      </rPr>
      <t xml:space="preserve">, введен режим «Чрезвычайная ситуация» </t>
    </r>
  </si>
  <si>
    <r>
      <t xml:space="preserve">Распоряжением Главы  МО "Байагантайский 2 -й наслег” А.В. Егоров  от 20.05.2020 г. №30, в связи с повышениям уровня воды на речке "Танда", </t>
    </r>
    <r>
      <rPr>
        <sz val="10"/>
        <color theme="1"/>
        <rFont val="Calibri"/>
        <family val="2"/>
        <charset val="204"/>
      </rPr>
      <t xml:space="preserve">введен режим «Чрезвычайная ситуация» </t>
    </r>
  </si>
  <si>
    <r>
      <t xml:space="preserve">Распоряжением Главы  МО "Город  Среднеколымск”  Н.З. Чукров от 21.05.2020 г. №69-р, в связи с повышением уровня воды на реке Колыма в городе Среднеколымск , </t>
    </r>
    <r>
      <rPr>
        <sz val="10"/>
        <color theme="1"/>
        <rFont val="Calibri"/>
        <family val="2"/>
        <charset val="204"/>
      </rPr>
      <t>введен режим «Чрезвычайная ситуация»</t>
    </r>
  </si>
  <si>
    <r>
      <t xml:space="preserve">Распоряжением Главы  МО "Соболохский национальный наслег” А.А. Тарабукин от 21.05.2020 г. №20-20, в связи со сложной паводковой обстановкой, высванной повышением уровня воды реки Индигирка , </t>
    </r>
    <r>
      <rPr>
        <sz val="10"/>
        <color theme="1"/>
        <rFont val="Calibri"/>
        <family val="2"/>
        <charset val="204"/>
      </rPr>
      <t xml:space="preserve">введен режим «Чрезвычайная ситуация» </t>
    </r>
  </si>
  <si>
    <r>
      <t xml:space="preserve">Распоряжением Главы  МО "Среднеколымск район” Е.М.Слепцов от 21.05.2020 г. №311-а в связи  с повышением уровня воды на реке Колыма, подтоплениеи объектов экономики, транспортной инфраструктуры и жилого фонда </t>
    </r>
    <r>
      <rPr>
        <sz val="10"/>
        <color theme="1"/>
        <rFont val="Calibri"/>
        <family val="2"/>
        <charset val="204"/>
      </rPr>
      <t xml:space="preserve">введен режим «Чрезвычайная ситуация» </t>
    </r>
  </si>
  <si>
    <t>Природный, лесные пожары</t>
  </si>
  <si>
    <t xml:space="preserve">Распоряжением Главы   В.В.Новиков от 20.06.2020 г. №95 в связи  с быстрым распостранением , приближением более  5 км, созданием угрозы  н.п. и объектам жизнеобеспечения с.Сутуруоха введен режим «Чрезвычайная ситуация» </t>
  </si>
  <si>
    <t xml:space="preserve">Распоряжением Главы  МО «Нижне-Бытантайский наслег» Эвено-Бытантайского района, с 23.06.2020г. №240 в связи со сложной лесопожарной обстановкой введен режим «Чрезвычайная ситуация» </t>
  </si>
  <si>
    <t xml:space="preserve">Распоряжением Главы  МР "Нижнеколымский район"  В.М. Сентяков от 25.06.2020 г. №167 в связи со сложной лесопожарной обстановкой введен режим «Чрезвычайная ситуация» </t>
  </si>
  <si>
    <t xml:space="preserve">Распоряжением Главы  МО "Эвено-Бытантайский национальный район"  Г.Г. Горохов от 26.06.2020 г. №243 в связи распостранением природного пожара ,  созданием угрозы  н.п. и объектам жизнеобеспечения  введен режим «Чрезвычайная ситуация» </t>
  </si>
  <si>
    <t xml:space="preserve">Распоряжением Главы  МО "поселок Батагай"  Е.Е. Шестаков от 01.07.2020 г. №186-Р в связи со сложной лесопожарной обстановкой введен режим «Чрезвычайная ситуация» </t>
  </si>
  <si>
    <t xml:space="preserve">Распоряжением Главы  МО "города Среднеколымск"  Н.З. Чукров от 02.07.2020г. №91 в связи со сложной лесопожарной обстановкой введен режим «Чрезвычайная ситуация» </t>
  </si>
  <si>
    <t xml:space="preserve">Указ Главы  РС (Я)  А.С. Николаев от 02.07.2020г. №1296 в связи со сложной лесопожарной обстановкой введен режим «Чрезвычайная ситуация» </t>
  </si>
  <si>
    <t>Распоряжением Главы с 02.07.2020 № 276-р (лесной пожар)</t>
  </si>
  <si>
    <t>Распоряжением главы МО "Среднеколымский улус (район)" Е.М. Слепцов от 02.07.2020г. №378-а, в связи с объявлением МО "Город Среднеколымск" режим функционирования ЧС</t>
  </si>
  <si>
    <t xml:space="preserve">Распоряжением Главы  МО "Верхоянский район" Г.И. Чириков от 03.07.2020 г. №554-РА в связи со сложной лесопожарной обстановкой введен режим «Чрезвычайная ситуация» </t>
  </si>
  <si>
    <t>Распоряжением первого зам. Главы МО "Чурапчинский район" Ноговицын А.А. от 03.07.2020г. №772/1, в связи с действующими нелокализованными лесными пожарами в лесах муниципального характера.</t>
  </si>
  <si>
    <t>Распоряжением  Главы № 130  от 07.07.20 на территории Момского района объявлен режим «Чрезвычайная ситуация».</t>
  </si>
  <si>
    <t>Природный, град</t>
  </si>
  <si>
    <t>Распоряжением Главы МО "Наторинский наслег" Ленский район Э.С. Тимофеев от 12.07.2020 г. №22 в связи со сложившейся в результате метеоявления, обусловленного выпадением ледового града с порывами ветра разрушительной силы введен режим «Чрезвычайная ситуация»</t>
  </si>
  <si>
    <t xml:space="preserve">Распоряжением Главы № 354 от 15.07.2020 введен режим ЧС в лесах Муниципальныйхарактера </t>
  </si>
  <si>
    <t>Распоряжением Главы с 18.07.2020г. №57/д (лесной пожар).</t>
  </si>
  <si>
    <t>Распоряжением Главы с 20.07.2020г. №41 (лесной пожар).</t>
  </si>
  <si>
    <t xml:space="preserve"> Распоряжением Главы с 21.07.2020г. №108 (лесной пожар).</t>
  </si>
  <si>
    <t>Распоряжением Главы с 21.07.2020г. №810 (лесной пожар).</t>
  </si>
  <si>
    <t>Распоряжением Главы с 22.07.2020г. №26-20 (лесной пожар).</t>
  </si>
  <si>
    <t>Распоряжением Главы с 23.07.2020г. №25 (лесной пожар).</t>
  </si>
  <si>
    <t>Распоряжением Главы с 27.07.2020г. №13-20 (лесной пожар).</t>
  </si>
  <si>
    <t>Постановлением Главы  с 06.08.2020г. №885 (лесной пожар)</t>
  </si>
  <si>
    <t>Техногенный, пожар</t>
  </si>
  <si>
    <t>Распоряжением И.о. главы с 20.08.2020 № 479 (возгорание емкости с газоконденсатом на складе ГСМ в с.Саскылах)</t>
  </si>
  <si>
    <t>Решением КЧС Таттинского района с 15.09.2020г. №27 (лесной пожар)</t>
  </si>
  <si>
    <t>Распоряжением Главы Туобуйинсого наслега с 23.09.2020г. №11 (лесной пожар)</t>
  </si>
  <si>
    <t>Распоряжением Главы Амгинского района с 26.09.2020г. №1023 (лесной пожар)</t>
  </si>
  <si>
    <t>Постановлением Главы Эжанского национального наслега с 27.09.2020г. №31 (лесной пожар)</t>
  </si>
  <si>
    <t xml:space="preserve">Распоряжением Главы МО «Кангаласский 1-й наслег» Среднеколымского района в связи с поисками пропавших людей и понижением температуры воздуха с 26.11.2020г. №95/Д. </t>
  </si>
  <si>
    <t xml:space="preserve">Распоряжением Главы МО «Мятисский 1-й наслег» Среднеколымского района в связи с поисками пропавших людей и понижением температуры воздуха с 27.11.2020г. №179. </t>
  </si>
  <si>
    <t>На территории МО «Мальжагарский 1-й наслег», А.И.Васильева с 02.05.2021г. №01-01/158-р Распоряжением Главы наслега введен режим ЧС (ремонт автодороги «Умнас» по переулку Клубный с. Булгунняхтах).Распоряжением главы наслега МО  «Хангаласский район» А.И.Васильева от 18.05.2019 г. №01-01/169-р, в связи с проведением ремонтно-востановительных работ дорожного полотна и обочин участка  на 114 км. РАД "Умнас", снят режим «Чрезвычайная ситуация» с 18.05.2021 г на территории МО  «Мальжагарский 1-й наслег».</t>
  </si>
  <si>
    <t>На территории МР «Хангаласский улус», О.В. Иринеев с 03.05.2021г. №747 Распоряжением Главы района введен режим ЧС (размыв автодороги «Умнас»).Распоряжением главы  МО  «Хангаласский район» О.В. Иринеев от 20.05.2019 г. №826-р, связи с проведением ремонтно-востановительных работ дорожного полотна и обочин участка  на 114 км. РАД "Умнас", снят режим «Чрезвычайная ситуация» с 20.05.2021 г на территории МО  МР «Хангаласский улус».</t>
  </si>
  <si>
    <t>биолого социального</t>
  </si>
  <si>
    <t>На территории МО "Поселок Джебарики-Хая" С.Ю.Крепушина с 11.05.21 г. №24 Распоряжением Врио Главы района введен режим ЧС (приход белого медведя на территорию поселка).Распоряжением Врио главы МО"Томпонский район" С.Ю.Крепушина от 11.05.2021 г. №25, снят режим «Чрезвычайная ситуация» с 11.05.21 г. на территории МО "Поселок Джебарики-Хая".</t>
  </si>
  <si>
    <t>На территории МО"Усть-Амгинский наслег" , Е.В.Васильева с 17.05.2021 г. №20 Распоряжением Главы администрации введен режим ЧС (повышение уровня воды на реке Амга, затоплением территории населенного пункта, размытием автодорог Чымнаи- уч.Уодай и Чымнайи - уч.Эhэлээх). Распоряжением Главы администрации МО "Таттинский район" Е.В.Васильева от 21.05.2021 г. №21,снят режим «Чрезвычайная ситуация» с 21.05.2021 г. на территории МО"Усть-Амгинский наслег".</t>
  </si>
  <si>
    <t>На территории МО «город Среднеколымск»», Н.З. Чукрова с 20.05.2021г. №80-р Распоряжением Главы района введен режим ЧС (затоплением территории населенного пункта).Распоряжением Главы района Н.З. Чукрова от 21.05.2021 г. №81-р,снят режим «Чрезвычайная ситуация» с 21.05.2021 г. на территории МО «город Среднеколымск».</t>
  </si>
  <si>
    <t>На территории МО «Арбынский наслег», Ю.И.Слепцова с 22.05.2021г. №819-р Распоряжением Главы района введен режим ЧС . На территории МО «Арбынский наслег», Б.Б.Бугаева  с 22.05.2021г. №50 Распоряжением Главы МО"Арбынский наслег" введен режим ЧС (повышение уровня воды до критической отметки 908 см).Распоряжением Главы района Ю.И.Слепцова от 25.05.2021 г. №829-р,снят режим «Чрезвычайная ситуация» с 25.05.2021 г. на территории МО «Арбынский наслег». Распоряжением Главы МО «Арбынский наслег» Ю.И.Слепцова от 25.05.2021 г. №53,снят режим «Чрезвычайная ситуация» с 25.05.2021 г. на территории МО «Арбынский наслег».</t>
  </si>
  <si>
    <t>Биолого- социальный</t>
  </si>
  <si>
    <t>На территории МР «Хангаласский улус», О.В. Иринеев с 31.05.2021г. №878-р Распоряжением Главы района введен режим ЧС (сибирский шелкопряд,которая может повлечь уничтожение лесных насаждений,нарушение жизнедеятельности населения района , в условиях режима повышенной готовности всвязи с ковид-19).</t>
  </si>
  <si>
    <t>Лесное хозяйство</t>
  </si>
  <si>
    <t>Лесные пожары</t>
  </si>
  <si>
    <t>На территории МО «Тюбяйский наслег», В.М.Евсеева с 01.06.2021г. №22 Распоряжением И.О. Главы МО введен режим ЧС (в связи с угрозой лесного пожара).Распоряжением И.О. Главы МО В.М.Евсеева от 03.06.2021 г. №23, в связи с прекрашением угрозы лесного пожара, снят режим «Чрезвычайная ситуация» с 03.06.2021 г на территории МО  «Тюбяйский наслег».</t>
  </si>
  <si>
    <t>На территории СП «Шеинскогокого наслега», А.О.Обоюкова с 01.06.2021г. №02/14-57 Распоряжением Главы СП введен режим ЧС (в связи с угрозой лесного пожара).Распоряжением Главы СП А.О.Обоюкова от 04.06.2021 г. №02/14-58, в связи с отстутсвием угрозы населенному пунктулесного пожара, снят режим «Чрезвычайная ситуация» с 03.06.2021 г на территории СП «Шеинскогокого наслега».</t>
  </si>
  <si>
    <t>На территориях МО «Тюмюкский наслег» и МО"Кюндядинский наслег", А.М.Иннокентьева с 03.06.2021г. №1006 Распоряжением  Главы МО введен режим ЧС (в связи с угрозой лесного пожара).</t>
  </si>
  <si>
    <t>На территориях МО «Оспехский наслег», Л.М.Свешникова с 03.06.2021г. №58-р Распоряжением  Главы МО введен режим ЧС (в связи с пропажей двух охотниковна мотрной лодке река Алдан).Распоряжением Главы МО Л.М.Свешникова  от 07.06.2021 г. №60-р, в связи с благоприятным исходом поисково-спасательных работ, снят режим «Чрезвычайная ситуация» с 07.06.2021 г на территории МО  «Оспехский наслег».</t>
  </si>
  <si>
    <t>На территории СП «Кутанинский наслег», Н.В.Давыдова с 04.06.2021г. №46 Распоряжением Главы аднистрации введен режим ЧС (в связи сугрозой лесного пожара №7 населенному пункту уч.Тумул).Распоряжением Главы администрации Н.В.Давыдова от 05.06.2021 г. №47, в связи с отстутсвием угрозы населенному пункту лесного пожара , снят режим «Чрезвычайная ситуация» с 05.06.2021 г на территории СП «Кутанинский наслег».</t>
  </si>
  <si>
    <t>На территории МР «Нюрбинского района» , А.М.Иннокентьева с 04.06.2021г. №1021 Распоряжением  Главы введен режим ЧС (в связи с угрозой лесного пожара).</t>
  </si>
  <si>
    <t>На территории СП «Вилючайский наслег», С.К.Барамыгина с 05.06.2021г. №93 Распоряжением Главы наслега введен режим ЧС (в связи с пожаром на территории Вилючайского наслега на 18 км. (ур.Ата5а Суох от уч. Мэик ).Распоряжением Главы наслега С.К.Барамыгина от 09.06.2021 г. №94, в связи с устранением лесного пожара  на ур.Ата5а Суох, снят режим «Чрезвычайная ситуация» с 09.06.2021 г на территории СП «Вилючайский наслег».</t>
  </si>
  <si>
    <t>На территории с.Ситта МО "Ситинский наслег" и с. Кобяй МО "Кобяйский наслег" А.С.Сивцева с 05.06.2021г. №749-р Распоряжением первого заместителя Главы администрации введен режим ЧС (в связи с ростом количества лесных пожаров).Распоряжением Главы И.И.Левина от 15.06.2021 г. №792-р, в связи со стабилизацией лесопожарной обстановки, снят режим «Чрезвычайная ситуация» с 15.06.2021 г на территории с.Ситта МО "Ситинский наслег" и с. Кобяй МО "Кобяйский наслег" .</t>
  </si>
  <si>
    <t>На территории с.Ситта МО"Ситтинский наслег", А.С.Захарова с 05.06.2021г. №83 Распоряжением Главы наслега введен режим ЧС (в связи с ростом количества лесных пожаров).Распоряжением Первого заместителя Главы  А.С.Сивцева от 28.06.2021 г. №871-р,на основании решения КЧС от 27.06.2021 №35, снят режим «Чрезвычайная ситуация» с 28.06.2021 г на территории с.Ситта МО "Ситинский наслег".</t>
  </si>
  <si>
    <t>На территории СП «Кюкяйского наслега», Ю.С.Прокопьева с 05.06.2021г. №42 Распоряжением Главы администрации введен режим ЧС (в связи с переходом лесным пожаром №7).</t>
  </si>
  <si>
    <t>На территории МР "Верхневилюйского района", С.Михалева с 05.06.2021г. №563-р Распоряжением Первого заместителя главы администрации МР введен режим ЧС (в связи с увеличением лесных пожаров и установлением сухой,ветряной погоды).Распоряжением первого заместиля главы администрации С.Михалева от 10.06.2021 г. №571-р, в связи со стабилизацией лесопожарной обстановки,снижением класса пожарной опасности, снят режим «Чрезвычайная ситуация» с 10.06.2021 г на территории  МР "Верхневилюйского района", о признании утратившим силу распоряжение администрации с 11.06.2021 №57.</t>
  </si>
  <si>
    <t>На территории МР "Томпонский район", Я.И.Степанова с 06.06.2021г. №607 Постановлением Главы  МР введен режим ЧС (в связи с действующим пожаром15-АЗК).</t>
  </si>
  <si>
    <t xml:space="preserve">Распоряжением Главы О.В. Иринеева от 09.06.2021 г. №919-р, введен режим чрезвычайной ситуации в лесах муниципального характера, возникшей вследствие лесных пожаров на территории Хангаласского улуса. </t>
  </si>
  <si>
    <t>На территории МР"Сунтарский район", А.В.Григорьева с 18.06.2021г. №Б-365 Распоряжением Главы  введен режим ЧС (в связи с действием трех не локализованных лесных пожаров ).</t>
  </si>
  <si>
    <t>На территории "Индигирского национального наслега" , Б.И.Заровняева с 20.06.2021г. №32 Распоряжением Главы МО ИНН  введен режим ЧС (в связи со сложной оперативной обстановкой с лесным пожаром на расстоянии от 3 км. ).Распоряжением Главы МО "Инн"  Б.И.Заровняева от 28.06.2021 г. №36, в связи с ликвидацией лесного пожара К-1073 возникший 20.06.2021, снят режим «Чрезвычайная ситуация» с 28.06.2021 г на территории  "Индигирского национального наслега".</t>
  </si>
  <si>
    <t>На территории МО"Оймяконский район", И.С.Сивцева с 21.06.2021г. №86 Распоряжением Главы  МО введен режим ЧС (в связи с природным пожаром).</t>
  </si>
  <si>
    <t>На территории Республики Саха (Якутия), А.Николаева с 23.06.2021г. №1912 Указом Главы  РС(Я) введен режим ЧС (в связи с лесным пожаром).</t>
  </si>
  <si>
    <t>На территории МР «Хангаласский улус», О.В. Иринеева с 24.06.2021г. №991-р Распоряжением Главы района введен режим ЧС (в связи с V классом пожарной опасности).</t>
  </si>
  <si>
    <t>На территории МО"Поселок Усть-Нера", А.Е..Роданича с 24.06.2021г. №238 Распоряжением Главы введен режим ЧС (в связи с лесными пожарами).</t>
  </si>
  <si>
    <t>Решением КЧС и ОПБ и.о. Главы Вилюйского района от 24.06.2021 г. № 14-29 введен режим «Чрезвычайная ситуация» на территории Вилюйского района.</t>
  </si>
  <si>
    <t>На территории МР"Усть-Майский район", М.А.Дьячковского с 25.06.2021г. №243-р Распоряжением И.о. Главы района введен режим ЧС (в связи с лесными пожарами).</t>
  </si>
  <si>
    <t>На территории МР "Горный район", Н.В.Андреева с 26.06.2021г. №812/01-02-р Распоряжением Главы района введен режим ЧС (в связи с увеличением количества и площади лесных пожаров).</t>
  </si>
  <si>
    <t>На территории МО "Мирнинский район",с 28.06.2021г. №100-р Распоряжением Главы района введен режим ЧС (в связи с увеличением количества и площади лесных пожаров).</t>
  </si>
  <si>
    <t>На территории МО"Кобяйский район", А.С.Сивцева с 28.06.2021г. №870-р Распоряжением Первого заместителя Главы района введен режим ЧС (в связи с установлением IV высокого класса пожарной опасности в лесах и ростом количества лесных пожаров).</t>
  </si>
  <si>
    <t>На территории МО "Поселок Сангар" Кобяйского района, Н.П. Попов с 27.07.2021 г. №294-р Распоряжением  Главы введен режим ЧС.</t>
  </si>
  <si>
    <t>На территории МО "Индигирский национальный наслег", Б.И. Заровняева 28.07.2021г. №47, Распоряжением Главы  наслега введен режим  ЧС (в связи с резким повышением уровня воды на р. Индигирка)</t>
  </si>
  <si>
    <t>атмосферная засуха</t>
  </si>
  <si>
    <t>На территории Республики Саха (Якутия), А.Николаева с 29.07.2021г. №1996 Указом Главы  РС(Я) введен режим ЧС, возникшей вследствие неблагоприятных условий для произрастания естественных трав и атмосферной засухи, в Мегино-Кангаласском, Нюрбинском, Сунтарском, Намском, Усть-Алданском, Хангаласском, Томпонском, Олекминском, Оймяконском, Чурапчинском районах и городском округе «город Якутск» Республики Саха (Якутия).</t>
  </si>
  <si>
    <t>вызов вертолета для туристки</t>
  </si>
  <si>
    <t>на территории МО "Момский район",  В.В. Корякина с 02.08.2021 г. №200 Распоряжением заместителем главы введен режим ЧС ( в целях вызова вертолета доставки пострадавшей)</t>
  </si>
  <si>
    <t>Распоряжением №1521-р И.О. Главы ГО "г.Якутск" А.Д. Корниловым введен режим ЧС в связи с возникшей вследствие неблагоприятных условий для произрастания естественных трав и атмосферной засухи</t>
  </si>
  <si>
    <t>На территории МР "Усть-Алданский район", с 03.08.2021 г.  №432 Распоряжением Главы введен режим ЧС</t>
  </si>
  <si>
    <t>На территории Республики Саха (Якутия), А.Николаева с 08.08.2021г. №2013 Указом Главы  РС(Я) введен режим ЧС (в связи с переходом лесных пожаров на территории населенных пунктов, объектов экономики).</t>
  </si>
  <si>
    <t>Распоряжением Первого заместителя Главы МО "Чурапчинский район" А.А. Ноговицыным введен режим ЧС в лесах муниципального характера, возникшей вследствие лесных пожаров.</t>
  </si>
  <si>
    <t>Решением КЧС ОПБ Намского района от 09.08.2021 г. №25 введен режим «Чрезвычайной ситуации» на территории Намского района</t>
  </si>
  <si>
    <t>На территории Республики Саха (Якутия), с 13.08.2021г. №3 Указом Главы  РС(Я) введен режим ЧС (в связи с лесным пожаром).</t>
  </si>
  <si>
    <t>Межрегиональный</t>
  </si>
  <si>
    <t>На территории МО "Томпонского района" от 30.08.2021 г. № 897  введен режим ЧС на территории Томпонского района</t>
  </si>
  <si>
    <t>Решением КЧС № 1844 с 09.05.2021 г. №14-53 введен режим «Чрезвычайной ситуации» на территории МО "Югюлятский наслег" (возникший вследствии лесного пожара)</t>
  </si>
  <si>
    <t>На территории "Булунского района" , Распоряжением  Главы И.В. Кудряшова с 15.09.2021 г. №351-р  введен режим ЧС , пропажа Горохова Победа Николаевича</t>
  </si>
  <si>
    <t>Поисковые работы, эвакуация людей</t>
  </si>
  <si>
    <t>На территории МО "Черюмчинский наслег" Верхоянского района, Распоряжением Первого заместителя Главы Г.Г. Ефимовым со 02.10.2021 г. №651-РА  введен режим ЧС , в связи с необходимостью эвакуации 4 граждан с реки Ольджо попавших в затруднительное положение</t>
  </si>
  <si>
    <t>Распоряжением Главы «Тюметинского национального (Эвенкийского) наслега» Булунского района от 09 ноября 2021 г. №54 на территории «Тюметинского национального (Эвенкийского) наслега» Булунского района введен режим «Чрезвычайная ситуация» муниципального характера (поисковые работы, в связи с пропажей ребенка 2006 г.р.).</t>
  </si>
  <si>
    <t>Распоряжением и.о. Главы МР "Кобяйский район" №1539-Р от 17.12.2021 введен режим ЧС для Кобяйского звена РТП РСЧС, в связи с проведением поисково-спасательных работ гр. Гнездилова Анатолия Павловича 1954 гр.</t>
  </si>
  <si>
    <t>Отсутствие автодороги (автозимник)</t>
  </si>
  <si>
    <t>Распоряжением 1-го заместителя главы МР "Кобяйский район" А.С.Сивцева от 24.12.2021 №1594-р введен режим ЧС для органов управления и сил Кобяйского звена ЯТП РСЧС, в связи с затором автомашин на автозимнике Себян-Кюель в 30-50 км от с . Себян Кюель</t>
  </si>
  <si>
    <r>
      <t>Распоряжением Главы ГО «город Якутск» № 2738р с 21</t>
    </r>
    <r>
      <rPr>
        <vertAlign val="superscript"/>
        <sz val="10"/>
        <color theme="1"/>
        <rFont val="Calibri"/>
        <family val="2"/>
        <charset val="204"/>
      </rPr>
      <t>00</t>
    </r>
    <r>
      <rPr>
        <sz val="10"/>
        <rFont val="Calibri"/>
        <family val="2"/>
        <charset val="204"/>
      </rPr>
      <t xml:space="preserve"> 29.12.2021г., в связи с участившимися нападениями безнадзорных животных на население, введен режим «Чрезвычайная ситуация» в пределах границ территории Автодорожного округа.</t>
    </r>
  </si>
  <si>
    <t>Распоряжением 1 зам.Главы МР «Вилюйский улус (район)" от 07.05.2022г. №433 введен режим ЧС на территории Вилюйского улуса, в целях спасения людей, жизни и здоровью которых имеется угроза.</t>
  </si>
  <si>
    <t>Распораяжением и.о. Главы МР "Горный улус" от 14.05.2022г. №1157/01-02 введен режим ЧС на территории с.Ерт Шологонского района, в связи с затоплением жилых домов и социально-значимых объектов.</t>
  </si>
  <si>
    <t xml:space="preserve">       Постановлением Главы с.Чагда Нижилинский наслег МР "Кобяйский улус (район)" от 18.05.2022г. №7-ПГ введен режим ЧС на территории с.Чагда Нижилинского наслега, в связи с затоплением жилых домов по улице Центральная с.Чагда Нижилинского наслега.</t>
  </si>
  <si>
    <t>Распоряжением и.о. Главы с.Хоринцы Хоринский наслег МР "Олекминский район" от 19.05.2022г. №30-3 введен режим ЧС на территории с.Хоринцы Хоринский наслег, в связи с затоплением жилых домов.</t>
  </si>
  <si>
    <t>Распоряжением Главы ГО "Город Якутск" от 23.05.2022г. №1023р  введен режим ЧС на территории ГО "Город Якутск", в связи с затоплением жилых домов в мкр. Даркылах, Тулагино-Кильдямском наслеге и мкр.Кангалассы.</t>
  </si>
  <si>
    <t>Распоряжением Главы МО "Намский район" от 23.05.2022г. №925-р введен режим ЧС на территории Намского района, в связи с затоплением жилых домов, СЗО и внутрипоселковых автомобильных дорог н.п. Ымыяхтах, Хатас, Партизан, Крест-Кытыл, Намцы, Графский БеРегиональный и Бютяй-Юрдя.</t>
  </si>
  <si>
    <t>Распоряжением Главы Суоттунский наслег МР "Усть-Алданского улуса (район)" от 23.05.2022г. №75 введен режим ЧС на территории Суоттунского наслега, в связи с размывом внутрипоселковых автомобильных дорог н.п. Огородтах и Хоногор.</t>
  </si>
  <si>
    <t>Постановлением Главы МО "Нерюнгринский район" от 11.06.2022г. №1109 введен режим ЧС на территории Нерюнгринского района, в связи с лесными пожарами.</t>
  </si>
  <si>
    <t>Распоряжением Главы МО "Сень-Кюельский наслег" Среднеколымского района от 16.06.2022г. №90 введен режим ЧС на территории  МО "Сень-Кюельский наслег" Среднеколымского района, в связи с лесными пожарами.</t>
  </si>
  <si>
    <t>Постановлением Главы Мирнинского района от 18.06.2022г. №894 введен режим ЧС на территории Мирнинского района, с 19.06.2022г. в связи с лесными пожарами.</t>
  </si>
  <si>
    <t>Распоряжением Главы СП "Чаринский национальный наслег" Олекминского района от 19.06.2022г. №32 введен режим ЧС на территории СП "Чаринский национальный наслег" Олекминского района, в связи с лесными пожарами.</t>
  </si>
  <si>
    <t>Распоряжением Главы МР "Олекминский район" от 20.06.2022г. №650 введен режим ЧС на территории Олекминского района, в связи с лесными пожарами.</t>
  </si>
  <si>
    <t>Распоряжением И.о. Главы МР «Кобяйский район" от 22.06.2022г. №878-р введен режим ЧС на территории Кобяйского района, в связи с проведением поисково-спасательных мероприятий пропавшего ВС АН-2 с 3 людьми.</t>
  </si>
  <si>
    <t>Постановлением Главы МР "Томпонского района" от 27.06.2022г. №693 введен режим ЧС на территории Томпонского района, в связи с лесными пожарами.</t>
  </si>
  <si>
    <t>Распоряжением Главы МР "Усть-Майский район" от 27.06.2022г. №248-р введен режим ЧС на территории Усть-Майского района, в связи с лесными пожарами.</t>
  </si>
  <si>
    <t>Указом Главы Республики Саха (Якутия) от 28.06.2022г. №2527 введен режим ЧС на территории Республики Саха (Якутия), в связи с лесными пожарами.</t>
  </si>
  <si>
    <t>Решением заместителя председателя КЧС и ПБ МР «Алданский район» от 30.06.2022 г. № 44 введен режим ЧС на территории МР «Алданский район», в связи с жесткой посадкой ВС Ми8МТВ АК «Полярные авиалинии», следовавшего по маршруту г. Алдан – п. Усть-Мая – г. Алдан.</t>
  </si>
  <si>
    <t>Постановлением Главы МО «Нерюнгринский район» от 03.07.2022 г. № 1214 введен режим ЧС в лесах на территории Нерюнгринского района, в связи с природными пожарами.</t>
  </si>
  <si>
    <t>Летний паводок</t>
  </si>
  <si>
    <t>Распоряжением Главы сельского поселения «Ламынхинский эвенский национальный наслег» МР Кобяйский район, в связи с последствиями дождевых паводков.</t>
  </si>
  <si>
    <t>Распоряжение заместителем главы МО "Верхоянский район" от 09.07.2022 г. № 696-РА,  в связи с последствиями дождевых паводков.</t>
  </si>
  <si>
    <t>Распоряжение Главы МО "г. Верхоянск Верхоянскогог района" от 12.07.2022 г. № 26, в связи с последствиями дождевых паводков.</t>
  </si>
  <si>
    <t>Указом Главы РС (Я) №2547 от 13.07.2022г., в связи с последствиями дождевых паводков.</t>
  </si>
  <si>
    <t>Согласно протокола заочного заседания Правительственной комиссии по предупреждению и ликвидации чрезвычайных ситуаций и обеспечению пожарной безопасности №4 от 18-19 июля 2022 г. на территориях Республики Саха (Якутия) и Хабаровского края установлен режим функционирования чрезвычайной ситуации для органов управления и сил функциональной подсистемы охраны лесов от пожаров и защиты их от вредителей и болезней леса единой государственной системы предупреждения и ликвидации чрезвычайной ситуаций.</t>
  </si>
  <si>
    <t>Республика Саха (Якутия) и Хабаровский край</t>
  </si>
  <si>
    <t>Постановлением Главы МО «Нерюнгринский район» от 24.07.2022 г. № 1364 введен режим ЧС в лесах на территории Нерюнгринского района, в связи с природными пожарами.</t>
  </si>
  <si>
    <t>Распоряжением Главы МР "Таттинский район" от 25.07.2022г. №898-р введен режим ЧС на территории Таттинского района, в связи с лесными пожарами.</t>
  </si>
  <si>
    <t>заготовка сена</t>
  </si>
  <si>
    <t>Распоряжение Главы МО "Кобяйский район" от 26.07.2022 г. № 1056-Р,  по заготовке сена</t>
  </si>
  <si>
    <t>Распоряжением Главы МР "Нюрбинский район" от 26.07.2022г. №1450 введен режим ЧС на территории Нюрбинского района, в связи с лесными пожарами.</t>
  </si>
  <si>
    <t>Решением Председателя КЧС и ПБ МР "Алданский район" от 24.07.2022г. №51 введен режим ЧС на территории Алданского района, в связи с лесными пожарами.</t>
  </si>
  <si>
    <t>Постановлением Главы Мирнинского района от 28.07.2022г. №1082 введен режим ЧС на территории Мирнинского района, с 28.07.2022г. в связи с лесными пожарами.</t>
  </si>
  <si>
    <t>Распоряжением Главы СП "Нахаринский наслег" Сунтарского района от 28.07.2022г. №35 введен режим ЧС на территории СП "Нахаринский наслег" Сунтарского района, в связи с лесными пожарами.</t>
  </si>
  <si>
    <t>Распоряжением Главы Среднеколымского района от 02.08.2022 г. № 520-а введен режим ЧС в лесах, возникших вследствие лесных пожаров.</t>
  </si>
  <si>
    <t>Техногенные</t>
  </si>
  <si>
    <t>Распоряжением Главы Булунского района от 15.08.2022 г. № 9 введен режим ЧС в связи с угрозой обрушения плотины, вызванной усиленной фильтрацией (утечки) водных запасов из водохранилища на озере "Мелкое".</t>
  </si>
  <si>
    <t>Распоряжением Главы МО "Мятисский 1-й наслег" от 20.08.2022 г. № 128 введен режим ЧС в лесах, возникших вследствие лесных пожаров.</t>
  </si>
  <si>
    <t>Распоряжением И.о. главы Усть-Майского улуса (района) от 26.08.2022 г. №317-р введен режим ЧС для органов управления сил Усть-Майского звена Якутской территориальной подсистемы Единой государственной системы предупреждения и ликвидации ЧС в результате дождевого паводка</t>
  </si>
  <si>
    <t>Распоряжением Главы Усть-Янского улуса (района) от 07.09.2022г. №344-РГ введен режим ЧС для органов управления сил Усть-Янского звена Якутской территориальной подсистемы Единой государственной системы предупреждения и ликвидации ЧС на период проведения поисково-спасательных мероприятий.</t>
  </si>
  <si>
    <t>Распоряжением Главы Булунского улуса (района) от 02.10.2022г. №411-р введен режим ЧС для органов управления сил Булунского звена Якутской территориальной подсистемы Единой государственной системы предупреждения и ликвидации ЧС на период проведения поисково-спасательных мероприятий.</t>
  </si>
  <si>
    <t>Распоряжением Главы Булунского улуса (района) от 13.10.2022г. №427 введен режим ЧС для органов управления сил Булунского звена Якутской территориальной подсистемы Единой государственной системы предупреждения и ликвидации ЧС на период проведения поисково-спасательных мероприятий.</t>
  </si>
  <si>
    <t>Распоряжением Главы Булунского улуса (района) от 17.10.2022г. №431 введен режим ЧС для органов управления сил Булунского звена Якутской территориальной подсистемы Единой государственной системы предупреждения и ликвидации ЧС на период проведения поисково-спасательных мероприятий.</t>
  </si>
  <si>
    <t>Распряжением окружного адмистративного города Якутска от 03.11.2022г. №2356р  введен режим функционирования «Чрезвычайная ситуация» органам управления и силам Якутского городского звена Якутской территориальной подсистемы Единой государственной системы предупреждения и ликвидации чрезвычайных ситуаций в связи с температурой воздуха в помещениях МКУ «Централизованная бухгалтерия муниципальных общеобразовательных учреждений» ГО «город Якутск», расположенных по адресу: г. Якутск ул. Дзержинского, 52/3.</t>
  </si>
  <si>
    <t>Постановлением Главы МО «Поселок Светлый» Мирнинского района №5 от 18.01.2023 г.введен режим «Чрезвычайная ситуация», в связи с аварией на объекте водоснабжения приведшей к нарушению условий жизнедеятельности 50 человек и более на 1 сутки и более.</t>
  </si>
  <si>
    <t xml:space="preserve">Решением Комиссии по предупреждению и ликвидации чрезвычайных ситуаций и обеспечению пожарной безопасности на территории Булунского района РС(Я) №2 от 23.01.2023 г. введен режим "Чрезвычайная ситуация", в связи с угрозой вызванной фильтрацией (утечки) водных запасов из водохранилища на озере Мелкое.  </t>
  </si>
  <si>
    <t>Постановлением Главы СП «Кюндядинский наслег» Нюрбинского района №8 от 30.01.2023 г.введен режим «Чрезвычайная ситуация», в связи травлями лошадей волками на территории СП "Кюндядинский наслег".</t>
  </si>
  <si>
    <t>Весенее половодья</t>
  </si>
  <si>
    <t>С 07.05.2023 г. № 422/01-02 Распоряжением главы МР Горный улус введен режим «Чрезвычайная ситуация» на территории МР «Горный улус», в связи затоплением домов в населенных пунктах с Ерт, с. Бясь-Кюель, с. Магарас, размывами дороги «Орто-Сурт - Кептин», «Бэрдьигестях - Дикимдя», и нанесением материального ущерба и нарушением условий жизнедеятельности пострадавшего населения.</t>
  </si>
  <si>
    <t>Распоряжением главы Нижилинского наслега Кобяйского района с 10.05.2023 г. №11-ПГ введен режим "Чрезвычайная ситуация", в связи с подтоплением жилых домов в селе "Чагда" Кобяйского улуса (района) Республики Саха (Якутия).</t>
  </si>
  <si>
    <t>Расспоряжением И.О. Главы МР "Кобяйский район" введен режим "Чрезвычайная ситуация, связанной с подъемом уровней воды в СП Нижилинский наслег" с. Чагда, МО "Ситтинский наслег" с. Ситта, а также размытием участков автодорог Региональныйионального значения "Кобяй" на участке с.Кюереллях - с. Кобяй, "Лючинская" на участке с. Хампа-с.Мастах, "Сангар" на участке Баргы-С.Ситтэ.</t>
  </si>
  <si>
    <t>Распоряжением главы Ситтинского наслега Кобяйского района с 11.05.2023 г. №123 введен режим "Чрезвычайная ситуация", в связи с подтоплением улиц Набережная, Новая, Лесная, мостового сооружения через речку Синньигэс Атах, частично Кирова и Портовская, а также жилых дворовых территорий, хозяйственных построек по улицам Набережная, Кирова, Лесная, Новая, Озерная села Ситте Кобяйского улуса.</t>
  </si>
  <si>
    <t>Распоряжением Главы МР «Усть-Алданский улус (район)» «396 от 16.05.2023 г. введен режим «Чрезвычайная ситуация» на территории МР «Усть-Алданский (улус) район», в связи с повышением уровня воды на малых реках c 10 по 16 мая 2023 года, в результате размытия (повреждения) автомобильных дорог муниципального значения «Борогонцы –Танда – Тит-Ары – Бярийе – Кылайы», «Борогонцы – Курбусах», «Борогонцы – Эселях», а также произошедшего размыва земляного полотна автомобильной дороги республиканского значения «Мюрю» на участке 124км-150км.</t>
  </si>
  <si>
    <t>Распоряжением Главы МР «Таттинский улус» (район) с 18.05.2023 г. №922-р введен режим «Чрезвычайная ситуация» на территории МР «Таттинский улус» (район), в связи с угрозой подтопления н.п. Черкех, Боробул, Ытык-Кюель, из-за разрушения тела дамбы водохранилища с.Кыйы и дамбы ремонтируемого шлюза Региональныйулятора ГТС «Сиккэс», и в связи с разрывами дорожного полотна талыми водами муниципальных автодорог «Харбалах - Чымнай», «Черкех - Дая-Амга», «Ытык-Кюель - Томтор»</t>
  </si>
  <si>
    <t>Распоряжением Главы МР «Амгинский улус» введен режим «Чрезвычайная ситуация» №678 от 20.05.2023 г., в связи с превышением критического уровня воды на р. Амга и с подтоплением дворовых территорий в населенных пунктах Амга и Чапчылган.</t>
  </si>
  <si>
    <t>Распоряжением Главы МР «Намский улус» введен режим «Чрезвычайная ситуация» №1169-р от 21.05.2023 г., в связи с влиянием при прохождении весеннего половодья на безопасность жизнедеятельности населения с. Сыгыннах Арбынского наслега, нарушением условий жизнедеятельности населения и требованием принятия дополнительных мер по защите населения и территорий от чрезвычайной ситуации природного характера.</t>
  </si>
  <si>
    <t>Весенее половодье</t>
  </si>
  <si>
    <t>Распоряжением Главы МР «Чурапчинский улус (район)» №869 от 23.05.2023 г. введен режим «Чрезвычайная ситуация», в связи с ограничением паводковой водой дорожного движения на участках муниципапьной дороги с. Чурапча-с. Кытанах-с. Арылах.</t>
  </si>
  <si>
    <t>Распоряжением Главы МО «Саскылахский национальный (эвенкийский наслег) Анабарского района» введен режим «Чрезвычайная ситуация» № 734 от 31.05.2023 г., в связи с влиянием при прохождении весеннего половодья на безопасность жизнедеятельности населения с. Саскылах Анабарского района, нарушением условий жизнедеятельности населения и требованиям принятия дополнительных мер по защите населения и территорий от ЧС</t>
  </si>
  <si>
    <t>Распоряжением Главы СП «Усть-Янского национального наслега» введен режим «Чрезвычайная ситуация» № 30-ОД от 04.06.2023 г., связи с повышением уровни воды р. Яна выше критической отметки и подтоплением жилых домов с. Усть-Янск</t>
  </si>
  <si>
    <t>Распоряжением Главы введен режим "Чрезвычайная ситуация" №217 от 06.06.2023г. В связи резкого поднятия уровня воды в Оленекском протоке, в зоне подтопления оказалось 14 человек.</t>
  </si>
  <si>
    <t>Распоряжением Главы МР «Олекминский район» введен режим «Чрезвычайная ситуация» №521 от 15.06.2023 г., в связи с ухудшением обстановки по крупному лесному пожару №1 АСС на территории Олекминского района.</t>
  </si>
  <si>
    <t>Распоряжением И.О. Главы МР "Усть-Майский район" введен режим "Чрезвычайная ситуация" № 376 от 29.06.2023 г., в связи с леснымы пожарами возникшими на территории Усть-Майского района.</t>
  </si>
  <si>
    <t>Распоряжением Главы МР "Олекминский район" введен режим "Чрезвычайная ситуация" № 575/1 от 02.07.2023 г., в связи с увеличением лесных пожаров №3 АСС и №4 АСС на территории Олекминского района.</t>
  </si>
  <si>
    <t>Указом Главы Республики Саха (Якутия) от 03.07.2023г. №2923 введен режим ЧС на территории Республики Саха (Якутия), в связи с лесными пожарами.</t>
  </si>
  <si>
    <t xml:space="preserve">Распоряжением Главы "Вилюйский район" введен режим "Чрезвычайная ситуация" № 704 от 03.07.2023 г., в связи с увеличением площади лесных пожаров на территории Вилюйского района. </t>
  </si>
  <si>
    <t>Решением Комиссии по предупреждению и ликвидации чрезвычайных ситуаций и обеспечению пожарной безопасности муниципального района "Алданский район" введен режим "Чрезвычайная ситуация" № 37 от 04.07.2023 г. в связи с лесными пожарами.</t>
  </si>
  <si>
    <t>Распоряжением Главы МР "Оймяконский район" введен режим "Чрезвычайная ситуация" № 285 от 04.07.2023 г., в связи с лесными пожарами.</t>
  </si>
  <si>
    <t>Распоряжением Главы МР "Нерюнгринский район" введен режим "Чрезвычайная ситуация" № 1382 от 05.07.2023 г., в связи с лесными пожарами.</t>
  </si>
  <si>
    <t>Согласно протокола заседания Правительственной комиссии по предупреждению и ликвидации чрезвычайных ситуаций и обеспечению пожарной безопасности №4 от 10 июля 2023 г. на территориях Республики Саха (Якутия) и Хабаровского края установлен режим функционирования чрезвычайной ситуации для органов управления и сил функциональной подсистемы охраны лесов от пожаров и защиты их от вредителей и болезней леса единой государственной системы предупреждения и ликвидации чрезвычайной ситуаций</t>
  </si>
  <si>
    <t>МежРегиональный</t>
  </si>
  <si>
    <t>Распоряжением Главы МР "Амгинский район" введен режим "Чрезвычайная ситуация" № 1044 от 12.07.2023 г., в связи с установлением V класса пожароопасности в лесах и увеличением количества и площади лесных пожаров.</t>
  </si>
  <si>
    <t>Паводок</t>
  </si>
  <si>
    <t>Распоряжением И.О. Главы МР "Оймяконский район" введен режим "Чрезвычайная ситуация" № 294 от 12.07.2023 г., в связи с поднятием уровня воды выше нормы на р. Индигирка и реках Оймяконского района вследствие обильных осадков и продолжительных ливневых дождей.</t>
  </si>
  <si>
    <t xml:space="preserve">Распоряжением Главы МР "Верхнеколымский район" введен режим "Чрезвычайная ситуация" №23-14 от 12.07.2023 г., в связи с лесными пожарами. </t>
  </si>
  <si>
    <t>Распоряжением Главы МР "Среднеколымский район" введен режим "Чрезвычайная ситуация" № 586-р от 13.07.2023 г., в связи с лесными пожарами.</t>
  </si>
  <si>
    <t>Распоряжением Главы МР "Олекминский район" введен режим "Чрезвычайная ситуация" № 70 от 27.07.2023 г., в связи с установлением сухой жаркой погоды, ухудшением обстановки и увеличением количества лесных пожаров на территории Олекминского района, комиссия решила</t>
  </si>
  <si>
    <t>Решением Главы МР «Алданского района» №41 от 09.08.2023г. введен режим чрезвычайной ситуации в лесах на территории МР «Алданского района», в связи сложными метеорологическими условиями, а также в связи с тем, сложившейся обстановкой по лесному пожару.</t>
  </si>
  <si>
    <t>Распоряжением первого заместителя главы МР "Оленекский эвенкийский национальный район " введен режим "Чрезвычайная ситуация" № 938/1-р от 20.07.2023 г., в связи массовым падежом домашних оленей МУП "Оленекский".</t>
  </si>
  <si>
    <t>Распрожением И.о главы МР №490 от 07.11.2023 г. введен режим "Чрезвычайная ситуация" локального характера, в связи с пропажей людей в МО "Оймякон Полюс Холода"</t>
  </si>
  <si>
    <t>Распрожением Главы МР №482 от 12.12.2023 г. введен режим "Чрезвычайная ситуация" муниципального характера, в связи с пропажей людей в МО "Булунский район"</t>
  </si>
  <si>
    <t>Распоряжением Главы МР № 70 от 22.12.2023 г. введен режим "Чрезвычайная ситуация" муниципального характера, в связи с аварийной ситуацией на котельной п. Солнечный, возникновением угрозы преукращения работы систем отопления и размораживания поселка с 08.00 ч. 22.12.2023г. до 00.00 ч. 25.12.2023г.
Распоряжением Главы МР № 71 от 25.12.2023 г. продлен режим "Чрезвычайная ситуация" муниципального характера, в связи с аварийной ситуацией на котельной п. Солнечный, возникновением угрозы преукращения работы систем отопления и размораживания поселка с 00.00ч 25.12.2023г. до 00.00ч 28.12.2023г.</t>
  </si>
  <si>
    <t>Распоряжением Главы МР «Булунский улус» № 20-р от 24.01.2024 г. введен режим «Чрезвычайная ситуация» муниципального характера, в связи с пропажей человека</t>
  </si>
  <si>
    <t>Решением комиссии по предупреждению и ликвидации ЧС и обеспечению пожарной безопасности МР "Алданский район" РС(Я) № 2 от 24.01.2024г. введен режим "Чрезвычайная ситуация", в связи со взрывом бытового газа в многоквартирном доме в г. Томмот</t>
  </si>
  <si>
    <t>Распоряжением И.о. Главы МР «Булунский улус» № 35-р от 10.02.2024 г. введен режим «Чрезвычайная ситуация» муниципального характера, в связи с пропажей людей в Булунском районе.</t>
  </si>
  <si>
    <t>весеннее половодье</t>
  </si>
  <si>
    <t>Распоряжением И.о. Главы МР "Олекминский район" № 12-24 от 12.05.2024г. введен режим "Чрезвычайная ситуация" муниципального характера, в связи с повышением уровней воды на реке Лена и подтоплением населенных пунктов Дельгей, Иннях, 1-й Нерюктяйинск, Хоринцы, 2-й Нерюктяйинск</t>
  </si>
  <si>
    <t>Распоряжением Главы МО "Дьелгейский наслег" Олекминского района № 23 от 12.05.2024 г. введен режим "Чрезвычайная ситуация", в связи с подтоплением с. Дьелгей и с. Иннях Олекминского района.</t>
  </si>
  <si>
    <t>Распоряжением Главы СП "Нерюктяйинск 1-й наслег" Олекминского района № 48 от 12.05.2024 г. введен режим "Чрезвычайная ситуация", в связи с подтоплением с. Нерюктяйинск 1-й Олекминского района.</t>
  </si>
  <si>
    <t>Распоряжением Главы СП "Хоринский наслег" Олекминского района № 22 от 12.05.2024 г. введен режим "Чрезвычайная ситуация", в связи с подъемом уровня воды в  с.Хоринцы Олекминского района.</t>
  </si>
  <si>
    <t>Распоряжением Главы МО «Абагинский наслег» №2 от 13.05.2024 г. введен режим «Чрезвычайная ситуация», в связи с начавшимся подтоплением с. Абага.</t>
  </si>
  <si>
    <t>Распоряжением исполняющей обязанности главы МО «Город Нюрба» Нюрбинского района № 102-230 от 14.05.2024 г. введен режим «Чрезвычайная ситуация» на территории МР «Олекминский район», в связи с образованием затора в реке Вилюй, повлекшее резкое повышение уровня паводковых вод и подтоплением жилых дворов, моста через р. Нюрбинка.</t>
  </si>
  <si>
    <t>Распоряжением главы МО «Жарханский наслег» Нюрбинского района № 26 от 14.05.2024 г. введен режим «Чрезвычайная ситуация», в целях предупреждения возможных чрезвычайных ситуаций, связанных с паводковыми явлениями и угрозой подтопления на территории муниципального образования.</t>
  </si>
  <si>
    <t>Распоряжением заместителя главы МО «Октябрьский наслег» Нюрбинского района №107-р от 14.05.2024 г. введен режим «Чрезвычайная ситуация», в целях предупреждения возможных чрезвычайных ситуаций, связанных с паводковыми явлениями и угрозой подтопления на территории муниципального образования.</t>
  </si>
  <si>
    <t>Распоряжением главы МО «Хомустахский 2-й наслег» № 56 от 17.05.2024 г. введен режим «Чрезвычайная ситуация», в связи с резким повышением уровня воды на реке Лена на участке села Хатас и требованиям принятия дополнительных мер по защите населения и территорий чрезвычайной ситуации.</t>
  </si>
  <si>
    <t>Распоряжением главы МО «Арбынский наслег» № 41 от 17.05.2024 г. введен режим «Чрезвычайная ситуация», в связи с повышением уровня воды критической отметки 897 см., частного имущества (затопленных частных домов-1 ед., под пол-1 ед., хозяйственные постройки), тепловых сетей АО "НКТЭ"- 3 метра и требованиям принятия дополнительных мер по защите населения и территорий чрезвычайной ситуации.</t>
  </si>
  <si>
    <t>Распоряжением заместителя главы МО «Бетюнский наслег» № 54 от 18.05.2024 г. введен режим «Чрезвычайная ситуация», в связи с резким повышением уровня воды свыше критической отметки 701 см., подтоплением жилых домов, размытием дамб № 2 уч. "Маган Керех" и дамбы № 4 уч. "Кумахтаах", №1 уч. "Балыя" дамба в период прохождения весеннего половодья на территории МО "Бетюнский наслег".</t>
  </si>
  <si>
    <t>Распоряжением заместителя главы МО «Маймагинский наслег» № 24 от 18.05.2024 г. введен режим «Чрезвычайная ситуация», в связи с повышением уровня воды (затоплены частных домов-2 ед., под пол-2 ед., хозяйственные постройки), МКОУ "Маймагинская школа-сад" и требованиям принятия дополнительных мер по защите населения и территорий чрезвычайной ситуации.</t>
  </si>
  <si>
    <t>Распоряжением главы МО «Партизанский наслег» № 71 от 18.05.2024 г. введен режим «Чрезвычайная ситуация», в связи с повышением уровня воды критической отметки 632 см., частного имущества (затоплены частных домов-4 ед., хозяйственные постройки), тепловых сетей АО "НКТЭ"-3 метров и  требованиям принятия дополнительных мер по защите населения и территорий чрезвычайной ситуации.</t>
  </si>
  <si>
    <t>Распоряжением главы МО «Хамагаттинский наслег» № 129 от 18.05.2024 г. введен режим «Чрезвычайная ситуация», в связи с повышением уровня воды на реке Лена и в связи с влиянием на безопасность жизнедеятельности населения с. Крест-Кытыл и требованиям принятия дополнительных мер по защите населения и территорий чрезвычайной ситуации.</t>
  </si>
  <si>
    <t>Распоряжением главы МО «Хатын - Арынский наслег» № 054/01-03 от 18.05.2024 г. введен режим «Чрезвычайная ситуация», в связи с резким повышением уровня воды на реке Лена и разрушением дамбы АЗС № 5 - с. Графский БеРегиональный-с. Кысыл Деревня, на участке с. Кысыл Деревня, в связи с влиянием на безопасность жизнедеятельности населения с. Графский БеРегиональный и с. Кысыл Деревня и требованиям принятия дополнительных мер по защите населения и территорий чрезвычайной ситуации.</t>
  </si>
  <si>
    <t>Распоряжением главы МО «Хатырыкский наслег» № 89 от 18.05.2024 г. введен режим «Чрезвычайная ситуация», в связи с повышением уровня воды критической отметки, с затоплением частного имущества и требованиям принятия дополнительных мер по защите населения и территорий чрезвычайной ситуации.</t>
  </si>
  <si>
    <t>Распоряжением главы МО «Намский улус» № 1192-р от 18.05.2024 г. введен режим «Чрезвычайная ситуация» на территории МО «Намский улус», в связи с повышением уровней воды на реке Лена и подтоплением населенных пунктов с.Хатас, с.Партизан, с.Крест-Кытыл, с.Намцы, с.Графский БеРегиональный</t>
  </si>
  <si>
    <t>Указом Главы Республики Саха Якутия №320 от 20.05.2024 г на территории Республики Саха (Якутия) введен режим «Чрезвычайная ситуация» Региональныйионального характера, в связи с подтоплением населенных пунктов и нарушением жизнедеятельности населения на территориях муниципального образования «Намский улус», муниципального района «Нюрбинский район», муниципального района «Олекминский район». Внести в Указ Главы Республики Саха (Якутия) от 20 мая 2024 г. № 320 «О введении режима чрезвычайной ситуации Региональныйионального характера на территории Республики Саха (Якутия)» изменение, дополнив преамбулу после слов «муниципального района «Олекминский район» словами «муниципального района «Анабарский национальный (долгано-эвенкийский) 
улус (район)». № 339 от 31.05.2024 г.</t>
  </si>
  <si>
    <t xml:space="preserve">Решением председателя КЧС и ОПБ МО "Беллетский Эвенкийский национальный наслег" Алданского района РС(Я) № 3 от 27.05.2024г. введен режим "Чрезвычайная ситуация", в связи с обрушением моста через р. Селигдар, соединяющую межселенную дорогу Хатыстыр-Нижний Куранах. </t>
  </si>
  <si>
    <t>Постановлением Главы МР "Олекминский район" № 63 от 29.05.2024г. введен режим "Чрезвычайная ситуация", в связи с установлением  IV-V класса пожарной опасности в лесах, не локализованными крупными лесными пожарами и задействованием более 50% лесопожарных формирований, пожарной техники и оборудования, предусмотренных планом тушения пожаров на 2024 год, с 
установлением сухой жаркой погоды, ухудшением обстановки и увеличением количества 
лесных пожаров на территории Олекминского района.</t>
  </si>
  <si>
    <t xml:space="preserve">Распоряжением Главы МО "Саскылахский национальный (эвенкийский) наслег" №101 от 30.05.2024г. введен режим "Чрезвычайная ситуация", в связи с повышением уровня воды в р.Анабар с. Саскылах, затоплением автомобильных дорог, угрозой затопления жилых домов и взлетно-посадочной полосы филиала аэропорт "Саскылах" ФКП "Аэропорты Севера"    </t>
  </si>
  <si>
    <t>Распоряжением Главы МО "Анабарский национальный (долгано-эвенкийский) улус (район)" №550 от 31.05.2024г. введен режим "Чрезвычайная ситуация" на территории МО "Саскылахский национальный (эвенкийский) наслег" в связи с влиянием при прохождении весеннего половдья на безопасность жизнедеятельности населения с. Саскылах.</t>
  </si>
  <si>
    <t xml:space="preserve">По протоколу заседания правительственной комиссии по предупреждению и ликвидации чрезвычайных ситуаций и обеспечению пожарной безопасности № 6 от 07.06.2024 г  правительственная комиссия решила, отнести чрезвычайную ситуацию, сложившуюся в результате прохождения весеннего паводка на территории Республики Саха (Якутия) в 2024 году, к чрезвычайной ситуации федерального характера и установить федеральный уровень реагирования. </t>
  </si>
  <si>
    <t>Распоряжением Главы МР «Томпонского района» №517-ОД от «10» июня 2024 года.,  введен режим "Чрезвычайная ситуация" в лесах муниципального характера на территории Томпонского района, в связи с действием на территории Томпонского района четырех лесных пожаров, из них двух крупных лесных пожаров и задействованием в полном обьеме всего личного состава лесопожарных формирований.</t>
  </si>
  <si>
    <t>Указом Главы Республики Саха Якутия №345 от 11.06.2024 г на территории Республики Саха (Якутия) введен режим «Чрезвычайная ситуация» Региональныйионального характера, в связи с установившимся IV,V классами пожарной опасности в лесах, введением чрезвычайной ситуации в лесах муниципального характера на территориях Олекминского и Томпонского районов, увеличением количества и площади лесных пожаров на территориях южных, северо-западных и центральных улусов (районов) Республики Саха (Якутия).</t>
  </si>
  <si>
    <t>Распоряжением Главы МР «Амгинского района» №989 от «11» июня 2024 года.,  введен режим "Чрезвычайная ситуация" муниципального характера на территории Амгинского района, в связи с установлением V класса пожарной опасности в лесах и увеличением количества и площади лесных пожаров.</t>
  </si>
  <si>
    <t>техногенный пожар</t>
  </si>
  <si>
    <t>Распоряжением Главы МО «Мятисский I-й наслег» Среднеколымского района №84 от 13.06.2024 г. введен режим «Чрезвычайная ситуация», в связи с пожаром дизельной электростанции, повреждением огнем 4 энерговагона ДЭС в целях защиты населения.</t>
  </si>
  <si>
    <t>Распоряжением Главы МР «Усть-Майского района» №247-р от «16» июня 2024 года.,  введен режим "Чрезвычайная ситуация" муниципального характера на территории Усть-Майского района,  связи с тем, что лесной пожар № 2АСС превышает 200 га в авиационной зоне, лесопожарные формирования Усть-Майского района задействованы более чем на 50 %.</t>
  </si>
  <si>
    <t>Распоряжением И.о. Главы МР «Среднеколымского района» №439-а от «19» июня 2024 года.,  введен режим "Чрезвычайная ситуация" в лесах муниципального характера на территории Среднеколымского района, в связи с лесными пожарами.</t>
  </si>
  <si>
    <t>Распоряжением  Главы МР «Верхнеколымского района» №103 от «21» июня 2024 года.,  введен режим "Чрезвычайная ситуация" в лесах муниципального характера на территории Верхнеколымского района, в связи с действием на территории Верхнеколыского района крупных лесных пожаров площадью 200 гектаров и более в зоне авиационной охраны лесов и привлечением на пожаре более 50 процентов лесных формирований.</t>
  </si>
  <si>
    <t>Распоряжением  Главы МР «Верхневилюйского района» №355-р от «29» июня 2024 года.,  введен режим "Чрезвычайная ситуация" в лесах муниципального характера, в связи с лесными пожарами на территории Верхневилюйского района.</t>
  </si>
  <si>
    <t xml:space="preserve">По протоколу заседания правительственной комиссии по предупреждению и ликвидации чрезвычайных ситуаций и обеспечению пожарной безопасности № 8 от 01.07.2024 г  правительственная комиссия решила, отнести с 28.06.2024 г.,чрезвычайную ситуацию в лесах, возникшую на территории Республики Саха (Якутия), к чрезвычайной ситуации в лесах федерального характера. </t>
  </si>
  <si>
    <t>Распоряжением  Главы МР «Верхоянский района» №699-РА от «03» июля 2024 года.,  введен режим "Чрезвычайная ситуация" в лесах муниципального характера, в связи с установившимся V классом пожарной опасности в лесах, увеличением количества и площади нелокализованных лесных пожаров.</t>
  </si>
  <si>
    <t xml:space="preserve">Постановлением  Главы МР «Нерюнгринский района» №1362 от «03» июля 2024 года.,  введен режим "Чрезвычайная ситуация" в лесах муниципального характера, в связи с действием на территории Нерюнгринского района крупных лесных пожаров площадью 200 гектаров и более в зоне авиационной охраны лесов и привлечением на пожаре более 50 процентов лесопожарных формирований. </t>
  </si>
  <si>
    <t xml:space="preserve">Распоряжением  И.о. Главы МР «Вилюйского района» №810 от «08» июля 2024 года.,  введен режим "Чрезвычайная ситуация" в лесах муниципального характера, в связи с повышением площадей лесных пожаров более 200 Га, задействования на тушение лесных пожаров более 50% личного сосатва лесопожарных формирований. </t>
  </si>
  <si>
    <t>Постановлением  И.о. Главы МР «Ленского района» №01-03-460/4 от «15» июля 2024 года.,  введен режим "Чрезвычайная ситуация" в лесах муниципального характера, в связи с действием на территории Ленского района крупных лесных пожаров площадью 200 гектаров и более в зоне авиационной охраны лесов и привлечением на пожаре более 50 процентов лесопожарных формирований, а также в связи со сложными метеорологическими условиями.</t>
  </si>
  <si>
    <t>Распоряжением  Главы МР «Абыйский района» №482 от «17» июля 2024 года.,  введен режим "Чрезвычайная ситуация" в лесах муниципального характера, в связи с действием более 10 пожаров на территории Абыйского района и приближенным пожарам ЛП № 60 АЗК и ЛП № 70 АЗК к населенным пунктам с. Кенг-кюель и п. Белая Гора Абыйского района, в целях защиты населенных пунктов и объектов жизнеобеспечения.</t>
  </si>
  <si>
    <t xml:space="preserve">Распоряжением Главы МР «Горного района» №827/01-02 от «23» июля 2024 года.,  введен режим "Чрезвычайная ситуация" в лесах муниципального характера, в связи с увеличением количества и площади лесных пожаров на территории муниципального района "Горный улус". </t>
  </si>
  <si>
    <t>Распоряжением И.о. Главы МР «Сунтарского района» № Б-365 от «03» августа 2024 года.,  введен режим "Чрезвычайная ситуация" в лесах муниципального характера, в связи с действием трех не локализованных лесных пожаров на территории МР "Сунтарский улус" (район).</t>
  </si>
  <si>
    <t>Распоряжением И.о. Главы МР «Кобяйского района» № 1135-Р от «05» августа 2024 года.,  введен режим "Чрезвычайная ситуация" в лесах муниципального характера, в связи с ростом количества лесных пожаров на территории МР "Кобяйский улус (район)" РС(Я).</t>
  </si>
  <si>
    <t>Распоряжением Главы МР «Булунский улус» № 297-р от 12.08.2024 г. введен режим «Чрезвычайная ситуация» муниципального характера, в связи с пропажей троих несовершеннолетних детей</t>
  </si>
  <si>
    <t>Постановлением И.о. главы МО "Ленский район" №01-03-536/4 от 10.08.2024г. введен режим "Чрезвычайная ситуация" муниципального характера, в связи с привлечением на пожаре более 50 процентов лесопожарных формирований, а также в связи со сложными метеорологическими условиями</t>
  </si>
  <si>
    <t>Распоряжением Главы МР "Булунский улус" №304-р от 14.08.2024г. введен режим "Чрезвычайная ситуация" муниципального характера, в связи  с пропажей человека на беРегиональныйу р. Оленек у с. Тюмяти, возле поста пограничников</t>
  </si>
  <si>
    <t>Решением КЧС Оленекского района №23 от 30.08.2024г. введен режим "Чрезвычайная ситуация" муниципального характера на территории МР «Оленекский эвенкийский национальный район», в связи  с поисками пропавшего человека.</t>
  </si>
  <si>
    <t>Распоряжением Главы МР "Усть-Майский улус (район)" №407-р от 04.09.2024г. введен режим "Чрезвычайная ситуация" муниципального характера, в связи с выпадением обильных осадков в горной части Усть-Майского района, произошли размывы дорожного полотна на автомобильной дороге "Амга" на участке Эльдикан - Солнечный - Югоренок.</t>
  </si>
  <si>
    <t>Аварийно-спасательные работы</t>
  </si>
  <si>
    <t>Решением заседания  КЧС Алданского района №35 от 10.09.2024г. введен режим "Чрезвычайная ситуация" муниципального характера на территории МР «Алданский район», на период проведения аварийно-спасательный работ.</t>
  </si>
  <si>
    <t>Техногенная</t>
  </si>
  <si>
    <t xml:space="preserve">Постановлением Главы МР "Ленский район №01-03-190/5 от 17.03.2025 введен режим «Чрезвычайная ситуация» локального характера на участке с 21-23 км. автомобильной дороги "Мухтуя" МР "Ленский район" РС(Я). </t>
  </si>
  <si>
    <t>Распоряжением Главы "МР "Усть-Янский улус (район)  №128-РГ от 18.03.2025  введен режим функционирования "Чрезвычайная ситуация" локального характера на участке в пункте КПП "Северный" ООО "АДК" МР "Усть-Янский улус (район).</t>
  </si>
  <si>
    <t>Решением КЧСиОПБ муниципального района «Таттинский улус» №7 от 04.04.2025 г. был введен режим чрезвычайной ситуации, в связи с разрушением мостового перехода «БАРМ» через реку Таатта в селе Черкех. 14.04.2025 переведен на режим «Повышенная готовность».</t>
  </si>
  <si>
    <t>Решением КЧСиОПБ муниципального района «Таттинский улус» № 9 от 23.04.2025 г. с 24.04.2025 г. на территории СП Октябрьский наслег и Дайа-Амгинского наслега введён режим чрезвычайной ситуации в связи с разрушением мостового перехода «БАРМ» через реку Таатта в селе Черкёх.</t>
  </si>
  <si>
    <t>Решением КЧСиОПБ муниципального района «Таттинский улус» №11 от 28.04.2025 г., на территории СП «Таттинский наслег» ввести режим «Чрезвычайная ситуация», в связи с несоответствием качества воды требованиям СанПин.</t>
  </si>
  <si>
    <t>Решением Комиссии по предупреждению и ликвидации чрезвычайных ситуаций и обеспечению пожарной безопасности муниципального района "Верхоянскийй район" введен режим "Чрезвычайная ситуация" № 8 от 05.05.2025 г. в связи со сложившейся пожарной обстановкой.</t>
  </si>
  <si>
    <t>Распоряжением Главы муниципального района «Среднеколымский район» №181 от 20.05.2025 г., на территории г. Среднеколымска введен режим «Чрезвычайная ситуация», в связи повышением уровня воды на реке Колыма и угрозой разрушения дорог, оградительных дамб и других социально-значимых объектов.</t>
  </si>
  <si>
    <t>Распоряжением И.о. Главы МР «Усть-Алданский района» №394 от «29» мая 2025 года.,  введен режим "Чрезвычайная ситуация" в лесах муниципального характера на территории Усть-Алданского района, в связи с лесными пожарами.</t>
  </si>
  <si>
    <t>Распоряжением Главы СП «Халбакинского наслега» Вилюйского района №331 от 20 мая 2025 г., введен режим «Чрезвычайная ситуация», в связи с паводком с 20.05.2025 г.</t>
  </si>
  <si>
    <t>Решением КЧСиОПБ муниципального района «Олекминский район» №39 от 27.06.2025 г., в лесах на территории муниципального района «Олекминский район» введен режим «Чрезвычайная ситуация», в связи с в связи с установлением III-IV класса пожарной опасности в лесах, на территории района.</t>
  </si>
  <si>
    <t xml:space="preserve">Распоряжением Главы муниципального района «Оймяконский улус» №270 от 15.07.2025 г. введен режим «Чрезвычайная ситуация», в связи с поднятием уровня воды выше нормы на р. Индигирка и реках Оймяконского района вследствие обильных осадков и продолжительных ливневых дождей. </t>
  </si>
  <si>
    <t>Распоряжением Главы муниципального района «Момский район» №161 от 16.07.2025 г. введен режим «Чрезвычайная ситуация», в связи с осложнением паводковой обстановки и решением №16 от 16.07.2025 г. районной комиссии по предупреждению и ликвидации ЧС и ОПБ на территории Момского района.</t>
  </si>
  <si>
    <t>Постановлением Главы МР "Ленский район №01-03-556/5 от 16.07.2025 введен режим "Чрезвычайная ситуация" в лесах муниципального характера на территории Ленского района, в связи с лесными пожарами.</t>
  </si>
  <si>
    <t>Распоряжением Врио Главы МО СП «Майорский национальный наслег» Абыйского улуса (района) Республики Саха (Якутия) № 118 от 17.07.2025 г. введен режим «Чрезвычайная ситуация» на территории МО СП «Майорский национальный наслег» Абыйского улуса (района) Республики Саха (Якутия), в связи с паводком.</t>
  </si>
  <si>
    <t>Распоряжением Главы муниципального района «Сунтарский улус (район)» Республики Саха (Якутия) №5-465 от 20.07.2025 г. введен режим «Чрезвычайная ситуация», в лесах муниципального характера, возникший вследствие лесных пожаров на территории Сунтарского района.</t>
  </si>
  <si>
    <t>Решением КЧСиОПБ Республики Саха (Якутия) № 117 от 18.07.2025 г., введён режим «Чрезвычайная ситуация» Региональныйионального характера на территории Республики Саха (Якутия) в связи с подтоплением населенных пунктов и нарушением жизнедеятельности населения на территориях сельских поселений «Сордоннохский национальный наслег», «Борогонский 2-й наслег», «Оймякон Полюс Холода», муниципального образования «Терютский наслег», городского поселения «Поселок Усть-Нера» муниципального района «Оймяконский улус (район)», сельского поселения «Майорский национальный наслег» муниципального района «Абыйский улус (район)» Республики Саха (Якутия).</t>
  </si>
  <si>
    <t>Распоряжением Главы муниципального района «Верхоянский улус (район) Республики Саха (Якутия) №44 от 22.07.2025 г. введен режим «Чрезвычайная ситуация в лесах муниципального характера», в связи со сложившейся пожарной обстановкой на территории Верхоянского района.</t>
  </si>
  <si>
    <t>Распоряжением И.О. Главы муниципального района «Томпонский район» Республики Саха (Якутия) №632-ОД от 28.07.2025 г. введен режим «Чрезвычайная ситуация в лесах», в связи с действием на территории Томпонского района четырех лесных пожаров, из них двух крупных лесных пожаров и задействованием в полном объеме всего личного состава лесопожарных формирований.</t>
  </si>
  <si>
    <t>Биолого-социальная</t>
  </si>
  <si>
    <t>Распоряжением И.О. Главы СП "Тебюляхский национальный наслег" муниципального района "Момский район" Республики Саха (Якутия) №23 от 04.08.2025 г. введен режим «Чрезвычайная ситуация по заготовке сена на территории сельского поселения"Тебюляхский национальный наслег"".</t>
  </si>
  <si>
    <t>Распоряжением И.О. Главы муниципального района Мирнинского района №1428 от 23.08.2025 г. на территории Мирнинского  района Республики Саха (Якутия) введен режим «Чрезвычайная ситуация», в связи со складывающейся ситуацией с природными пожарами на территории Мирнинского  района, сложными метеорологическими условиями.</t>
  </si>
  <si>
    <t>Распоряжением Главы муниципального района Усть-Алданского района №621 от 30.08.2025 г. на территории Усть-Алданского района Республики Саха (Якутия) введен режим «Чрезвычайная ситуация», в связи с действующим лесным пожаром.</t>
  </si>
  <si>
    <t>Распоряжением КЧСиОПБ муниципального района «Оленекский эвенкийский национальный район» №35 от 04.09.2025 г. на территории СП «Оленекский эвенкийский национальный наслег» Республики Саха (Якутия) введен режим «Чрезвычайная ситуация», в связи с кредиторской задолженностью ГКУ PC (Я) «Агентство субсидий» перед ООО «Инкит» перед АО «Сахаэнерго».</t>
  </si>
  <si>
    <t>Постановлением Главы наслега МО "Эжанский национальный наслег" Усть-Майского района Республики Саха (Якутия) №79 от 23.09.2025 г. на территории муниципального образования сельское поселение "Эжанский национальный наслег" Республики Саха (Якутия) введен режим «Чрезвычайная ситуация» местного характера, в связи с прорывом автомобильной дороги (дамбы) на улице Алданская на беРегиональныйовой линии Алдан</t>
  </si>
  <si>
    <t>Распоряжением Главы МО СП «Село Белькачи» МР «Усть-Майский улус (район) Республики Саха (Якутия) от 30.09.2025 г. №18 введен режим чрезвычайной ситуации на территории МО СП «Село Белькачи» в связи с поиском Жданова Е.В.</t>
  </si>
  <si>
    <t xml:space="preserve">Реестр чрезвычайных ситуаций с 2001 года </t>
  </si>
  <si>
    <t>ВСЕГО</t>
  </si>
  <si>
    <t>Природные ЧС</t>
  </si>
  <si>
    <t>Техногенные ЧС</t>
  </si>
  <si>
    <t>Биолого-соц ЧС</t>
  </si>
  <si>
    <t>Всего</t>
  </si>
  <si>
    <t>Кол-во ошибок</t>
  </si>
  <si>
    <t>Итого</t>
  </si>
  <si>
    <t>по нумерации Реестр_ЧС</t>
  </si>
  <si>
    <t>Реестр природных ЧС</t>
  </si>
  <si>
    <t>Реестр техногенных ЧС</t>
  </si>
  <si>
    <t>Реестр биолого-социальные ЧС</t>
  </si>
  <si>
    <t>* Данные ГБУ РС(Я) "Служба спасения Республики Саха (Якутия)</t>
  </si>
  <si>
    <t/>
  </si>
  <si>
    <t>Н.п. измененный</t>
  </si>
  <si>
    <t>Тип дома (частный дом, многоквартирный дом)</t>
  </si>
  <si>
    <t>Адрес*</t>
  </si>
  <si>
    <t>Адрес*
(по ФИАС)</t>
  </si>
  <si>
    <t>Уровень воды (значение уровня воды от пола дома), см</t>
  </si>
  <si>
    <t>Кол-во ошибок "#н/д"</t>
  </si>
  <si>
    <t>р. Дюктюенэ, р. Хар-Балаган</t>
  </si>
  <si>
    <t>Горный район, МО "Шологонский наслег"</t>
  </si>
  <si>
    <t>2-х квартирный ИЖД</t>
  </si>
  <si>
    <t>ул. Чаранская д.2</t>
  </si>
  <si>
    <t>Республика Саха (Якутия), м.р-н Горный, с.п. Шологонский наслег, с Ерт, ул Чаранская, д. 2</t>
  </si>
  <si>
    <t>Кол-во "не н.п."</t>
  </si>
  <si>
    <t>Республика Саха (Якутия), м.р-н Горный, с.п. Шологонский наслег, с Ерт, ул Чаранская, д. 4</t>
  </si>
  <si>
    <t>р. Оччугуй Ботуобуйа</t>
  </si>
  <si>
    <t>Мирнинский район, МО "Чуонинский наслег"</t>
  </si>
  <si>
    <t>с. Арылах</t>
  </si>
  <si>
    <t>8 дворовых территорий</t>
  </si>
  <si>
    <t xml:space="preserve">ул. Набережная д.3, 6, 8, 12, 13 14, 18, 19. </t>
  </si>
  <si>
    <t>Республика Саха (Якутия), м.р-н Мирнинский, с.п. Чуонинский наслег, с Арылах, ул Центральная, д. 3</t>
  </si>
  <si>
    <t>Республика Саха (Якутия), м.р-н Мирнинский, с.п. Чуонинский наслег, с Арылах, ул Центральная, д. 6</t>
  </si>
  <si>
    <t>Республика Саха (Якутия), м.р-н Мирнинский, с.п. Чуонинский наслег, с Арылах, ул Центральная, д. 8</t>
  </si>
  <si>
    <t>Республика Саха (Якутия), м.р-н Мирнинский, с.п. Чуонинский наслег, с Арылах, ул Центральная, д. 12</t>
  </si>
  <si>
    <t>Республика Саха (Якутия), м.р-н Мирнинский, с.п. Чуонинский наслег, с Арылах, ул Центральная, д. 13</t>
  </si>
  <si>
    <t>Республика Саха (Якутия), м.р-н Мирнинский, с.п. Чуонинский наслег, с Арылах, ул Центральная, д. 14</t>
  </si>
  <si>
    <t>Республика Саха (Якутия), м.р-н Мирнинский, с.п. Чуонинский наслег, с Арылах, ул Центральная, д. 18</t>
  </si>
  <si>
    <t>Республика Саха (Якутия), м.р-н Мирнинский, с.п. Чуонинский наслег, с Арылах, ул Центральная, д. 19</t>
  </si>
  <si>
    <t>р. Вилюй</t>
  </si>
  <si>
    <t>Вилюйский район СП "Халбакинский наслег"</t>
  </si>
  <si>
    <t>с. Староватово</t>
  </si>
  <si>
    <t>1 ИЖД, 9 дворовых территорий</t>
  </si>
  <si>
    <t>р. Колыма</t>
  </si>
  <si>
    <t>Среднеколымский район МО "Срнеднеколымский район"</t>
  </si>
  <si>
    <t>г. Среднеколымск</t>
  </si>
  <si>
    <t>7 МКД, 32 ИЖД</t>
  </si>
  <si>
    <t>Нижнеколымский район МО "Походский наслег"</t>
  </si>
  <si>
    <t>с. Походск</t>
  </si>
  <si>
    <t>2 ИЖД, 22 двор/терр.</t>
  </si>
  <si>
    <t>ул. Комсомольская д.15, ул. Набережная д.1</t>
  </si>
  <si>
    <t>Республика Саха (Якутия), м.р-н Нижнеколымский, с.п. Походский наслег, с Походск, ул Комсомольская, д. 15</t>
  </si>
  <si>
    <t>Республика Саха (Якутия), м.р-н Нижнеколымский, с.п. Походский наслег, с Походск, ул Набережная, д. 1</t>
  </si>
  <si>
    <t>р. Алдан</t>
  </si>
  <si>
    <t>Алданский район МО "Чагдинский наслег"</t>
  </si>
  <si>
    <t>11 ИЖД, 13 двор/терр.</t>
  </si>
  <si>
    <t>ул. Набережная д. 3,7,27,21; ул. Советская д. 1,3,5; ул. Матросова д. 21,25; ул. Подгорная д.4; ул. Авиапорт д.5 кв 1, д.6 кв 1,2; ул. Комсомольская д.2 кв 2, д.6 кв 1,2; ул. Октябрьская д.16; ул. Учурская 32.</t>
  </si>
  <si>
    <t>Усть-Майский район</t>
  </si>
  <si>
    <t>с. Белькачи</t>
  </si>
  <si>
    <t>7 дворовых территорий</t>
  </si>
  <si>
    <t>с. Усть-Миль</t>
  </si>
  <si>
    <t>1 огородный  участок</t>
  </si>
  <si>
    <t>ул. Алданский д.1</t>
  </si>
  <si>
    <t>Усть-Майский район МО "Эжанский национальный наслег"</t>
  </si>
  <si>
    <t xml:space="preserve">с. Эжанцы </t>
  </si>
  <si>
    <t xml:space="preserve">27 дворовых территорий </t>
  </si>
  <si>
    <t xml:space="preserve">ул. Алданская д.1, 5; ул. А.Иванова д. 31, 33, 23, 21, 17, 19, 15, 13/1, 13, 11, 9, 1, 3, 5; ул. Ул. Боярова д. 2, 4, 6; ул. Александры Атласовой д. 16, 16/1, 18; ул. Победы д. 1/1, 4, 8/1, 12,24 </t>
  </si>
  <si>
    <t>пгт. Эльдикан</t>
  </si>
  <si>
    <t>2 ИЖД, 52 двор/терр.</t>
  </si>
  <si>
    <t>ул. Советская д.23, 24; ул. Чапаева д.2</t>
  </si>
  <si>
    <t>р. Алдан, оз.Мэккэ</t>
  </si>
  <si>
    <t>Усть-Майский район МО "Кюпский национальный наслег"</t>
  </si>
  <si>
    <t>3 ИЖД, 28 двор/терр.</t>
  </si>
  <si>
    <t>ул. Советская д.40, 28, 28/1, 30, 30/2, 32, 34, 42; ул. Молодежная д.1, 2/1, 2/2, 3, 5, 6, 7, 8, ул. Атласова д.4, ул. Озерная д.3, 4, ул. Мэккинская д.7, 12, 14, 16; ул. Лесная д.5, 6, 7, 6/1, пер. Березовый</t>
  </si>
  <si>
    <t xml:space="preserve">пгт. Усть-Мая </t>
  </si>
  <si>
    <t>8 ИЖД, 28 двор/терр.</t>
  </si>
  <si>
    <t>ул. Набережная, ул. Горького</t>
  </si>
  <si>
    <t>Томпонский район МО"Охот-Перевозовский наслег"</t>
  </si>
  <si>
    <t>с. Охотский Перевоз</t>
  </si>
  <si>
    <t>5 дворовых территорий</t>
  </si>
  <si>
    <t>Оймяконский район МО "Сордоннохский наслег</t>
  </si>
  <si>
    <t>с. Орто-Балаган</t>
  </si>
  <si>
    <t>32 ИЖД и двор/терр.</t>
  </si>
  <si>
    <t>Оймяконский район МО "2-й Борогонский наслег"</t>
  </si>
  <si>
    <t>с. Томтор</t>
  </si>
  <si>
    <t>98 дворовых территорий</t>
  </si>
  <si>
    <t>Оймяконский район ГП "Поселок Усть-Нера"</t>
  </si>
  <si>
    <t>пгт. Усть-Нера</t>
  </si>
  <si>
    <t>36 ИЖД и двор/терр.</t>
  </si>
  <si>
    <t>Оймяконский район МО "Оймякон Полюс Холода"</t>
  </si>
  <si>
    <t>с. Оймякон</t>
  </si>
  <si>
    <t>118 ИЖД и двор/терр</t>
  </si>
  <si>
    <t>с. Берег-Юрдя</t>
  </si>
  <si>
    <t>23 ИЖД, 21 двор/терр</t>
  </si>
  <si>
    <t>с. Хара-Тумул</t>
  </si>
  <si>
    <t>24 ИЖД (выше пола 13 ИЖД, по оклад 11 ИЖД)</t>
  </si>
  <si>
    <t>Абыйский район МО СП "Майорский национальный наслег"</t>
  </si>
  <si>
    <t>с. Куберганя</t>
  </si>
  <si>
    <t>12 ИЖД, 8 МКД, 21 двор/терр.</t>
  </si>
  <si>
    <t>Оймяконский район МО "Терютский наслег"</t>
  </si>
  <si>
    <t>с. Терють</t>
  </si>
  <si>
    <t xml:space="preserve">Момский район МО "Момский национальный наслег" </t>
  </si>
  <si>
    <t>с. Хонуу</t>
  </si>
  <si>
    <t>26 дворовых территорий</t>
  </si>
  <si>
    <t>ул. Озерная, ул. Береговая, ул. Строителей,  ул. Западная, ул. В. Лебедева, ул. Стростина, ул. Тарабукина, ул. Аф. Старкова, ул. Дачная, ул. Советская</t>
  </si>
  <si>
    <t xml:space="preserve">Момский район МО "Индигирский национальный наслег" </t>
  </si>
  <si>
    <t>с. Буор-Сысы</t>
  </si>
  <si>
    <t>5 ИЖД, 27 двор/терр.</t>
  </si>
  <si>
    <t>р. Индигирка р. Мома, р. Тарын</t>
  </si>
  <si>
    <t>Момский район "МО Соболохский национальный наслег"</t>
  </si>
  <si>
    <t>с. Соболох</t>
  </si>
  <si>
    <t>2 дворовые территории</t>
  </si>
  <si>
    <t>ул. Лесная, ул. Тихона Толомона</t>
  </si>
  <si>
    <t>Оймяконский район МО" Оймякон Полюс Холода"</t>
  </si>
  <si>
    <t>15 дворовых территорий</t>
  </si>
  <si>
    <t>Оймяконский район МО "Сордоннохский наслег"</t>
  </si>
  <si>
    <t>8 ИЖС дворовые территории, 1 МКД 4-х кв.дом.</t>
  </si>
  <si>
    <t>ул. Лесная д14 кв 1, ул. Лесная д.4/1, ул. Солнечная д.6, 8, 12, 13, 15, ул. Лесная д.6, ул. Светлая д.4.</t>
  </si>
  <si>
    <t>р. Лена</t>
  </si>
  <si>
    <t xml:space="preserve">Олекминский район, СП "Дельгейский наслег" </t>
  </si>
  <si>
    <t>с. Иннях</t>
  </si>
  <si>
    <t>7 ИЖД</t>
  </si>
  <si>
    <t xml:space="preserve">Олекминский район </t>
  </si>
  <si>
    <t>2 ИЖД</t>
  </si>
  <si>
    <t>Олекминский район</t>
  </si>
  <si>
    <t>с. Бирюк</t>
  </si>
  <si>
    <t>44 ИЖД</t>
  </si>
  <si>
    <t>с. Нерюктяйинск 1</t>
  </si>
  <si>
    <t>50 ИЖД</t>
  </si>
  <si>
    <t>с. Нерюктяйинск 2</t>
  </si>
  <si>
    <t>15 ИЖД, 26 двор/терр.</t>
  </si>
  <si>
    <t>32 ИЖД, 42 двор/терр.</t>
  </si>
  <si>
    <t>38 ИЖД, 43 двор/терр.</t>
  </si>
  <si>
    <t>с. Балаганннах</t>
  </si>
  <si>
    <t>4 ИЖД</t>
  </si>
  <si>
    <t>Нюрбинский район</t>
  </si>
  <si>
    <t>с. Жархан</t>
  </si>
  <si>
    <t>3 ИЖД, 2 МКД, 8 двор/терр.</t>
  </si>
  <si>
    <t>г. Нюрба</t>
  </si>
  <si>
    <t>1 ИЖД, 1 МКД, 2 двор/терр.</t>
  </si>
  <si>
    <t>Намский район, 2-Хомустахский наслег</t>
  </si>
  <si>
    <t>35 ИЖД, 55 двор/терр, 7 летних домов</t>
  </si>
  <si>
    <t>Намский район, Ленский наслег</t>
  </si>
  <si>
    <t>6 ИЖД, 21 двор/терр.</t>
  </si>
  <si>
    <t>Намский район, Партизанский наслег</t>
  </si>
  <si>
    <t>14 ИЖД, 1 МКД, 61 двор/терр, 2 нежилых дома</t>
  </si>
  <si>
    <t>Намский район, Хамагаттинский наслег</t>
  </si>
  <si>
    <t>14 ИЖД, 1 МКД, 25 двор/терр, 2 нежилых дома, 2 дачных дома</t>
  </si>
  <si>
    <t>Намский район, Хатын Арынский наслег</t>
  </si>
  <si>
    <t>с. Графский Берег</t>
  </si>
  <si>
    <t>150 ИЖД, 29 МКД, 150 двор/терр.</t>
  </si>
  <si>
    <t>7 ИЖД, 1 МКД, 13 двор/терр.</t>
  </si>
  <si>
    <t>Намский район, Бетюнский наслег</t>
  </si>
  <si>
    <t>с. Бютяй Юрдя</t>
  </si>
  <si>
    <t>38 ИЖД, 45 двор/терр.</t>
  </si>
  <si>
    <t>до оклада 4 дома</t>
  </si>
  <si>
    <t>Намский район, Модутский наслег</t>
  </si>
  <si>
    <t>125 ИЖД, 3 МКД, 176 двор/терр.</t>
  </si>
  <si>
    <t>Намский район, Арбынский наслег</t>
  </si>
  <si>
    <t>29 ИЖД, 2 МКД 2-х, 4-х квартирных жилых дома, 64 двор/терр.</t>
  </si>
  <si>
    <t>Намский район, Хатырыкский наслег</t>
  </si>
  <si>
    <t>с. Столбы</t>
  </si>
  <si>
    <t>243 ИЖД, 16 МКД, 247 двор/терр.</t>
  </si>
  <si>
    <t>243 ИЖД выше пола</t>
  </si>
  <si>
    <t>Намский район, Маймагинский наслег</t>
  </si>
  <si>
    <t>с. Маймага</t>
  </si>
  <si>
    <t>42 ИЖД, 47 двор/терр.</t>
  </si>
  <si>
    <t>Намский район, Кебекенский наслег</t>
  </si>
  <si>
    <t>с. Харыялах</t>
  </si>
  <si>
    <t>1 ИЖД, 4 двор/терр.</t>
  </si>
  <si>
    <t>Намский район, Едейский наслег</t>
  </si>
  <si>
    <t>с. Ымыяхтах</t>
  </si>
  <si>
    <t>4 дворовых территорий</t>
  </si>
  <si>
    <t xml:space="preserve">р. Лена </t>
  </si>
  <si>
    <t>Намский район, Никольский наслег</t>
  </si>
  <si>
    <t>19 ИЖД, 3 МКД, 44 двор/терр.</t>
  </si>
  <si>
    <t>Намский район, Фрунзенский наслег</t>
  </si>
  <si>
    <t>с. Фрунзе</t>
  </si>
  <si>
    <t>3 нежилых дома</t>
  </si>
  <si>
    <t>р. Анабар</t>
  </si>
  <si>
    <t>Анабарский район</t>
  </si>
  <si>
    <t xml:space="preserve">с. Саскылах </t>
  </si>
  <si>
    <t>2 ИЖД, 1 общежитие, 13 МКД.</t>
  </si>
  <si>
    <t>ул. Ильи Спиридонова д.1, 2, 5; ул. Авиаторов 3/3, 9/1 ч/д; ул. Авиаторов д.2/1, 7, 8, 12 МКД, ул. Авиаторов 9, 10, ул. Мира д.3 МКД.</t>
  </si>
  <si>
    <t>Оймяконский район, МО "Сордоннохский наслег"</t>
  </si>
  <si>
    <t>с. Сордоннох</t>
  </si>
  <si>
    <t>1 дворовая территория 4х-квартирного дома</t>
  </si>
  <si>
    <t>ул. Лесная д.2</t>
  </si>
  <si>
    <t>Оймяконский район, МО "Оймякон Полюс Холода"</t>
  </si>
  <si>
    <t>6 ИЖД, 2х-квартирный дом - 2, 4х-квартирный дом 1.</t>
  </si>
  <si>
    <t>ул. Центральная 34/1, 32; ул. Индигирская 12 кв 1, 19 корпус 1, 9, 10, 13; Ул. Набережная 4, 5.</t>
  </si>
  <si>
    <t>р. Хаар-Балаган</t>
  </si>
  <si>
    <t>6 МКД, 16 двор/терр.</t>
  </si>
  <si>
    <t>МКД ул. Н.Р. Степанова д.26, ул. Чаранская д.1, 1/1, 2, 4, 6; ул. Тарасова 2а</t>
  </si>
  <si>
    <t>Горный район, МО "Одунунский наслег"</t>
  </si>
  <si>
    <t>3 ИЖД, 16 двор/терр.</t>
  </si>
  <si>
    <t>ул. Южная д.8, 8/1</t>
  </si>
  <si>
    <t>р. Дюктюенэ</t>
  </si>
  <si>
    <t>Горный район МО "Атамайский наслег"</t>
  </si>
  <si>
    <t>с. Бяс-Кюель</t>
  </si>
  <si>
    <t>4 ИЖД, 15 двор/терр.</t>
  </si>
  <si>
    <t>ул. Речная д.2, 6, переулок Артык д.4, ул. Лонгинова д13.</t>
  </si>
  <si>
    <t>р. Тиэрэ</t>
  </si>
  <si>
    <t xml:space="preserve">Мегино-Кангаласский район, МО "Батаринский 1-й наслег" </t>
  </si>
  <si>
    <t>с. Бедимя</t>
  </si>
  <si>
    <t>29 дворовых территорий</t>
  </si>
  <si>
    <t xml:space="preserve">ул. Молодежная д.6, 8, 10,12,14,16,18,20,22, 23, 24,25,б/н, ул. Батаринская д.9, 11, 13,  15,17,19,19/1, 21, 25,27/1,29,31,33, ул. Героя Попова д. 30, 32, 34, </t>
  </si>
  <si>
    <t>р. Саадахтаах</t>
  </si>
  <si>
    <t xml:space="preserve">Мегино-Кангаласский район, МО "Хоробутский наслег" </t>
  </si>
  <si>
    <t>с. Хоробут</t>
  </si>
  <si>
    <t>4 ИЖД, 17 двор/терр.</t>
  </si>
  <si>
    <t>ул. 40 лет Победы д. 18,16,14,8,2,5,7,17,19,21,10,10/1,23, ул. Дмитрия Таас д. 30,26,19,23, ул. Советская д. 17</t>
  </si>
  <si>
    <t>р. Хочо, р. Ар5аа, р. Илин</t>
  </si>
  <si>
    <t>Мегино-Кангаласский район, МО "Нахаринский 2-й наслег"</t>
  </si>
  <si>
    <t>с. Хочо</t>
  </si>
  <si>
    <t>16 дворовых территорий</t>
  </si>
  <si>
    <t>ул. Колхозная д. 6 кв 2, д.6 кв 1, д.4 кв 2, д.2 кв 2, д.2 кв 1: ул. Советская д. 1 кв 1, д.1 кв 2,д.1 кв 3, д.1 кв 4, ул. Пионерская д. 6, 8, 10,  12, 14, ул. Пинерская д.7 МКД</t>
  </si>
  <si>
    <t>Кутэр Саахтаах</t>
  </si>
  <si>
    <t>Мегино-Кангаласский район, МО "Ходоринский наслег"</t>
  </si>
  <si>
    <t>с. Чуйя</t>
  </si>
  <si>
    <t>6 дворовых территорий</t>
  </si>
  <si>
    <t>ул. Школьная д. 3, 5, 7, 9; ул. Комсомольская д. 8/3, 6/2</t>
  </si>
  <si>
    <t>Республика Саха (Якутия), м.р-н Мегино-Кангаласский, с.п. Ходоринский наслег, с Чюйя, ул Школьная, д. 3</t>
  </si>
  <si>
    <t>Республика Саха (Якутия), м.р-н Мегино-Кангаласский, с.п. Ходоринский наслег, с Чюйя, ул Школьная, д. 5</t>
  </si>
  <si>
    <t>Республика Саха (Якутия), м.р-н Мегино-Кангаласский, с.п. Ходоринский наслег, с Чюйя, ул Школьная, д. 7</t>
  </si>
  <si>
    <t>Республика Саха (Якутия), м.р-н Мегино-Кангаласский, с.п. Ходоринский наслег, с Чюйя, ул Школьная, д. 9</t>
  </si>
  <si>
    <t>Республика Саха (Якутия), м.р-н Мегино-Кангаласский, с.п. Ходоринский наслег, с Чюйя, ул Комсомольская, д. 8/3</t>
  </si>
  <si>
    <t>Республика Саха (Якутия), м.р-н Мегино-Кангаласский, с.п. Ходоринский наслег, с Чюйя, ул Комсомольская, д. 6/2</t>
  </si>
  <si>
    <t>Вилюйский район МО "Борогонский наслег"</t>
  </si>
  <si>
    <t>с. Чай</t>
  </si>
  <si>
    <t>2 ИЖС, 7 двор/терр.</t>
  </si>
  <si>
    <t>Маатта</t>
  </si>
  <si>
    <t>Горный район МО "Бердигестяхский наслег"</t>
  </si>
  <si>
    <t>Хангаласский район МО "Мальжагарский 5-й наслег"</t>
  </si>
  <si>
    <t>ул. Молодежная д.1, ул. Исая Никифорова д.3, 5; ул. Луговая д.10</t>
  </si>
  <si>
    <t>Намский район МО "Арбынский наслег"</t>
  </si>
  <si>
    <t>с. Арбын</t>
  </si>
  <si>
    <t>2 ИЖД, 35 двор/терр.</t>
  </si>
  <si>
    <t>ул. Е.Ильиной, ул. Н. Иванова</t>
  </si>
  <si>
    <t>Намский район, МО "Салбанский наслег"</t>
  </si>
  <si>
    <t>с. Хонгор-Биэ</t>
  </si>
  <si>
    <t>7 ИЖД, 17 двор/терр.</t>
  </si>
  <si>
    <t>р. Амга</t>
  </si>
  <si>
    <t>Амгинский район, МО "Амгинский наслег"</t>
  </si>
  <si>
    <t>с. Амга</t>
  </si>
  <si>
    <t>44 дворовых территорий</t>
  </si>
  <si>
    <t>Амгинский район, МО "Чапчылганский наслег"</t>
  </si>
  <si>
    <t>с. Чапчылган</t>
  </si>
  <si>
    <t>33 дворовых территорий</t>
  </si>
  <si>
    <t>р. Наммара, р. Таатта</t>
  </si>
  <si>
    <t>Таттинский район, МО "Таттинский наслег"</t>
  </si>
  <si>
    <t>с. Ытык-Кюель</t>
  </si>
  <si>
    <t>11 дворовых территорий</t>
  </si>
  <si>
    <t>ул. Нутчина , ул. Ойунского</t>
  </si>
  <si>
    <t>Таттинский район, МО "Жулейский наслег"</t>
  </si>
  <si>
    <t>с. Туора-Кюель</t>
  </si>
  <si>
    <t>р. Амга, р. Суола</t>
  </si>
  <si>
    <t>Амгинский район МО "Мяндигинский наслег"</t>
  </si>
  <si>
    <t>р. Чагдинка</t>
  </si>
  <si>
    <t>Кобяйский район, МО "Нижилинский наслег"</t>
  </si>
  <si>
    <t>22 ИЖД</t>
  </si>
  <si>
    <t>ул. Центральная д.5, 8, 10</t>
  </si>
  <si>
    <t>р. Синнегес</t>
  </si>
  <si>
    <t>Кобяйский район, МО "Ситтинский наслег"</t>
  </si>
  <si>
    <t>1 ИЖД, 56 двор/терр.</t>
  </si>
  <si>
    <t>р. Лунгха</t>
  </si>
  <si>
    <t>Кобяйский район, МО "Куокуйский наслег"</t>
  </si>
  <si>
    <t>ул. Им.Г.Иванова д. 7, 8, 9, 11, 12, 13, 15</t>
  </si>
  <si>
    <t>Республика Саха (Якутия), м.р-н Кобяйский, с.п. Куокуйский наслег, с Аргас, ул им В.Иванова, д. 7</t>
  </si>
  <si>
    <t>Республика Саха (Якутия), м.р-н Кобяйский, с.п. Куокуйский наслег, с Аргас, ул им В.Иванова, д. 8</t>
  </si>
  <si>
    <t>Республика Саха (Якутия), м.р-н Кобяйский, с.п. Куокуйский наслег, с Аргас, ул им В.Иванова, д. 9</t>
  </si>
  <si>
    <t>Республика Саха (Якутия), м.р-н Кобяйский, с.п. Куокуйский наслег, с Аргас, ул им В.Иванова, д. 11</t>
  </si>
  <si>
    <t>Республика Саха (Якутия), м.р-н Кобяйский, с.п. Куокуйский наслег, с Аргас, ул им В.Иванова, д. 12</t>
  </si>
  <si>
    <t>Республика Саха (Якутия), м.р-н Кобяйский, с.п. Куокуйский наслег, с Аргас, ул им В.Иванова, д. 13</t>
  </si>
  <si>
    <t>Республика Саха (Якутия), м.р-н Кобяйский, с.п. Куокуйский наслег, с Аргас, ул им В.Иванова, д. 15</t>
  </si>
  <si>
    <t>Таттинский район, МО "Усть-Амгинский наслег"</t>
  </si>
  <si>
    <t>с. Чимнайи</t>
  </si>
  <si>
    <t>25 дворовых территорий</t>
  </si>
  <si>
    <t>Таттинский район, МО "Средне-Амгинский наслег"</t>
  </si>
  <si>
    <t>с. Харбалах</t>
  </si>
  <si>
    <t>Чурапчинский район, МО "Болтогинский  наслег"</t>
  </si>
  <si>
    <t>с. Харбала 2</t>
  </si>
  <si>
    <t>10 дворовых территорий</t>
  </si>
  <si>
    <t>Таттинский район, МО "Октябрьский наслег"</t>
  </si>
  <si>
    <t>4 ИЖС, 77 двор/терр.</t>
  </si>
  <si>
    <t>Таттинский район, МО "Жохсогонский наслег"</t>
  </si>
  <si>
    <t>1 ИЖД, 3 двор/терр.</t>
  </si>
  <si>
    <t>Анабарский район, МО "Саскылахский национальный наслег"</t>
  </si>
  <si>
    <t>с.  Саскылах</t>
  </si>
  <si>
    <t>1 ИЖД, 5 МКД, 11 двор/терр.</t>
  </si>
  <si>
    <t>1 ИЖД, 6 двор/терр</t>
  </si>
  <si>
    <t>р. Индигирка, р. Куйдусун</t>
  </si>
  <si>
    <t>Оймяконский район, МО "Борогонский 2 наслег"</t>
  </si>
  <si>
    <t>с. Томтор (Куйдусун)</t>
  </si>
  <si>
    <t>18 дворовых территорий</t>
  </si>
  <si>
    <t xml:space="preserve">с. Оймякон </t>
  </si>
  <si>
    <t>1 дом 4х квартирный, 4 двор/терр</t>
  </si>
  <si>
    <t>ул. Лесная</t>
  </si>
  <si>
    <t>1 дом 4х квартирный, 10 двор/терр.</t>
  </si>
  <si>
    <t>Горный район, СП "Шологонский наслег"</t>
  </si>
  <si>
    <t>1 -2х квартирный дом, 13 двор/терр.</t>
  </si>
  <si>
    <t>Кобяйский район, СП "Нижилинский наслег"</t>
  </si>
  <si>
    <t xml:space="preserve">с. Чагда </t>
  </si>
  <si>
    <t>8 ИЖД</t>
  </si>
  <si>
    <t>30 ИЖД, 25 двор/терр</t>
  </si>
  <si>
    <t>ГО "г. Якутск"</t>
  </si>
  <si>
    <t>мкр. Даркылах</t>
  </si>
  <si>
    <t>25 ИЖД, 5 двор/терр.</t>
  </si>
  <si>
    <t>8 ИЖД, 4 двор/терр.</t>
  </si>
  <si>
    <t>мкр. Кангалассы</t>
  </si>
  <si>
    <t>4 ИЖД, 8 двор/терр.</t>
  </si>
  <si>
    <t>Намский район СП "Едейский наслег"</t>
  </si>
  <si>
    <t>32 ИЖД, 3 МКД, 70 двор/терр.</t>
  </si>
  <si>
    <t>Намский район, СП "Хамагаттинский наслег"</t>
  </si>
  <si>
    <t>7 ИЖД, 33 двор/терр.</t>
  </si>
  <si>
    <t>Намский район, СП "Партизанский наслег"</t>
  </si>
  <si>
    <t>5 ИЖД, 35 двор/терр.</t>
  </si>
  <si>
    <t>Намский район, СП "Хатын-Арынский наслег"</t>
  </si>
  <si>
    <t>2 ИЖД, 3 двор/терр.</t>
  </si>
  <si>
    <t>15 ИЖД, 2 МКД, 2 двор/терр.</t>
  </si>
  <si>
    <t>Намский район, СП "Хомустахский 2-й наслег"</t>
  </si>
  <si>
    <t>19 ИЖД, 36 двор/терр.</t>
  </si>
  <si>
    <t>Намский район, СП "Бетюнский наслег"</t>
  </si>
  <si>
    <t>6 ИЖД</t>
  </si>
  <si>
    <t>Намский район, СП "Модутский наслег"</t>
  </si>
  <si>
    <t>5 ИЖД, 12 двор/терр.</t>
  </si>
  <si>
    <t>Усть-Алданский район,  СП "Суоттунский наслег"</t>
  </si>
  <si>
    <t>20 дворовых территорий</t>
  </si>
  <si>
    <t xml:space="preserve">Усть-Алданский район, СП "Суоттунский наслег" </t>
  </si>
  <si>
    <t>3 дворовые территории</t>
  </si>
  <si>
    <t>Намский район, СП "Арбынский наслег"</t>
  </si>
  <si>
    <t>2 ИЖД, 24 двор/терр</t>
  </si>
  <si>
    <t>р. Суланячан</t>
  </si>
  <si>
    <t>Кобяйский район, СП "Ламыхинский эвенский национальный наслег"</t>
  </si>
  <si>
    <t>с. Себян-Кюель</t>
  </si>
  <si>
    <t>22 ИЖД, 11 двухквартирных, 2 трехквартирных, 9 четырехквартирных</t>
  </si>
  <si>
    <t>ул. Ламутского, ул. Школьная, ул. Бургавли</t>
  </si>
  <si>
    <t>р. Яна, р. Адыча</t>
  </si>
  <si>
    <t>Верхоянский район, СП "Адычинский наслег"</t>
  </si>
  <si>
    <t>с. Бетенкес</t>
  </si>
  <si>
    <t>39 ИЖД, 166 двор/терр.</t>
  </si>
  <si>
    <t>р. Яна, р. Дулгалаах</t>
  </si>
  <si>
    <t>Верхоянский район, СП "Дулгалахский наслег"</t>
  </si>
  <si>
    <t>56 ИЖД, 95 двор/терр.</t>
  </si>
  <si>
    <t>р. Яна, р. Борулах</t>
  </si>
  <si>
    <t>Верхоянский район, СП "Борулахский наслег"</t>
  </si>
  <si>
    <t>с. Токума</t>
  </si>
  <si>
    <t>3 ИЖД, 26 двор/терр.</t>
  </si>
  <si>
    <t>р. Яна</t>
  </si>
  <si>
    <t>Верхоянский район, СП "Бабушкинский наслег"</t>
  </si>
  <si>
    <t>с. Боронук</t>
  </si>
  <si>
    <t>58 ИЖД, 7 МКД, 69 двор/терр.</t>
  </si>
  <si>
    <t>Верхоянский район</t>
  </si>
  <si>
    <t>г. Верхоянск</t>
  </si>
  <si>
    <t>158 ИЖД, 210 двор/терр.</t>
  </si>
  <si>
    <t>Верхоянский район, СП "Эльгесское поселение"</t>
  </si>
  <si>
    <t>с. Хайысардах</t>
  </si>
  <si>
    <t>9 дворовых территорий</t>
  </si>
  <si>
    <t>6 ИЖД, 9 двор/терр.</t>
  </si>
  <si>
    <t>Верхоянский район, СП "Суордахский наслег"</t>
  </si>
  <si>
    <t>с. Суордах</t>
  </si>
  <si>
    <t>87 ИЖД, 98 двор/терр.</t>
  </si>
  <si>
    <t>Верхоянский район, СП "Сартанский наслег"</t>
  </si>
  <si>
    <t>с.Юнкюр</t>
  </si>
  <si>
    <t xml:space="preserve">р. Яна </t>
  </si>
  <si>
    <t>с. Сысы-Мейитэ</t>
  </si>
  <si>
    <t>2 ИЖД, 1 двор/терр.</t>
  </si>
  <si>
    <t>Таттинский район, СП "Усть-Амгинский наслег"</t>
  </si>
  <si>
    <t>Таттинский район, СП "Средне-Амгинское поселение"</t>
  </si>
  <si>
    <t>Намский район, МО "Арбынский наслег"</t>
  </si>
  <si>
    <t>с. Арбын (Сыгыннах)</t>
  </si>
  <si>
    <t>2 ИЖД, 5 двор/терр.</t>
  </si>
  <si>
    <t>р. Борулах</t>
  </si>
  <si>
    <t>Верхоянский район, МО "Борулахский наслег"</t>
  </si>
  <si>
    <t>1 ИЖД, 6 дворовых территорий</t>
  </si>
  <si>
    <t>Момский район, МО "Индигирский национальный наслег"</t>
  </si>
  <si>
    <t>3 МКД</t>
  </si>
  <si>
    <t>Нюрбинский район, МО "Город Нюрба"</t>
  </si>
  <si>
    <t>микрорайон Речники</t>
  </si>
  <si>
    <t>Мегино-Кангаласский район, МО "п. Нижний Бестях"</t>
  </si>
  <si>
    <t>ГО "Жатай"</t>
  </si>
  <si>
    <t>148 двор/терр.</t>
  </si>
  <si>
    <t>с. Табага</t>
  </si>
  <si>
    <t>48 дворовых территорий</t>
  </si>
  <si>
    <t>СОНТ "Планета"-47 дворовых, ул. Каландаришвили д. 119 - 1 дворовая терр.</t>
  </si>
  <si>
    <t>3 ИЖД</t>
  </si>
  <si>
    <t>1 ИЖД</t>
  </si>
  <si>
    <t>Намский район, МО "Хомустахский 2- наслег"</t>
  </si>
  <si>
    <t>Намский район, МО "Партизанский наслег"</t>
  </si>
  <si>
    <t>р. Березовка</t>
  </si>
  <si>
    <t>Среднеколымский район МО "Березовский национальный (кочевой) наслег"</t>
  </si>
  <si>
    <t>с. Березовка</t>
  </si>
  <si>
    <t>2-х квартирный дом, 1 двор/терр.</t>
  </si>
  <si>
    <t>Среднеколымский район, МО "Город Среднеколымск"</t>
  </si>
  <si>
    <t>12 дворовых территорий</t>
  </si>
  <si>
    <t>Момский район, МО "Соболохский национальный наслег"</t>
  </si>
  <si>
    <t>*формат адреса: индекс, регион, город, улица, дом, корпус, строение, квартира</t>
  </si>
  <si>
    <t>Период</t>
  </si>
  <si>
    <t>Год затопления</t>
  </si>
  <si>
    <t>не н.п.</t>
  </si>
  <si>
    <t>Летне-осенние</t>
  </si>
  <si>
    <t>Перечень населённых пунктов на территории Республики Саха (Якутия), подверженных затоплению вследствие гидрологических и гидродинамических явлений и процессов</t>
  </si>
  <si>
    <t>Дата</t>
  </si>
  <si>
    <t>Район, городской округ</t>
  </si>
  <si>
    <r>
      <t xml:space="preserve">Водный объект </t>
    </r>
    <r>
      <rPr>
        <b/>
        <sz val="11"/>
        <rFont val="Calibri"/>
        <family val="2"/>
        <charset val="204"/>
        <scheme val="minor"/>
      </rPr>
      <t xml:space="preserve">
</t>
    </r>
  </si>
  <si>
    <t>Критический уровень, при котором происходит затопление (подтопление), см</t>
  </si>
  <si>
    <r>
      <t>Количество населения в зоне возможного затопления,</t>
    </r>
    <r>
      <rPr>
        <b/>
        <sz val="11"/>
        <rFont val="Calibri"/>
        <family val="2"/>
        <charset val="204"/>
        <scheme val="minor"/>
      </rPr>
      <t xml:space="preserve">
</t>
    </r>
    <r>
      <rPr>
        <b/>
        <sz val="12"/>
        <rFont val="Calibri"/>
        <family val="2"/>
        <charset val="204"/>
        <scheme val="minor"/>
      </rPr>
      <t>чел.</t>
    </r>
  </si>
  <si>
    <t>Объекты затопления</t>
  </si>
  <si>
    <t>Жилые здания</t>
  </si>
  <si>
    <t>Социально значимые  объекты</t>
  </si>
  <si>
    <t>Объекты экономики</t>
  </si>
  <si>
    <t>Объекты  жизнеобеспечения</t>
  </si>
  <si>
    <t xml:space="preserve">Примечание </t>
  </si>
  <si>
    <t>Реестр поврежденных дорог по причине паводка (муниципальная, региональная, федеральная)</t>
  </si>
  <si>
    <r>
      <rPr>
        <sz val="12"/>
        <rFont val="PT Astra Serif"/>
      </rPr>
      <t>№</t>
    </r>
  </si>
  <si>
    <r>
      <rPr>
        <sz val="12"/>
        <rFont val="PT Astra Serif"/>
      </rPr>
      <t>Дата (дд.мм.гггг)</t>
    </r>
  </si>
  <si>
    <r>
      <rPr>
        <sz val="12"/>
        <color rgb="FF000000"/>
        <rFont val="PT Astra Serif"/>
      </rPr>
      <t>Наименование населенного пункта</t>
    </r>
  </si>
  <si>
    <r>
      <rPr>
        <sz val="12"/>
        <rFont val="PT Astra Serif"/>
      </rPr>
      <t>Наименование дороги</t>
    </r>
  </si>
  <si>
    <r>
      <t xml:space="preserve">Тип дороги </t>
    </r>
    <r>
      <rPr>
        <sz val="12"/>
        <rFont val="PT Astra Serif"/>
      </rPr>
      <t>(муниципальная, региональная, федеральная)</t>
    </r>
  </si>
  <si>
    <r>
      <rPr>
        <sz val="12"/>
        <rFont val="PT Astra Serif"/>
      </rPr>
      <t>Протяженность повреждения, км</t>
    </r>
  </si>
  <si>
    <t>Уровень воды (значение относительно уровня рейки), см</t>
  </si>
  <si>
    <t xml:space="preserve">Данные по инфраструктуре ГТС, дамбам и водохранилищам </t>
  </si>
  <si>
    <t xml:space="preserve">Дата </t>
  </si>
  <si>
    <t>Тип ГТС (муниципальный, федеральный)</t>
  </si>
  <si>
    <t>Расположение на реках</t>
  </si>
  <si>
    <t>Населенные пункты</t>
  </si>
  <si>
    <t>Местоположение гидротехнического сооружения</t>
  </si>
  <si>
    <t>Длина, м</t>
  </si>
  <si>
    <t xml:space="preserve">Ширина,м </t>
  </si>
  <si>
    <t xml:space="preserve">Высота, м </t>
  </si>
  <si>
    <t xml:space="preserve">Объем водохранилища, млн.м3 </t>
  </si>
  <si>
    <t>Ширина порога, м</t>
  </si>
  <si>
    <t xml:space="preserve">Площадь сооружения, м2 </t>
  </si>
  <si>
    <t xml:space="preserve">Ширина порога,м </t>
  </si>
  <si>
    <t>Расход, м3/сек.</t>
  </si>
  <si>
    <t>Нормальный подпорный уровень, НПУ, кв. м.</t>
  </si>
  <si>
    <t>Укрепление, защита</t>
  </si>
  <si>
    <t>Отметка порога</t>
  </si>
  <si>
    <t xml:space="preserve">Максимальная пропускная способность, куб.м\сек. </t>
  </si>
  <si>
    <t xml:space="preserve">Тип водосбросного сооружения </t>
  </si>
  <si>
    <t>Средняя глубина, м</t>
  </si>
  <si>
    <r>
      <t xml:space="preserve">*Исполнительная дирекция по паводку, </t>
    </r>
    <r>
      <rPr>
        <sz val="12"/>
        <rFont val="PT Astra Sans"/>
      </rPr>
      <t>Упрмелиоводхоз</t>
    </r>
  </si>
  <si>
    <t>Работы водохранилищ</t>
  </si>
  <si>
    <t>Наименование водохранилища м БС</t>
  </si>
  <si>
    <t>УМО</t>
  </si>
  <si>
    <t>НПУ</t>
  </si>
  <si>
    <t>Уровень верхнего бьефа</t>
  </si>
  <si>
    <t xml:space="preserve">Приток воды </t>
  </si>
  <si>
    <t xml:space="preserve">Сброс </t>
  </si>
  <si>
    <t>Полезный объем</t>
  </si>
  <si>
    <t>на 8.00 отчетного дня, м БС</t>
  </si>
  <si>
    <t>Изменения за сутки, см</t>
  </si>
  <si>
    <t>Боковой м3/с</t>
  </si>
  <si>
    <t>Общий м3/с</t>
  </si>
  <si>
    <t xml:space="preserve">Всего, м3/с </t>
  </si>
  <si>
    <t>Холостой, м3/с</t>
  </si>
  <si>
    <r>
      <rPr>
        <sz val="12"/>
        <rFont val="PT Astra Serif"/>
      </rPr>
      <t>Полезный объем, млн.м3</t>
    </r>
  </si>
  <si>
    <t xml:space="preserve">Фактический </t>
  </si>
  <si>
    <t>на 8:00 отчетного дня</t>
  </si>
  <si>
    <t xml:space="preserve">На эту же дату прошлого года </t>
  </si>
  <si>
    <t>млн.м3</t>
  </si>
  <si>
    <t>%</t>
  </si>
  <si>
    <t>* Данные ЛБВУ</t>
  </si>
  <si>
    <r>
      <rPr>
        <b/>
        <sz val="12"/>
        <rFont val="PT Astra Serif"/>
      </rPr>
      <t>Оперативные данные по регулированию уровня водохранилища, ГТС</t>
    </r>
  </si>
  <si>
    <r>
      <rPr>
        <sz val="12"/>
        <rFont val="PT Astra Serif"/>
      </rPr>
      <t xml:space="preserve">Дата </t>
    </r>
  </si>
  <si>
    <r>
      <rPr>
        <sz val="12"/>
        <rFont val="PT Astra Serif"/>
      </rPr>
      <t xml:space="preserve">Время </t>
    </r>
  </si>
  <si>
    <r>
      <rPr>
        <sz val="12"/>
        <color theme="1"/>
        <rFont val="PT Astra Serif"/>
      </rPr>
      <t>Наименование объекта</t>
    </r>
  </si>
  <si>
    <r>
      <rPr>
        <sz val="12"/>
        <color theme="1"/>
        <rFont val="PT Astra Serif"/>
      </rPr>
      <t>Месторасположение объекта</t>
    </r>
  </si>
  <si>
    <r>
      <rPr>
        <sz val="12"/>
        <color theme="1"/>
        <rFont val="PT Astra Serif"/>
      </rPr>
      <t>Регулирование стока</t>
    </r>
  </si>
  <si>
    <r>
      <rPr>
        <sz val="12"/>
        <color theme="1"/>
        <rFont val="PT Astra Serif"/>
      </rPr>
      <t xml:space="preserve">Гидротехнические сооружения </t>
    </r>
  </si>
  <si>
    <r>
      <rPr>
        <sz val="12"/>
        <color theme="1"/>
        <rFont val="PT Astra Serif"/>
      </rPr>
      <t>Системы лиманного орошения (га)</t>
    </r>
  </si>
  <si>
    <r>
      <rPr>
        <sz val="12"/>
        <color theme="1"/>
        <rFont val="PT Astra Serif"/>
      </rPr>
      <t>Примечание</t>
    </r>
  </si>
  <si>
    <r>
      <rPr>
        <sz val="12"/>
        <color theme="1"/>
        <rFont val="PT Astra Serif"/>
      </rPr>
      <t>Отметка нормального подпорного уровня (м)</t>
    </r>
  </si>
  <si>
    <r>
      <rPr>
        <sz val="12"/>
        <color theme="1"/>
        <rFont val="PT Astra Serif"/>
      </rPr>
      <t>Объем водохранилища (млн. м3)</t>
    </r>
  </si>
  <si>
    <r>
      <rPr>
        <sz val="12"/>
        <color theme="1"/>
        <rFont val="PT Astra Serif"/>
      </rPr>
      <t>Проектная площадь затопления</t>
    </r>
  </si>
  <si>
    <r>
      <rPr>
        <sz val="12"/>
        <color theme="1"/>
        <rFont val="PT Astra Serif"/>
      </rPr>
      <t>Фактическая площадь затопления</t>
    </r>
  </si>
  <si>
    <r>
      <rPr>
        <sz val="12"/>
        <color theme="1"/>
        <rFont val="PT Astra Serif"/>
      </rPr>
      <t xml:space="preserve">Проектный </t>
    </r>
  </si>
  <si>
    <r>
      <rPr>
        <sz val="12"/>
        <color theme="1"/>
        <rFont val="PT Astra Serif"/>
      </rPr>
      <t>Фактический</t>
    </r>
  </si>
  <si>
    <r>
      <rPr>
        <sz val="12"/>
        <color theme="1"/>
        <rFont val="PT Astra Serif"/>
      </rPr>
      <t>Проектный</t>
    </r>
  </si>
  <si>
    <t>* Данные Минсельхоз, Упрмелиоводхоз</t>
  </si>
  <si>
    <t>59.65822343</t>
  </si>
  <si>
    <t>127.10953626</t>
  </si>
  <si>
    <t>59.63037606</t>
  </si>
  <si>
    <t>127.17408094</t>
  </si>
  <si>
    <t>60.85311468</t>
  </si>
  <si>
    <t>131.92317407</t>
  </si>
  <si>
    <t>60.86874549</t>
  </si>
  <si>
    <t>132.00883310</t>
  </si>
  <si>
    <t>о. Уорай (Невезения)</t>
  </si>
  <si>
    <t>60.90707963</t>
  </si>
  <si>
    <t>132.21671503</t>
  </si>
  <si>
    <t>61.00999419</t>
  </si>
  <si>
    <t>132.42828767</t>
  </si>
  <si>
    <t>61.21052784</t>
  </si>
  <si>
    <t>132.60715883</t>
  </si>
  <si>
    <t>61.66781163</t>
  </si>
  <si>
    <t>133.26530855</t>
  </si>
  <si>
    <t>61.70851855</t>
  </si>
  <si>
    <t>133.39233797</t>
  </si>
  <si>
    <t>61.86336351</t>
  </si>
  <si>
    <t>133.67489259</t>
  </si>
  <si>
    <t>62.20163795</t>
  </si>
  <si>
    <t>134.68666475</t>
  </si>
  <si>
    <t>60.79993778</t>
  </si>
  <si>
    <t>114.43259638</t>
  </si>
  <si>
    <t>60.82555406</t>
  </si>
  <si>
    <t>114.51568048</t>
  </si>
  <si>
    <t>60.82295988</t>
  </si>
  <si>
    <t>114.54091470</t>
  </si>
  <si>
    <t>60.81977963</t>
  </si>
  <si>
    <t>114.55928247</t>
  </si>
  <si>
    <t>в районе летника Киэнг-Юрях</t>
  </si>
  <si>
    <t>в районе МТФ «Захаровка»</t>
  </si>
  <si>
    <t xml:space="preserve">ниже участка №2 </t>
  </si>
  <si>
    <t>ниже участка №3</t>
  </si>
  <si>
    <t>59.07944229</t>
  </si>
  <si>
    <t>119.75873392</t>
  </si>
  <si>
    <t>в 5,5 км от устья р. Тяня</t>
  </si>
  <si>
    <t>ФИЛИАЛ "ЛЕНАРЕГИОНВОДХОЗ"</t>
  </si>
  <si>
    <t>от устья р. Большая Ламга</t>
  </si>
  <si>
    <t>выше о. Батамайский</t>
  </si>
  <si>
    <t>60.74369434</t>
  </si>
  <si>
    <t>115.47492426</t>
  </si>
  <si>
    <t>60.74335876</t>
  </si>
  <si>
    <t>115.55217188</t>
  </si>
  <si>
    <t>60.73211489</t>
  </si>
  <si>
    <t>115.62495630</t>
  </si>
  <si>
    <t>у о. Батамайский</t>
  </si>
  <si>
    <t>60.39415055</t>
  </si>
  <si>
    <t>116.90246027</t>
  </si>
  <si>
    <t>по правой протоке о. Харыялах</t>
  </si>
  <si>
    <t>60.20772444</t>
  </si>
  <si>
    <t>119.73212640</t>
  </si>
  <si>
    <t>60.19492827</t>
  </si>
  <si>
    <t>119.96592920</t>
  </si>
  <si>
    <t xml:space="preserve">ниже г. Олекминск </t>
  </si>
  <si>
    <t>у о. Тинский</t>
  </si>
  <si>
    <t>у н.п. Кыллах</t>
  </si>
  <si>
    <t>60.37209353</t>
  </si>
  <si>
    <t>120.53155344</t>
  </si>
  <si>
    <t>60.38108781</t>
  </si>
  <si>
    <t>120.67351740</t>
  </si>
  <si>
    <t>на устье реки Олекма</t>
  </si>
  <si>
    <t>60.39016443</t>
  </si>
  <si>
    <t>120.68261545</t>
  </si>
  <si>
    <t>60.37022648</t>
  </si>
  <si>
    <t>120.67798059</t>
  </si>
  <si>
    <t>61.78794563</t>
  </si>
  <si>
    <t>129.68505304</t>
  </si>
  <si>
    <t>Табагинский мыс</t>
  </si>
  <si>
    <t>Распиловка</t>
  </si>
  <si>
    <t>62.24735545</t>
  </si>
  <si>
    <t>129.99061029</t>
  </si>
  <si>
    <t>62.29527834</t>
  </si>
  <si>
    <t>130.07369440</t>
  </si>
  <si>
    <t>62.34439989</t>
  </si>
  <si>
    <t>130.05515497</t>
  </si>
  <si>
    <t>62.36128680</t>
  </si>
  <si>
    <t>130.03730219</t>
  </si>
  <si>
    <t>Кангаласский мыс</t>
  </si>
  <si>
    <t>у о. Нучча-Арыта</t>
  </si>
  <si>
    <t>62.42889837</t>
  </si>
  <si>
    <t>129.98889368</t>
  </si>
  <si>
    <t>62.46145649</t>
  </si>
  <si>
    <t>129.98958032</t>
  </si>
  <si>
    <t>62.47954664</t>
  </si>
  <si>
    <t>129.99816339</t>
  </si>
  <si>
    <t>62.52567448</t>
  </si>
  <si>
    <t>130.00811975</t>
  </si>
  <si>
    <t>у Буденновской протоки</t>
  </si>
  <si>
    <t>ниже о. Делюсюннях</t>
  </si>
  <si>
    <t>у о. Делюсюннях</t>
  </si>
  <si>
    <t>у о. Ат-Арыыта</t>
  </si>
  <si>
    <t>62.56271524</t>
  </si>
  <si>
    <t>129.89379327</t>
  </si>
  <si>
    <t>62.58216690</t>
  </si>
  <si>
    <t>129.83645837</t>
  </si>
  <si>
    <t>у о. Куолай(х)</t>
  </si>
  <si>
    <t>62.61376847</t>
  </si>
  <si>
    <t>129.83611505</t>
  </si>
  <si>
    <t>62.62671540</t>
  </si>
  <si>
    <t>129.85156458</t>
  </si>
  <si>
    <t>62.64943780</t>
  </si>
  <si>
    <t>129.86289423</t>
  </si>
  <si>
    <t>у о. Эселях-Ары</t>
  </si>
  <si>
    <t>62.68931764</t>
  </si>
  <si>
    <t>129.83405512</t>
  </si>
  <si>
    <t>у о. Ойо5ос-Ары</t>
  </si>
  <si>
    <t>62.73244712</t>
  </si>
  <si>
    <t>129.77912347</t>
  </si>
  <si>
    <t>у Песчаной Горы</t>
  </si>
  <si>
    <t>62.84837614</t>
  </si>
  <si>
    <t>129.76225104</t>
  </si>
  <si>
    <t>62.90222267</t>
  </si>
  <si>
    <t>129.77117743</t>
  </si>
  <si>
    <t>у о. Ханаластаах</t>
  </si>
  <si>
    <t>63.95240521</t>
  </si>
  <si>
    <t>127.41498813</t>
  </si>
  <si>
    <t>63.88523702</t>
  </si>
  <si>
    <t>127.51077518</t>
  </si>
  <si>
    <t>у пгт. Сангар</t>
  </si>
  <si>
    <t>63.98796176</t>
  </si>
  <si>
    <t>127.30237827</t>
  </si>
  <si>
    <t>у о. Улахан-Кубалах</t>
  </si>
  <si>
    <t>64.14306611</t>
  </si>
  <si>
    <t>126.94944247</t>
  </si>
  <si>
    <t>64.11310360</t>
  </si>
  <si>
    <t>126.97759494</t>
  </si>
  <si>
    <t>у о. Кочуй</t>
  </si>
  <si>
    <t>у переката Киси-Беляга</t>
  </si>
  <si>
    <t>65.75808513</t>
  </si>
  <si>
    <t>150.88453159</t>
  </si>
  <si>
    <t>выше о. Чукочаннах</t>
  </si>
  <si>
    <t>у о. Юнсюлях</t>
  </si>
  <si>
    <t>65.79485076</t>
  </si>
  <si>
    <t>150.86393222</t>
  </si>
  <si>
    <t>65.73033536</t>
  </si>
  <si>
    <t>150.84513530</t>
  </si>
  <si>
    <t>65.73061760</t>
  </si>
  <si>
    <t>150.88169917</t>
  </si>
  <si>
    <t>у п. Верхнеколымск</t>
  </si>
  <si>
    <t xml:space="preserve">начиная с участка «2 км» </t>
  </si>
  <si>
    <t>у г. Среднеколымск</t>
  </si>
  <si>
    <t>67.45425604</t>
  </si>
  <si>
    <t>153.73196468</t>
  </si>
  <si>
    <t>на местн. Лобуя</t>
  </si>
  <si>
    <t>67.49778804</t>
  </si>
  <si>
    <t>154.00696620</t>
  </si>
  <si>
    <t>67.47254656</t>
  </si>
  <si>
    <t>153.95924434</t>
  </si>
  <si>
    <t>у о. Заборцевский</t>
  </si>
  <si>
    <t>у о. Середниковский</t>
  </si>
  <si>
    <t>67.58998000</t>
  </si>
  <si>
    <t>154.99092921</t>
  </si>
  <si>
    <t>67.53769888</t>
  </si>
  <si>
    <t>154.18858394</t>
  </si>
  <si>
    <t>Причина затопления</t>
  </si>
  <si>
    <t>Бёрёлёх</t>
  </si>
  <si>
    <t>упразднен</t>
  </si>
  <si>
    <t>-</t>
  </si>
  <si>
    <t>запрет выделения з/у</t>
  </si>
  <si>
    <t>970*</t>
  </si>
  <si>
    <t xml:space="preserve">строительство защитного сооружения, 
запрет на выделение з/у </t>
  </si>
  <si>
    <t>дамба</t>
  </si>
  <si>
    <t>фактически проживающих</t>
  </si>
  <si>
    <t>106 </t>
  </si>
  <si>
    <t>данный нп ранее был выведен из зоны затопления</t>
  </si>
  <si>
    <t>решение о переносе населенного пункта</t>
  </si>
  <si>
    <t>перенесены с низких участков</t>
  </si>
  <si>
    <t>вывод земель под ИЖС</t>
  </si>
  <si>
    <t>берего-укрепление</t>
  </si>
  <si>
    <t xml:space="preserve">В зону подтопления попадают земли сельскохозяйственного назначения </t>
  </si>
  <si>
    <t>дамба с. Капитоновка, под мостом</t>
  </si>
  <si>
    <t>В селе не проживают. Перенос села в 5 км.</t>
  </si>
  <si>
    <t>в 2020 г. из-за аварии на шлюз-регуляторе возникла угроза затопления, произведена очистка русла реки Хаар Балаган ниже по течению от с.Ерт  протяженностью 6 км</t>
  </si>
  <si>
    <t>оз. Табага</t>
  </si>
  <si>
    <t>оз. Кутэр</t>
  </si>
  <si>
    <t>Солообут</t>
  </si>
  <si>
    <t>Тиэрэ</t>
  </si>
  <si>
    <t xml:space="preserve">Ытар5алаах </t>
  </si>
  <si>
    <t>Татта (оз. Хамньыкы)</t>
  </si>
  <si>
    <t>Татта</t>
  </si>
  <si>
    <t>Суланячан</t>
  </si>
  <si>
    <t>Улахан-Саккырыр</t>
  </si>
  <si>
    <t>включен для организации мероприятий по инструментальному обследованию в целях установления границ зон затопления</t>
  </si>
  <si>
    <t>строительство защитного сооружения, запрет на выделение з/у.</t>
  </si>
  <si>
    <t>Хаар Балаган</t>
  </si>
  <si>
    <t>Колымская ГЭС</t>
  </si>
  <si>
    <t>Каскад Вилюйских ГЭС</t>
  </si>
  <si>
    <t xml:space="preserve">1. Риск весеннего половодья </t>
  </si>
  <si>
    <t>2. Населенные пункты подтопленные в первый раз и с угрозой подтопления</t>
  </si>
  <si>
    <t>3. Риск наводнений формируемых интенсивными дождями и таянием снега в горах</t>
  </si>
  <si>
    <t>4. Риск затопления (подтопления) формируемые другими гидрологическими явлениями</t>
  </si>
  <si>
    <t>5. Риски катастрофического затопления вследствие аварии на ГТС</t>
  </si>
  <si>
    <t xml:space="preserve"> 6. Риски при прорыве ГТС, работающих под гидродинамической нагрузкой</t>
  </si>
  <si>
    <t>ГТС с/х назначения «Сирэ-Холлогос»</t>
  </si>
  <si>
    <t>ГТС с/х назначения «Куогалы»</t>
  </si>
  <si>
    <t>ГТС с/х назначения «Маганский тракт, 7 км»</t>
  </si>
  <si>
    <t>ГТС с/х назначения «Матта»</t>
  </si>
  <si>
    <t>ГТС г.Ленск</t>
  </si>
  <si>
    <t>ГТС г. Олекминск</t>
  </si>
  <si>
    <t>ГТС</t>
  </si>
  <si>
    <t>уровень водохранилища регулируется, при угрозе
прорыва проводятся превентивные мероприятия</t>
  </si>
  <si>
    <t>строится новый лагерь</t>
  </si>
  <si>
    <t>ТП ВЛ-0,4кВт</t>
  </si>
  <si>
    <t>ТП АВМ ВЛ-0,4кВт, котельная</t>
  </si>
  <si>
    <t>ТП 143 ВЛ-0,4кВт</t>
  </si>
  <si>
    <t>Накопитель аэропорта</t>
  </si>
  <si>
    <t>ул.Авиаторов, ул.Авиапортовская, Взлетно-посадочная полоса</t>
  </si>
  <si>
    <t>ДЭС АО «Сахаэнерго»</t>
  </si>
  <si>
    <t>МБДОУ «Тугутчаан»</t>
  </si>
  <si>
    <t>МБУ ЭКЦ «Чолбондор», КВА</t>
  </si>
  <si>
    <t>Нефтебаза ГУП «ЖКХ РС(Я)»,котельная «Центральная», котельная «Тундровая»</t>
  </si>
  <si>
    <t>больница, ферма СПХ, контора ГУП ЖКХ, объекты обслуж. компании ООО Энергопром, д/с № 1 гл. корпус, метеостанция</t>
  </si>
  <si>
    <t>котельная САП, котельная Квартальная, котельная Авиапорт</t>
  </si>
  <si>
    <t>МОБУ «ЗСОШ»</t>
  </si>
  <si>
    <t>ВПП аэропорта Зырянка ФКП «Аэропорты Севера», нефтебаза АО "СНГС"</t>
  </si>
  <si>
    <t>кот. № 2, кот. № 3</t>
  </si>
  <si>
    <t>д/с, ФАП, СЦК</t>
  </si>
  <si>
    <t>мост</t>
  </si>
  <si>
    <t>д/с МБДОУ «Кэчээри» ул.Вилюйская д.3</t>
  </si>
  <si>
    <t>нефтесклад «Вилюйск» Нюрибнского филиала АО Саханефтегазсбыт</t>
  </si>
  <si>
    <t>котельная ВФ ГУП «ЖКХ РС(Я)» ул.Вилюйская д.1А</t>
  </si>
  <si>
    <t>ФАП, СДК, школа-сад</t>
  </si>
  <si>
    <t>д/с, ФАП, ДК</t>
  </si>
  <si>
    <t>д/с</t>
  </si>
  <si>
    <t>дорога в аэропорт  «Сангар»</t>
  </si>
  <si>
    <t>библиотека, музей</t>
  </si>
  <si>
    <t>дом культуры</t>
  </si>
  <si>
    <t>территория ВРВПиС</t>
  </si>
  <si>
    <t>здание аэропорта АК «Аэропорты Севера»</t>
  </si>
  <si>
    <t>котельная «Аэропорт»</t>
  </si>
  <si>
    <t>школа-интернат, отделение связи, администрация,  д/сад и др</t>
  </si>
  <si>
    <t>администрация, СОШ, д/с, врачебная амбулатория, маслоцех, ветеринарный участок, ДФ «Хомус», музей, баня, дом спорта, отделение связи, контора ЖКХ</t>
  </si>
  <si>
    <t>школа-интернат, д/спорта, администрация, ХВА</t>
  </si>
  <si>
    <t>котельные</t>
  </si>
  <si>
    <t>администрация, клуб, муз. школа, библиотека, мастерская</t>
  </si>
  <si>
    <t>участок автодороги</t>
  </si>
  <si>
    <t>СОШ, интернат, 2 д/с, ДК, музыкальная школа, администрация</t>
  </si>
  <si>
    <t>2 д/с, ЗООШ, клуб, техникум</t>
  </si>
  <si>
    <t>МФЦ, ФАП</t>
  </si>
  <si>
    <t>ФАП, СОШ, д/с, АКЦ</t>
  </si>
  <si>
    <t>ФАП, СОШ, д/с, Центр культуры, администрация</t>
  </si>
  <si>
    <t>д/с, СОШ, СДК, КУБ, Администрация, почта</t>
  </si>
  <si>
    <t>котельная, АГРС, ТП, ГРП</t>
  </si>
  <si>
    <t>администрация, дет. сад, метеоплощадка, вышка Ростелеком</t>
  </si>
  <si>
    <t>котельная</t>
  </si>
  <si>
    <t>участок республиканской автодороги «Умнас»</t>
  </si>
  <si>
    <t>котельная клуба</t>
  </si>
  <si>
    <t>1 клуб, 1 молокоприемный пункт</t>
  </si>
  <si>
    <t>д/с,  КДЦ, администрация</t>
  </si>
  <si>
    <t>СОШ</t>
  </si>
  <si>
    <t>Харбалахский угольный разрез, участок  автодороги</t>
  </si>
  <si>
    <t>2 ГУП «ЖКХ РС(Я)», 9 ТП</t>
  </si>
  <si>
    <t>котельная уч. Кескил ТФ ГУП «ЖКХ РС (Я)», 2 ТП</t>
  </si>
  <si>
    <t>водозабор, ТП</t>
  </si>
  <si>
    <t>д/с, СОШ, администрация, КЦ, почта, ФАП</t>
  </si>
  <si>
    <t>СКЦ</t>
  </si>
  <si>
    <t>СОШ, д/с, интернат СОШ, ФАП, КСК, администрация</t>
  </si>
  <si>
    <t>котельная, водозабор, ТП</t>
  </si>
  <si>
    <t>СОШ, д/с</t>
  </si>
  <si>
    <t>СОШ, д/с, больница, администрация</t>
  </si>
  <si>
    <t>участок автодороги, нефтебаза АО "СНГС"</t>
  </si>
  <si>
    <t>школа</t>
  </si>
  <si>
    <t>д/с, больница</t>
  </si>
  <si>
    <t>школы</t>
  </si>
  <si>
    <t>д/с, школа, ФАП, ДК, администрация</t>
  </si>
  <si>
    <t>склады с/х назначения</t>
  </si>
  <si>
    <t>школа, 2 гаража и здание администрации</t>
  </si>
  <si>
    <t>котельная, ДЭС</t>
  </si>
  <si>
    <t>ФАП, школа-сад, клуб</t>
  </si>
  <si>
    <t>берегоукреп-ление в 2018-2019 гг</t>
  </si>
  <si>
    <t>МПЧ</t>
  </si>
  <si>
    <t>водозабор</t>
  </si>
  <si>
    <t>ЦК "Айылгы"</t>
  </si>
  <si>
    <t>участков внутрепоселковых автодорог</t>
  </si>
  <si>
    <t>нефтебаза АО НК "Туймаада-Нефть") 
Пункт ожидания «Нижний-Бестях» АО ЖДЯ</t>
  </si>
  <si>
    <t>дамба «Улуннахская»</t>
  </si>
  <si>
    <t>дороги, участок газопровода через р. Лена в створе с. Хатассы - с. Павловск 
АО "СТНГ"</t>
  </si>
  <si>
    <t>СОШ, д/с, ФАП, ДК, почта, муз. школа</t>
  </si>
  <si>
    <t>нефтебаза АО "СНГС"</t>
  </si>
  <si>
    <t>ДЭС, 2 котельные</t>
  </si>
  <si>
    <t>МПЧ, администрация, магазин, пекарня, музей, детский сад, КСК им. М.К. Аммосова</t>
  </si>
  <si>
    <t>трансформаторы</t>
  </si>
  <si>
    <t>начальная школа, детский сад, фельдшерско-акушерский пункт, администрация, молокопункт</t>
  </si>
  <si>
    <t>детский сад, школа, котельная</t>
  </si>
  <si>
    <t>больница, ферма СПХ, контора ГУП ЖКХ, объекты обслуж. компании ООО «Энергопром», д/с № 1 гл. корпус, метеостанция</t>
  </si>
  <si>
    <t>мастерская школы, баня, спортзал, д/с, клуб, гараж ЖКХ, администрация, ФАП, молочный пункт</t>
  </si>
  <si>
    <t>гараж школы, мастерская школы, 2 д/с, ЦКиСиВА</t>
  </si>
  <si>
    <t>школа, администрация, детсад, клуб, ФАП</t>
  </si>
  <si>
    <t>котельная ПУ</t>
  </si>
  <si>
    <t>ДЭС</t>
  </si>
  <si>
    <t>врачебная амбулатория</t>
  </si>
  <si>
    <t>д/сад</t>
  </si>
  <si>
    <t>ВПП</t>
  </si>
  <si>
    <t>зимняя база, здание ГУП ТЦТР</t>
  </si>
  <si>
    <t>Ростелеком</t>
  </si>
  <si>
    <t>гимназия, д/сад</t>
  </si>
  <si>
    <t>школа, мастерская школы, детсад, клуб и ФАП</t>
  </si>
  <si>
    <t>СОШ, д/сад</t>
  </si>
  <si>
    <t>Филиал АО "СНГС", межпоселковые газопроводные сети СТНГ</t>
  </si>
  <si>
    <t>АО "ЯТЕК" энергия, Филиал АО "Саханефтегазсбыт", межпоселковые газопроводные сети СТНГ</t>
  </si>
  <si>
    <t>участок перехода газопровода через. р. Вилюй АО "ЯТЭК", нефтебаза АО "СНГС"</t>
  </si>
  <si>
    <t>промзона Средневилюй-ского ГКМ, Вилюйская РЭС, Магистральный газопровод Кысыл-Сыр-Вилюйск</t>
  </si>
  <si>
    <t>музей</t>
  </si>
  <si>
    <t>3 уч. автодорог, 8 мостов</t>
  </si>
  <si>
    <t>1 (котельная</t>
  </si>
  <si>
    <t>1 дорога, 5 ТП, 1 ГРС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</si>
</sst>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_р_."/>
    <numFmt numFmtId="166" formatCode="0.0"/>
  </numFmts>
  <fonts count="4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charset val="204"/>
      <scheme val="minor"/>
    </font>
    <font>
      <b/>
      <sz val="12"/>
      <color theme="1"/>
      <name val="Calibri"/>
      <family val="2"/>
      <charset val="204"/>
      <scheme val="minor"/>
    </font>
    <font>
      <sz val="11"/>
      <name val="Calibri"/>
      <family val="2"/>
      <charset val="204"/>
      <scheme val="minor"/>
    </font>
    <font>
      <b/>
      <sz val="11"/>
      <color rgb="FFFF0000"/>
      <name val="Calibri"/>
      <family val="2"/>
      <charset val="204"/>
      <scheme val="minor"/>
    </font>
    <font>
      <sz val="11"/>
      <color rgb="FF000000"/>
      <name val="Calibri"/>
      <family val="2"/>
      <charset val="204"/>
    </font>
    <font>
      <b/>
      <sz val="12"/>
      <name val="Calibri"/>
      <family val="2"/>
      <charset val="204"/>
      <scheme val="minor"/>
    </font>
    <font>
      <sz val="12"/>
      <name val="Calibri"/>
      <family val="2"/>
      <charset val="204"/>
      <scheme val="minor"/>
    </font>
    <font>
      <sz val="12"/>
      <color rgb="FF000000"/>
      <name val="Calibri"/>
      <family val="2"/>
      <charset val="204"/>
      <scheme val="minor"/>
    </font>
    <font>
      <sz val="10"/>
      <name val="Arial Cyr"/>
      <charset val="204"/>
    </font>
    <font>
      <b/>
      <sz val="10"/>
      <name val="Calibri"/>
      <family val="2"/>
      <charset val="204"/>
    </font>
    <font>
      <sz val="10"/>
      <name val="Calibri"/>
      <family val="2"/>
      <charset val="204"/>
    </font>
    <font>
      <sz val="10"/>
      <color theme="1"/>
      <name val="Calibri"/>
      <family val="2"/>
      <charset val="204"/>
    </font>
    <font>
      <sz val="10"/>
      <color indexed="10"/>
      <name val="Calibri"/>
      <family val="2"/>
      <charset val="204"/>
    </font>
    <font>
      <sz val="10"/>
      <color indexed="8"/>
      <name val="Calibri"/>
      <family val="2"/>
      <charset val="204"/>
    </font>
    <font>
      <sz val="10"/>
      <color indexed="53"/>
      <name val="Calibri"/>
      <family val="2"/>
      <charset val="204"/>
    </font>
    <font>
      <i/>
      <sz val="10"/>
      <name val="Calibri"/>
      <family val="2"/>
      <charset val="204"/>
    </font>
    <font>
      <b/>
      <sz val="11"/>
      <name val="Times New Roman"/>
      <family val="1"/>
      <charset val="204"/>
    </font>
    <font>
      <i/>
      <sz val="10"/>
      <color theme="1"/>
      <name val="Calibri"/>
      <family val="2"/>
      <charset val="204"/>
    </font>
    <font>
      <sz val="10"/>
      <color rgb="FF000000"/>
      <name val="Calibri"/>
      <family val="2"/>
      <charset val="204"/>
    </font>
    <font>
      <i/>
      <sz val="10"/>
      <color rgb="FF000000"/>
      <name val="Calibri"/>
      <family val="2"/>
      <charset val="204"/>
    </font>
    <font>
      <i/>
      <sz val="10"/>
      <color indexed="8"/>
      <name val="Calibri"/>
      <family val="2"/>
      <charset val="204"/>
    </font>
    <font>
      <vertAlign val="superscript"/>
      <sz val="10"/>
      <color theme="1"/>
      <name val="Calibri"/>
      <family val="2"/>
      <charset val="204"/>
    </font>
    <font>
      <sz val="11"/>
      <name val="Calibri"/>
      <family val="2"/>
      <charset val="204"/>
    </font>
    <font>
      <sz val="18"/>
      <color rgb="FFFF0000"/>
      <name val="Calibri"/>
      <family val="2"/>
      <charset val="204"/>
      <scheme val="minor"/>
    </font>
    <font>
      <b/>
      <sz val="20"/>
      <color rgb="FFFF0000"/>
      <name val="Calibri"/>
      <family val="2"/>
      <charset val="204"/>
      <scheme val="minor"/>
    </font>
    <font>
      <sz val="10"/>
      <name val="Calibri"/>
      <family val="2"/>
      <charset val="204"/>
      <scheme val="minor"/>
    </font>
    <font>
      <b/>
      <sz val="12"/>
      <color rgb="FF000000"/>
      <name val="Calibri"/>
      <family val="2"/>
      <charset val="204"/>
      <scheme val="minor"/>
    </font>
    <font>
      <b/>
      <sz val="12"/>
      <color rgb="FFFF0000"/>
      <name val="Calibri"/>
      <family val="2"/>
      <charset val="204"/>
      <scheme val="minor"/>
    </font>
    <font>
      <sz val="12"/>
      <name val="PT Astra Serif"/>
    </font>
    <font>
      <sz val="12"/>
      <color rgb="FF1F1F1F"/>
      <name val="Calibri"/>
      <family val="2"/>
      <charset val="204"/>
      <scheme val="minor"/>
    </font>
    <font>
      <sz val="12"/>
      <name val="PT Astra Sans"/>
    </font>
    <font>
      <b/>
      <sz val="11"/>
      <name val="Calibri"/>
      <family val="2"/>
      <charset val="204"/>
      <scheme val="minor"/>
    </font>
    <font>
      <sz val="11"/>
      <name val="Calibri"/>
    </font>
    <font>
      <b/>
      <sz val="12"/>
      <name val="PT Astra Serif"/>
    </font>
    <font>
      <b/>
      <sz val="11"/>
      <name val="Calibri"/>
      <family val="2"/>
      <charset val="204"/>
    </font>
    <font>
      <sz val="12"/>
      <color rgb="FF000000"/>
      <name val="PT Astra Serif"/>
    </font>
    <font>
      <sz val="12"/>
      <color theme="1"/>
      <name val="Times New Roman"/>
      <family val="1"/>
      <charset val="204"/>
    </font>
    <font>
      <sz val="12"/>
      <color theme="1"/>
      <name val="PT Astra Serif"/>
    </font>
    <font>
      <sz val="10"/>
      <color rgb="FF000000"/>
      <name val="Times New Roman"/>
      <family val="1"/>
      <charset val="204"/>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00B0F0"/>
        <bgColor indexed="64"/>
      </patternFill>
    </fill>
    <fill>
      <patternFill patternType="solid">
        <fgColor theme="0"/>
        <bgColor indexed="64"/>
      </patternFill>
    </fill>
    <fill>
      <patternFill patternType="solid">
        <fgColor rgb="FFFFFFFF"/>
      </patternFill>
    </fill>
    <fill>
      <patternFill patternType="solid">
        <fgColor rgb="FFFF0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diagonalUp="1" diagonalDown="1">
      <left style="thin">
        <color rgb="FF000000"/>
      </left>
      <right/>
      <top/>
      <bottom/>
      <diagonal/>
    </border>
    <border diagonalUp="1" diagonalDown="1">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diagonalUp="1" diagonalDown="1">
      <left/>
      <right/>
      <top style="thin">
        <color rgb="FF000000"/>
      </top>
      <bottom/>
      <diagonal/>
    </border>
  </borders>
  <cellStyleXfs count="8">
    <xf numFmtId="0" fontId="0" fillId="0" borderId="0"/>
    <xf numFmtId="43" fontId="3" fillId="0" borderId="0" applyFont="0" applyFill="0" applyBorder="0" applyAlignment="0" applyProtection="0"/>
    <xf numFmtId="43" fontId="3" fillId="0" borderId="0" applyFont="0" applyFill="0" applyBorder="0" applyAlignment="0" applyProtection="0"/>
    <xf numFmtId="0" fontId="8" fillId="0" borderId="0"/>
    <xf numFmtId="0" fontId="12" fillId="0" borderId="0"/>
    <xf numFmtId="0" fontId="26" fillId="0" borderId="0">
      <alignment vertical="top" wrapText="1"/>
    </xf>
    <xf numFmtId="0" fontId="26" fillId="0" borderId="0">
      <alignment vertical="top" wrapText="1"/>
    </xf>
    <xf numFmtId="0" fontId="36" fillId="0" borderId="0">
      <alignment vertical="top" wrapText="1"/>
    </xf>
  </cellStyleXfs>
  <cellXfs count="297">
    <xf numFmtId="0" fontId="0" fillId="0" borderId="0" xfId="0"/>
    <xf numFmtId="0" fontId="0" fillId="0" borderId="0" xfId="0" applyAlignment="1">
      <alignment horizontal="center" vertical="top"/>
    </xf>
    <xf numFmtId="0" fontId="4" fillId="0" borderId="0" xfId="0" applyFont="1" applyAlignment="1">
      <alignment horizontal="center" vertical="top"/>
    </xf>
    <xf numFmtId="0" fontId="4" fillId="0" borderId="0" xfId="1" applyNumberFormat="1" applyFont="1" applyAlignment="1">
      <alignment horizontal="center" vertical="top"/>
    </xf>
    <xf numFmtId="0" fontId="4" fillId="0" borderId="0" xfId="0" applyFont="1" applyAlignment="1">
      <alignment horizontal="center" vertical="top" wrapText="1"/>
    </xf>
    <xf numFmtId="0" fontId="5" fillId="0" borderId="0" xfId="0" applyFont="1" applyAlignment="1">
      <alignment vertical="top"/>
    </xf>
    <xf numFmtId="164" fontId="0" fillId="0" borderId="0" xfId="1" applyNumberFormat="1" applyFont="1" applyAlignment="1">
      <alignment horizontal="center" vertical="top"/>
    </xf>
    <xf numFmtId="0" fontId="2" fillId="0" borderId="0" xfId="0" applyFont="1" applyAlignment="1">
      <alignment horizontal="center"/>
    </xf>
    <xf numFmtId="164" fontId="0" fillId="0" borderId="0" xfId="0" applyNumberFormat="1"/>
    <xf numFmtId="0" fontId="4" fillId="0" borderId="0" xfId="0" applyFont="1" applyAlignment="1">
      <alignment vertical="top"/>
    </xf>
    <xf numFmtId="164" fontId="0" fillId="0" borderId="0" xfId="1" applyNumberFormat="1" applyFont="1" applyFill="1" applyAlignment="1">
      <alignment horizontal="center" vertical="top"/>
    </xf>
    <xf numFmtId="0" fontId="0" fillId="2" borderId="0" xfId="0" applyFill="1" applyAlignment="1">
      <alignment horizontal="center" vertical="top"/>
    </xf>
    <xf numFmtId="0" fontId="0" fillId="2" borderId="0" xfId="1" applyNumberFormat="1" applyFont="1" applyFill="1" applyAlignment="1">
      <alignment horizontal="center" vertical="top"/>
    </xf>
    <xf numFmtId="0" fontId="0" fillId="0" borderId="0" xfId="1" applyNumberFormat="1" applyFont="1" applyFill="1" applyAlignment="1">
      <alignment horizontal="center" vertical="top"/>
    </xf>
    <xf numFmtId="0" fontId="0" fillId="3" borderId="0" xfId="0" applyFill="1" applyAlignment="1">
      <alignment horizontal="center" vertical="top"/>
    </xf>
    <xf numFmtId="164" fontId="0" fillId="3" borderId="0" xfId="1" applyNumberFormat="1" applyFont="1" applyFill="1" applyAlignment="1">
      <alignment horizontal="center" vertical="top"/>
    </xf>
    <xf numFmtId="0" fontId="6" fillId="0" borderId="0" xfId="0" applyFont="1" applyAlignment="1">
      <alignment horizontal="center"/>
    </xf>
    <xf numFmtId="0" fontId="0" fillId="0" borderId="0" xfId="1" applyNumberFormat="1" applyFont="1" applyAlignment="1">
      <alignment horizontal="center" vertical="top"/>
    </xf>
    <xf numFmtId="0" fontId="2" fillId="0" borderId="0" xfId="0" applyFont="1"/>
    <xf numFmtId="164" fontId="4" fillId="0" borderId="0" xfId="1" applyNumberFormat="1" applyFont="1" applyAlignment="1">
      <alignment horizontal="center" vertical="top"/>
    </xf>
    <xf numFmtId="164" fontId="4" fillId="0" borderId="0" xfId="1" applyNumberFormat="1" applyFont="1" applyAlignment="1">
      <alignment horizontal="center" wrapText="1"/>
    </xf>
    <xf numFmtId="49" fontId="4" fillId="0" borderId="0" xfId="0" applyNumberFormat="1" applyFont="1" applyAlignment="1">
      <alignment horizontal="center" vertical="top"/>
    </xf>
    <xf numFmtId="0" fontId="4" fillId="0" borderId="0" xfId="1" applyNumberFormat="1" applyFont="1" applyAlignment="1">
      <alignment horizontal="right" vertical="top" wrapText="1"/>
    </xf>
    <xf numFmtId="0" fontId="0" fillId="0" borderId="0" xfId="0" applyAlignment="1">
      <alignment vertical="top"/>
    </xf>
    <xf numFmtId="0" fontId="0" fillId="0" borderId="0" xfId="0" applyAlignment="1">
      <alignment horizontal="left" vertical="top"/>
    </xf>
    <xf numFmtId="0" fontId="7" fillId="0" borderId="0" xfId="0" applyFont="1" applyAlignment="1">
      <alignment vertical="top"/>
    </xf>
    <xf numFmtId="0" fontId="7" fillId="0" borderId="0" xfId="0" applyFont="1" applyAlignment="1">
      <alignment horizontal="center" vertical="top"/>
    </xf>
    <xf numFmtId="164" fontId="0" fillId="0" borderId="0" xfId="0" applyNumberFormat="1" applyAlignment="1">
      <alignment vertical="top"/>
    </xf>
    <xf numFmtId="164" fontId="0" fillId="0" borderId="0" xfId="1" applyNumberFormat="1" applyFont="1" applyAlignment="1">
      <alignment vertical="top"/>
    </xf>
    <xf numFmtId="0" fontId="2" fillId="0" borderId="0" xfId="2" applyNumberFormat="1" applyFont="1" applyAlignment="1">
      <alignment horizontal="center" vertical="top"/>
    </xf>
    <xf numFmtId="0" fontId="0" fillId="0" borderId="0" xfId="0" applyAlignment="1">
      <alignment vertical="top" wrapText="1"/>
    </xf>
    <xf numFmtId="49" fontId="0" fillId="0" borderId="0" xfId="0" applyNumberFormat="1" applyAlignment="1">
      <alignment vertical="top"/>
    </xf>
    <xf numFmtId="0" fontId="0" fillId="0" borderId="0" xfId="1" applyNumberFormat="1" applyFont="1" applyAlignment="1">
      <alignment horizontal="right" vertical="top"/>
    </xf>
    <xf numFmtId="0" fontId="0" fillId="4" borderId="0" xfId="0" applyFill="1" applyAlignment="1">
      <alignment horizontal="center" vertical="top"/>
    </xf>
    <xf numFmtId="10" fontId="0" fillId="0" borderId="0" xfId="0" applyNumberFormat="1" applyAlignment="1">
      <alignment horizontal="left" vertical="top"/>
    </xf>
    <xf numFmtId="0" fontId="0" fillId="5" borderId="0" xfId="0" applyFill="1" applyAlignment="1">
      <alignment horizontal="center" vertical="top"/>
    </xf>
    <xf numFmtId="164" fontId="0" fillId="0" borderId="0" xfId="1" applyNumberFormat="1" applyFont="1" applyAlignment="1">
      <alignment horizontal="right" vertical="top"/>
    </xf>
    <xf numFmtId="0" fontId="0" fillId="0" borderId="0" xfId="0" applyAlignment="1">
      <alignment horizontal="right" vertical="top"/>
    </xf>
    <xf numFmtId="164" fontId="0" fillId="0" borderId="0" xfId="0" applyNumberFormat="1" applyAlignment="1">
      <alignment horizontal="center" vertical="top"/>
    </xf>
    <xf numFmtId="0" fontId="2" fillId="0" borderId="0" xfId="2" applyNumberFormat="1" applyFont="1" applyAlignment="1">
      <alignment horizontal="right" vertical="top"/>
    </xf>
    <xf numFmtId="0" fontId="0" fillId="2" borderId="0" xfId="1" applyNumberFormat="1" applyFont="1" applyFill="1" applyAlignment="1">
      <alignment horizontal="right" vertical="top"/>
    </xf>
    <xf numFmtId="49" fontId="0" fillId="0" borderId="0" xfId="1" applyNumberFormat="1" applyFont="1" applyAlignment="1">
      <alignment horizontal="right" vertical="top"/>
    </xf>
    <xf numFmtId="43" fontId="0" fillId="0" borderId="0" xfId="1" applyFont="1" applyAlignment="1">
      <alignment vertical="top"/>
    </xf>
    <xf numFmtId="0" fontId="6" fillId="0" borderId="0" xfId="0" applyFont="1" applyAlignment="1">
      <alignment horizontal="left" vertical="top"/>
    </xf>
    <xf numFmtId="0" fontId="6" fillId="0" borderId="0" xfId="0" applyFont="1" applyAlignment="1">
      <alignment horizontal="right" vertical="top"/>
    </xf>
    <xf numFmtId="164" fontId="2" fillId="0" borderId="0" xfId="2" applyNumberFormat="1" applyFont="1" applyAlignment="1">
      <alignment horizontal="left" vertical="top"/>
    </xf>
    <xf numFmtId="0" fontId="2" fillId="0" borderId="0" xfId="0" applyFont="1" applyAlignment="1">
      <alignment horizontal="right" vertical="top"/>
    </xf>
    <xf numFmtId="0" fontId="2" fillId="0" borderId="0" xfId="0" applyFont="1" applyAlignment="1">
      <alignment horizontal="left" vertical="top"/>
    </xf>
    <xf numFmtId="49" fontId="2" fillId="0" borderId="0" xfId="0" applyNumberFormat="1" applyFont="1" applyAlignment="1">
      <alignment horizontal="left" vertical="top"/>
    </xf>
    <xf numFmtId="164" fontId="2" fillId="0" borderId="0" xfId="1" applyNumberFormat="1" applyFont="1" applyAlignment="1">
      <alignment horizontal="left" vertical="top"/>
    </xf>
    <xf numFmtId="164" fontId="2" fillId="0" borderId="0" xfId="1" applyNumberFormat="1" applyFont="1" applyAlignment="1">
      <alignment horizontal="right" vertical="top"/>
    </xf>
    <xf numFmtId="0" fontId="2" fillId="0" borderId="0" xfId="0" applyFont="1" applyAlignment="1">
      <alignment horizontal="left"/>
    </xf>
    <xf numFmtId="0" fontId="2" fillId="0" borderId="0" xfId="0" applyFont="1" applyAlignment="1">
      <alignment vertical="top"/>
    </xf>
    <xf numFmtId="164" fontId="2" fillId="0" borderId="0" xfId="0" applyNumberFormat="1" applyFont="1" applyAlignment="1">
      <alignment vertical="top"/>
    </xf>
    <xf numFmtId="164" fontId="2" fillId="0" borderId="0" xfId="2" applyNumberFormat="1" applyFont="1" applyFill="1" applyAlignment="1">
      <alignment horizontal="left" vertical="top"/>
    </xf>
    <xf numFmtId="49" fontId="2" fillId="0" borderId="0" xfId="0" applyNumberFormat="1" applyFont="1" applyAlignment="1">
      <alignment vertical="top"/>
    </xf>
    <xf numFmtId="164" fontId="2" fillId="0" borderId="0" xfId="1" applyNumberFormat="1" applyFont="1" applyAlignment="1">
      <alignment vertical="top"/>
    </xf>
    <xf numFmtId="0" fontId="2" fillId="0" borderId="0" xfId="1" applyNumberFormat="1" applyFont="1" applyAlignment="1">
      <alignment horizontal="right" vertical="top"/>
    </xf>
    <xf numFmtId="0" fontId="2" fillId="0" borderId="0" xfId="0" applyFont="1" applyAlignment="1">
      <alignment horizontal="center" vertical="top"/>
    </xf>
    <xf numFmtId="164" fontId="2" fillId="0" borderId="0" xfId="2" applyNumberFormat="1" applyFont="1" applyFill="1" applyAlignment="1">
      <alignment horizontal="center" vertical="top"/>
    </xf>
    <xf numFmtId="0" fontId="6" fillId="0" borderId="0" xfId="0" applyFont="1" applyAlignment="1">
      <alignment horizontal="center" vertical="top"/>
    </xf>
    <xf numFmtId="164" fontId="2" fillId="0" borderId="0" xfId="2" applyNumberFormat="1" applyFont="1" applyAlignment="1">
      <alignment horizontal="center" vertical="top"/>
    </xf>
    <xf numFmtId="49" fontId="2" fillId="0" borderId="0" xfId="2" applyNumberFormat="1" applyFont="1" applyAlignment="1">
      <alignment horizontal="center" vertical="top"/>
    </xf>
    <xf numFmtId="164" fontId="2" fillId="0" borderId="0" xfId="2" applyNumberFormat="1" applyFont="1" applyAlignment="1">
      <alignment vertical="top"/>
    </xf>
    <xf numFmtId="0" fontId="0" fillId="6" borderId="0" xfId="0" applyFill="1" applyAlignment="1">
      <alignment vertical="top"/>
    </xf>
    <xf numFmtId="0" fontId="0" fillId="0" borderId="0" xfId="0" applyAlignment="1">
      <alignment horizontal="center"/>
    </xf>
    <xf numFmtId="0" fontId="4" fillId="0" borderId="0" xfId="0" applyFont="1"/>
    <xf numFmtId="164" fontId="4" fillId="0" borderId="0" xfId="1" applyNumberFormat="1" applyFont="1"/>
    <xf numFmtId="164" fontId="4" fillId="0" borderId="0" xfId="1" applyNumberFormat="1" applyFont="1" applyAlignment="1">
      <alignment horizontal="center"/>
    </xf>
    <xf numFmtId="0" fontId="4" fillId="0" borderId="0" xfId="0" applyFont="1" applyAlignment="1">
      <alignment horizontal="center"/>
    </xf>
    <xf numFmtId="164" fontId="0" fillId="0" borderId="0" xfId="1" applyNumberFormat="1" applyFont="1"/>
    <xf numFmtId="0" fontId="0" fillId="2" borderId="0" xfId="0" applyFill="1"/>
    <xf numFmtId="164" fontId="0" fillId="0" borderId="0" xfId="1" applyNumberFormat="1" applyFont="1" applyAlignment="1">
      <alignment horizontal="center"/>
    </xf>
    <xf numFmtId="164" fontId="0" fillId="0" borderId="0" xfId="1" applyNumberFormat="1" applyFont="1" applyFill="1" applyAlignment="1">
      <alignment horizontal="center"/>
    </xf>
    <xf numFmtId="0" fontId="0" fillId="3" borderId="0" xfId="0" applyFill="1"/>
    <xf numFmtId="164" fontId="0" fillId="3" borderId="0" xfId="1" applyNumberFormat="1" applyFont="1" applyFill="1"/>
    <xf numFmtId="164" fontId="0" fillId="2" borderId="0" xfId="1" applyNumberFormat="1" applyFont="1" applyFill="1" applyAlignment="1">
      <alignment horizontal="center"/>
    </xf>
    <xf numFmtId="0" fontId="0" fillId="2" borderId="0" xfId="0" applyFill="1" applyAlignment="1">
      <alignment horizontal="center"/>
    </xf>
    <xf numFmtId="16" fontId="0" fillId="0" borderId="0" xfId="0" applyNumberFormat="1" applyAlignment="1">
      <alignment horizontal="center" vertical="top"/>
    </xf>
    <xf numFmtId="0" fontId="8" fillId="0" borderId="0" xfId="3" applyAlignment="1">
      <alignment horizontal="left"/>
    </xf>
    <xf numFmtId="0" fontId="8" fillId="0" borderId="0" xfId="3"/>
    <xf numFmtId="49" fontId="8" fillId="0" borderId="0" xfId="3" applyNumberFormat="1"/>
    <xf numFmtId="0" fontId="8" fillId="0" borderId="1" xfId="3" applyBorder="1" applyAlignment="1">
      <alignment horizontal="center" vertical="center"/>
    </xf>
    <xf numFmtId="0" fontId="8" fillId="2" borderId="0" xfId="3" applyFill="1" applyAlignment="1">
      <alignment horizontal="left"/>
    </xf>
    <xf numFmtId="49" fontId="10" fillId="0" borderId="0" xfId="0" applyNumberFormat="1" applyFont="1" applyAlignment="1">
      <alignment horizontal="center" vertical="top" wrapText="1"/>
    </xf>
    <xf numFmtId="0" fontId="10" fillId="0" borderId="0" xfId="0" applyFont="1" applyAlignment="1">
      <alignment horizontal="center" vertical="top" wrapText="1"/>
    </xf>
    <xf numFmtId="49" fontId="11" fillId="0" borderId="0" xfId="0" applyNumberFormat="1" applyFont="1" applyAlignment="1">
      <alignment horizontal="center" vertical="top" wrapText="1"/>
    </xf>
    <xf numFmtId="0" fontId="11" fillId="0" borderId="0" xfId="0" applyFont="1" applyAlignment="1">
      <alignment horizontal="center" vertical="top" wrapText="1"/>
    </xf>
    <xf numFmtId="0" fontId="0" fillId="0" borderId="0" xfId="0" applyAlignment="1">
      <alignment horizontal="center" vertical="top" wrapText="1"/>
    </xf>
    <xf numFmtId="0" fontId="13" fillId="0" borderId="0" xfId="4" applyFont="1" applyAlignment="1">
      <alignment horizontal="center" vertical="top" wrapText="1"/>
    </xf>
    <xf numFmtId="0" fontId="13" fillId="0" borderId="0" xfId="4" applyFont="1" applyAlignment="1">
      <alignment horizontal="left" vertical="top" wrapText="1"/>
    </xf>
    <xf numFmtId="0" fontId="13" fillId="0" borderId="0" xfId="4" applyFont="1" applyAlignment="1">
      <alignment vertical="top" wrapText="1"/>
    </xf>
    <xf numFmtId="0" fontId="13" fillId="0" borderId="0" xfId="4" applyFont="1" applyAlignment="1">
      <alignment vertical="top"/>
    </xf>
    <xf numFmtId="0" fontId="14" fillId="0" borderId="0" xfId="4" applyFont="1" applyAlignment="1">
      <alignment horizontal="center" vertical="top"/>
    </xf>
    <xf numFmtId="0" fontId="14" fillId="0" borderId="0" xfId="4" applyFont="1" applyAlignment="1">
      <alignment horizontal="left" vertical="top" wrapText="1"/>
    </xf>
    <xf numFmtId="0" fontId="14" fillId="0" borderId="0" xfId="4" applyFont="1" applyAlignment="1">
      <alignment vertical="top" wrapText="1"/>
    </xf>
    <xf numFmtId="0" fontId="14" fillId="0" borderId="0" xfId="4" applyFont="1" applyAlignment="1">
      <alignment horizontal="center" vertical="top" wrapText="1"/>
    </xf>
    <xf numFmtId="14" fontId="14" fillId="0" borderId="0" xfId="4" applyNumberFormat="1" applyFont="1" applyAlignment="1">
      <alignment horizontal="center" vertical="top" wrapText="1"/>
    </xf>
    <xf numFmtId="0" fontId="14" fillId="0" borderId="0" xfId="4" applyFont="1" applyAlignment="1">
      <alignment vertical="top"/>
    </xf>
    <xf numFmtId="0" fontId="12" fillId="0" borderId="0" xfId="4" applyAlignment="1">
      <alignment vertical="top" wrapText="1"/>
    </xf>
    <xf numFmtId="0" fontId="15" fillId="0" borderId="0" xfId="0" applyFont="1" applyAlignment="1">
      <alignment horizontal="center" vertical="top" wrapText="1"/>
    </xf>
    <xf numFmtId="0" fontId="14" fillId="0" borderId="0" xfId="0" applyFont="1" applyAlignment="1">
      <alignment horizontal="center" vertical="top" wrapText="1"/>
    </xf>
    <xf numFmtId="0" fontId="16" fillId="0" borderId="0" xfId="4" applyFont="1" applyAlignment="1">
      <alignment vertical="top" wrapText="1"/>
    </xf>
    <xf numFmtId="14" fontId="14" fillId="0" borderId="0" xfId="4" applyNumberFormat="1" applyFont="1" applyAlignment="1">
      <alignment horizontal="center" vertical="top"/>
    </xf>
    <xf numFmtId="49" fontId="14" fillId="0" borderId="0" xfId="4" applyNumberFormat="1" applyFont="1" applyAlignment="1">
      <alignment horizontal="center" vertical="top"/>
    </xf>
    <xf numFmtId="0" fontId="14" fillId="0" borderId="0" xfId="4" applyFont="1" applyAlignment="1">
      <alignment horizontal="justify" vertical="top" wrapText="1"/>
    </xf>
    <xf numFmtId="0" fontId="14" fillId="0" borderId="0" xfId="4" applyFont="1" applyAlignment="1">
      <alignment horizontal="justify" vertical="top"/>
    </xf>
    <xf numFmtId="0" fontId="16" fillId="0" borderId="0" xfId="4" applyFont="1" applyAlignment="1">
      <alignment vertical="top"/>
    </xf>
    <xf numFmtId="0" fontId="17" fillId="0" borderId="0" xfId="4" applyFont="1" applyAlignment="1">
      <alignment horizontal="justify" vertical="top"/>
    </xf>
    <xf numFmtId="0" fontId="17" fillId="0" borderId="0" xfId="4" applyFont="1" applyAlignment="1">
      <alignment horizontal="left" vertical="top" wrapText="1"/>
    </xf>
    <xf numFmtId="0" fontId="17" fillId="0" borderId="0" xfId="4" applyFont="1" applyAlignment="1">
      <alignment vertical="top" wrapText="1"/>
    </xf>
    <xf numFmtId="0" fontId="17" fillId="0" borderId="0" xfId="4" applyFont="1" applyAlignment="1">
      <alignment horizontal="center" vertical="top"/>
    </xf>
    <xf numFmtId="0" fontId="17" fillId="0" borderId="0" xfId="4" applyFont="1" applyAlignment="1">
      <alignment vertical="top"/>
    </xf>
    <xf numFmtId="14" fontId="17" fillId="0" borderId="0" xfId="4" applyNumberFormat="1" applyFont="1" applyAlignment="1">
      <alignment horizontal="center" vertical="top"/>
    </xf>
    <xf numFmtId="49" fontId="17" fillId="0" borderId="0" xfId="4" applyNumberFormat="1" applyFont="1" applyAlignment="1">
      <alignment horizontal="center" vertical="top"/>
    </xf>
    <xf numFmtId="2" fontId="14" fillId="0" borderId="0" xfId="4" applyNumberFormat="1" applyFont="1" applyAlignment="1">
      <alignment horizontal="center" vertical="top"/>
    </xf>
    <xf numFmtId="0" fontId="17" fillId="0" borderId="0" xfId="0" applyFont="1" applyAlignment="1">
      <alignment horizontal="left" vertical="top" wrapText="1"/>
    </xf>
    <xf numFmtId="0" fontId="14" fillId="0" borderId="0" xfId="0" applyFont="1" applyAlignment="1">
      <alignment vertical="top" wrapText="1"/>
    </xf>
    <xf numFmtId="0" fontId="17" fillId="0" borderId="0" xfId="0" applyFont="1" applyAlignment="1">
      <alignment horizontal="center" vertical="top"/>
    </xf>
    <xf numFmtId="49" fontId="17" fillId="0" borderId="0" xfId="0" applyNumberFormat="1" applyFont="1" applyAlignment="1">
      <alignment horizontal="center" vertical="top"/>
    </xf>
    <xf numFmtId="0" fontId="14" fillId="0" borderId="0" xfId="0" applyFont="1" applyAlignment="1">
      <alignment horizontal="center" vertical="top"/>
    </xf>
    <xf numFmtId="49" fontId="14" fillId="0" borderId="0" xfId="0" applyNumberFormat="1" applyFont="1" applyAlignment="1">
      <alignment horizontal="center" vertical="top"/>
    </xf>
    <xf numFmtId="0" fontId="14" fillId="0" borderId="0" xfId="0" applyFont="1" applyAlignment="1">
      <alignment horizontal="left" vertical="top" wrapText="1"/>
    </xf>
    <xf numFmtId="0" fontId="17" fillId="0" borderId="0" xfId="0" applyFont="1" applyAlignment="1">
      <alignment vertical="top" wrapText="1"/>
    </xf>
    <xf numFmtId="0" fontId="17" fillId="0" borderId="0" xfId="0" applyFont="1" applyAlignment="1">
      <alignment horizontal="justify" vertical="top" wrapText="1"/>
    </xf>
    <xf numFmtId="0" fontId="18" fillId="0" borderId="0" xfId="0" applyFont="1" applyAlignment="1">
      <alignment horizontal="center" vertical="top" wrapText="1"/>
    </xf>
    <xf numFmtId="49" fontId="14" fillId="0" borderId="0" xfId="0" applyNumberFormat="1" applyFont="1" applyAlignment="1">
      <alignment horizontal="center" vertical="top" wrapText="1"/>
    </xf>
    <xf numFmtId="0" fontId="16" fillId="0" borderId="0" xfId="0" applyFont="1" applyAlignment="1">
      <alignment horizontal="center" vertical="top"/>
    </xf>
    <xf numFmtId="0" fontId="14" fillId="0" borderId="0" xfId="0" applyFont="1" applyAlignment="1">
      <alignment horizontal="justify" vertical="top"/>
    </xf>
    <xf numFmtId="0" fontId="17" fillId="0" borderId="0" xfId="0" applyFont="1" applyAlignment="1">
      <alignment vertical="top"/>
    </xf>
    <xf numFmtId="0" fontId="17" fillId="0" borderId="0" xfId="0" applyFont="1" applyAlignment="1">
      <alignment vertical="top" wrapText="1" shrinkToFit="1"/>
    </xf>
    <xf numFmtId="0" fontId="14" fillId="0" borderId="0" xfId="0" applyFont="1" applyAlignment="1">
      <alignment vertical="top"/>
    </xf>
    <xf numFmtId="165" fontId="14" fillId="0" borderId="0" xfId="0" applyNumberFormat="1" applyFont="1" applyAlignment="1">
      <alignment horizontal="center" vertical="top"/>
    </xf>
    <xf numFmtId="166" fontId="14" fillId="0" borderId="0" xfId="0" applyNumberFormat="1" applyFont="1" applyAlignment="1">
      <alignment horizontal="center" vertical="top" wrapText="1"/>
    </xf>
    <xf numFmtId="166" fontId="14" fillId="0" borderId="0" xfId="0" applyNumberFormat="1" applyFont="1" applyAlignment="1">
      <alignment horizontal="center" vertical="top"/>
    </xf>
    <xf numFmtId="0" fontId="17" fillId="0" borderId="0" xfId="0" applyFont="1" applyAlignment="1">
      <alignment horizontal="center" vertical="top" wrapText="1"/>
    </xf>
    <xf numFmtId="1" fontId="14" fillId="0" borderId="0" xfId="0" applyNumberFormat="1" applyFont="1" applyAlignment="1">
      <alignment horizontal="center" vertical="top" wrapText="1"/>
    </xf>
    <xf numFmtId="0" fontId="14" fillId="0" borderId="0" xfId="0" applyFont="1" applyAlignment="1">
      <alignment horizontal="justify" vertical="top" wrapText="1"/>
    </xf>
    <xf numFmtId="49" fontId="14" fillId="0" borderId="0" xfId="0" applyNumberFormat="1" applyFont="1" applyAlignment="1">
      <alignment horizontal="left" vertical="top" wrapText="1"/>
    </xf>
    <xf numFmtId="16" fontId="14" fillId="0" borderId="0" xfId="0" applyNumberFormat="1" applyFont="1" applyAlignment="1">
      <alignment horizontal="center" vertical="top" wrapText="1"/>
    </xf>
    <xf numFmtId="165" fontId="14" fillId="0" borderId="0" xfId="0" applyNumberFormat="1" applyFont="1" applyAlignment="1">
      <alignment horizontal="center" vertical="top" wrapText="1"/>
    </xf>
    <xf numFmtId="0" fontId="14" fillId="0" borderId="0" xfId="0" applyFont="1" applyAlignment="1">
      <alignment horizontal="left" vertical="top"/>
    </xf>
    <xf numFmtId="0" fontId="15" fillId="0" borderId="0" xfId="0" applyFont="1" applyAlignment="1">
      <alignment horizontal="left" vertical="top" wrapText="1"/>
    </xf>
    <xf numFmtId="0" fontId="15" fillId="0" borderId="0" xfId="0" applyFont="1" applyAlignment="1">
      <alignment horizontal="center" vertical="top"/>
    </xf>
    <xf numFmtId="0" fontId="15" fillId="0" borderId="0" xfId="4" applyFont="1" applyAlignment="1">
      <alignment vertical="top"/>
    </xf>
    <xf numFmtId="0" fontId="16" fillId="0" borderId="0" xfId="0" applyFont="1" applyAlignment="1">
      <alignment horizontal="left" vertical="top" wrapText="1"/>
    </xf>
    <xf numFmtId="0" fontId="15" fillId="0" borderId="0" xfId="0" applyFont="1" applyAlignment="1">
      <alignment horizontal="left" vertical="top"/>
    </xf>
    <xf numFmtId="0" fontId="22" fillId="0" borderId="0" xfId="0" applyFont="1" applyAlignment="1">
      <alignment horizontal="left" vertical="top" wrapText="1"/>
    </xf>
    <xf numFmtId="0" fontId="22" fillId="0" borderId="0" xfId="0" applyFont="1" applyAlignment="1">
      <alignment vertical="top" wrapText="1"/>
    </xf>
    <xf numFmtId="0" fontId="15" fillId="0" borderId="0" xfId="0" applyFont="1" applyAlignment="1">
      <alignment vertical="top" wrapText="1"/>
    </xf>
    <xf numFmtId="0" fontId="14" fillId="0" borderId="0" xfId="0" applyFont="1" applyAlignment="1">
      <alignment horizontal="left" vertical="top" wrapText="1" shrinkToFit="1"/>
    </xf>
    <xf numFmtId="0" fontId="15" fillId="0" borderId="0" xfId="0" applyFont="1" applyAlignment="1">
      <alignment horizontal="justify" vertical="top"/>
    </xf>
    <xf numFmtId="14" fontId="14" fillId="0" borderId="0" xfId="0" applyNumberFormat="1" applyFont="1" applyAlignment="1">
      <alignment horizontal="center" vertical="top" wrapText="1"/>
    </xf>
    <xf numFmtId="14" fontId="15" fillId="0" borderId="0" xfId="0" applyNumberFormat="1" applyFont="1" applyAlignment="1">
      <alignment horizontal="center" vertical="top" wrapText="1"/>
    </xf>
    <xf numFmtId="14" fontId="14" fillId="0" borderId="0" xfId="0" applyNumberFormat="1" applyFont="1" applyAlignment="1">
      <alignment horizontal="center" vertical="top"/>
    </xf>
    <xf numFmtId="14" fontId="14" fillId="0" borderId="0" xfId="0" applyNumberFormat="1" applyFont="1" applyAlignment="1">
      <alignment horizontal="left" vertical="top" wrapText="1"/>
    </xf>
    <xf numFmtId="0" fontId="22" fillId="0" borderId="0" xfId="0" applyFont="1" applyAlignment="1">
      <alignment horizontal="justify" vertical="top" wrapText="1"/>
    </xf>
    <xf numFmtId="14" fontId="15" fillId="0" borderId="0" xfId="0" applyNumberFormat="1" applyFont="1" applyAlignment="1">
      <alignment horizontal="center" vertical="top"/>
    </xf>
    <xf numFmtId="0" fontId="15" fillId="0" borderId="0" xfId="0" applyFont="1" applyAlignment="1">
      <alignment horizontal="justify" vertical="top" wrapText="1"/>
    </xf>
    <xf numFmtId="0" fontId="15" fillId="0" borderId="0" xfId="0" applyFont="1" applyAlignment="1">
      <alignment vertical="top"/>
    </xf>
    <xf numFmtId="0" fontId="14" fillId="0" borderId="0" xfId="4" applyFont="1" applyAlignment="1">
      <alignment horizontal="left" vertical="top"/>
    </xf>
    <xf numFmtId="0" fontId="9" fillId="0" borderId="0" xfId="5" applyFont="1" applyAlignment="1">
      <alignment horizontal="center" wrapText="1"/>
    </xf>
    <xf numFmtId="0" fontId="9" fillId="0" borderId="0" xfId="5" applyFont="1">
      <alignment vertical="top" wrapText="1"/>
    </xf>
    <xf numFmtId="0" fontId="10" fillId="0" borderId="0" xfId="5" applyFont="1">
      <alignment vertical="top" wrapText="1"/>
    </xf>
    <xf numFmtId="0" fontId="10" fillId="0" borderId="2" xfId="5" applyFont="1" applyBorder="1" applyAlignment="1">
      <alignment wrapText="1"/>
    </xf>
    <xf numFmtId="0" fontId="10" fillId="0" borderId="2" xfId="5" applyFont="1" applyBorder="1">
      <alignment vertical="top" wrapText="1"/>
    </xf>
    <xf numFmtId="0" fontId="10" fillId="0" borderId="2" xfId="5" applyFont="1" applyBorder="1" applyAlignment="1">
      <alignment horizontal="center" vertical="top" wrapText="1"/>
    </xf>
    <xf numFmtId="0" fontId="10" fillId="0" borderId="5" xfId="5" applyFont="1" applyBorder="1" applyAlignment="1">
      <alignment horizontal="center" vertical="center"/>
    </xf>
    <xf numFmtId="0" fontId="10" fillId="0" borderId="0" xfId="5" applyFont="1" applyAlignment="1">
      <alignment horizontal="center" vertical="center"/>
    </xf>
    <xf numFmtId="0" fontId="10" fillId="7" borderId="2" xfId="5" applyFont="1" applyFill="1" applyBorder="1" applyAlignment="1">
      <alignment horizontal="center" wrapText="1"/>
    </xf>
    <xf numFmtId="0" fontId="11" fillId="7" borderId="2" xfId="5" applyFont="1" applyFill="1" applyBorder="1" applyAlignment="1">
      <alignment horizontal="center" vertical="center"/>
    </xf>
    <xf numFmtId="49" fontId="10" fillId="0" borderId="0" xfId="5" applyNumberFormat="1" applyFont="1">
      <alignment vertical="top" wrapText="1"/>
    </xf>
    <xf numFmtId="0" fontId="27" fillId="0" borderId="0" xfId="5" applyFont="1">
      <alignment vertical="top" wrapText="1"/>
    </xf>
    <xf numFmtId="0" fontId="28" fillId="0" borderId="0" xfId="5" applyFont="1" applyAlignment="1">
      <alignment horizontal="center" vertical="top" wrapText="1"/>
    </xf>
    <xf numFmtId="0" fontId="10" fillId="2" borderId="2" xfId="5" applyFont="1" applyFill="1" applyBorder="1" applyAlignment="1">
      <alignment horizontal="center" wrapText="1"/>
    </xf>
    <xf numFmtId="0" fontId="10" fillId="2" borderId="2" xfId="5" applyFont="1" applyFill="1" applyBorder="1" applyAlignment="1">
      <alignment horizontal="center" vertical="top" wrapText="1"/>
    </xf>
    <xf numFmtId="0" fontId="10" fillId="0" borderId="0" xfId="5" applyFont="1" applyAlignment="1">
      <alignment horizontal="center" vertical="top" wrapText="1"/>
    </xf>
    <xf numFmtId="0" fontId="10" fillId="0" borderId="8" xfId="5" applyFont="1" applyBorder="1" applyAlignment="1">
      <alignment wrapText="1"/>
    </xf>
    <xf numFmtId="0" fontId="10" fillId="0" borderId="0" xfId="5" applyFont="1" applyAlignment="1">
      <alignment wrapText="1"/>
    </xf>
    <xf numFmtId="0" fontId="10" fillId="0" borderId="1" xfId="5" applyFont="1" applyBorder="1" applyAlignment="1">
      <alignment horizontal="center" wrapText="1"/>
    </xf>
    <xf numFmtId="0" fontId="10" fillId="0" borderId="1" xfId="5" applyFont="1" applyBorder="1" applyAlignment="1">
      <alignment horizontal="center" vertical="top" wrapText="1"/>
    </xf>
    <xf numFmtId="0" fontId="10" fillId="0" borderId="1" xfId="5" applyFont="1" applyBorder="1" applyAlignment="1">
      <alignment horizontal="center" vertical="center" wrapText="1"/>
    </xf>
    <xf numFmtId="0" fontId="10" fillId="0" borderId="0" xfId="5" applyFont="1" applyAlignment="1">
      <alignment horizontal="center" vertical="center" wrapText="1"/>
    </xf>
    <xf numFmtId="0" fontId="10" fillId="7" borderId="1" xfId="5" applyFont="1" applyFill="1" applyBorder="1" applyAlignment="1">
      <alignment horizontal="center" wrapText="1"/>
    </xf>
    <xf numFmtId="0" fontId="10" fillId="7" borderId="1" xfId="5" applyFont="1" applyFill="1" applyBorder="1" applyAlignment="1">
      <alignment horizontal="center" vertical="top" wrapText="1"/>
    </xf>
    <xf numFmtId="0" fontId="10" fillId="2" borderId="9" xfId="5" applyFont="1" applyFill="1" applyBorder="1" applyAlignment="1">
      <alignment horizontal="center" wrapText="1"/>
    </xf>
    <xf numFmtId="0" fontId="10" fillId="2" borderId="9" xfId="5" applyFont="1" applyFill="1" applyBorder="1" applyAlignment="1">
      <alignment horizontal="center" vertical="center" wrapText="1"/>
    </xf>
    <xf numFmtId="0" fontId="10" fillId="7" borderId="0" xfId="5" applyFont="1" applyFill="1" applyAlignment="1">
      <alignment horizontal="center" vertical="center" wrapText="1"/>
    </xf>
    <xf numFmtId="0" fontId="10" fillId="0" borderId="2" xfId="5" applyFont="1" applyBorder="1" applyAlignment="1"/>
    <xf numFmtId="0" fontId="11" fillId="0" borderId="2" xfId="5" applyFont="1" applyBorder="1">
      <alignment vertical="top" wrapText="1"/>
    </xf>
    <xf numFmtId="0" fontId="11" fillId="0" borderId="10" xfId="5" applyFont="1" applyBorder="1">
      <alignment vertical="top" wrapText="1"/>
    </xf>
    <xf numFmtId="0" fontId="11" fillId="0" borderId="11" xfId="5" applyFont="1" applyBorder="1">
      <alignment vertical="top" wrapText="1"/>
    </xf>
    <xf numFmtId="0" fontId="11" fillId="0" borderId="1" xfId="5" applyFont="1" applyBorder="1">
      <alignment vertical="top" wrapText="1"/>
    </xf>
    <xf numFmtId="0" fontId="11" fillId="7" borderId="2" xfId="5" applyFont="1" applyFill="1" applyBorder="1" applyAlignment="1">
      <alignment horizontal="center" vertical="top" wrapText="1"/>
    </xf>
    <xf numFmtId="0" fontId="0" fillId="0" borderId="1" xfId="0" applyBorder="1" applyAlignment="1">
      <alignment horizontal="center"/>
    </xf>
    <xf numFmtId="0" fontId="10" fillId="0" borderId="2" xfId="5" applyFont="1" applyBorder="1" applyAlignment="1">
      <alignment horizontal="center" wrapText="1"/>
    </xf>
    <xf numFmtId="0" fontId="10" fillId="0" borderId="2" xfId="5" applyFont="1" applyBorder="1" applyAlignment="1">
      <alignment horizontal="center" vertical="center" wrapText="1"/>
    </xf>
    <xf numFmtId="0" fontId="10" fillId="7" borderId="2" xfId="5" applyFont="1" applyFill="1" applyBorder="1" applyAlignment="1">
      <alignment horizontal="center" vertical="top" wrapText="1"/>
    </xf>
    <xf numFmtId="0" fontId="10" fillId="0" borderId="0" xfId="5" applyFont="1" applyAlignment="1"/>
    <xf numFmtId="0" fontId="29" fillId="0" borderId="0" xfId="4" applyFont="1" applyAlignment="1">
      <alignment wrapText="1"/>
    </xf>
    <xf numFmtId="0" fontId="29" fillId="0" borderId="0" xfId="4" applyFont="1" applyAlignment="1">
      <alignment horizontal="left" wrapText="1"/>
    </xf>
    <xf numFmtId="0" fontId="29" fillId="0" borderId="0" xfId="4" applyFont="1"/>
    <xf numFmtId="0" fontId="29" fillId="0" borderId="0" xfId="4" applyFont="1" applyAlignment="1">
      <alignment horizontal="left" vertical="top" wrapText="1"/>
    </xf>
    <xf numFmtId="0" fontId="29" fillId="0" borderId="0" xfId="4" applyFont="1" applyAlignment="1">
      <alignment vertical="top" wrapText="1"/>
    </xf>
    <xf numFmtId="0" fontId="29" fillId="0" borderId="0" xfId="4" applyFont="1" applyAlignment="1">
      <alignment horizontal="center" vertical="top" wrapText="1"/>
    </xf>
    <xf numFmtId="14" fontId="29" fillId="0" borderId="0" xfId="4" applyNumberFormat="1" applyFont="1" applyAlignment="1">
      <alignment wrapText="1"/>
    </xf>
    <xf numFmtId="0" fontId="9" fillId="0" borderId="0" xfId="6" applyFont="1" applyAlignment="1">
      <alignment horizontal="center" vertical="center" wrapText="1"/>
    </xf>
    <xf numFmtId="49" fontId="30" fillId="0" borderId="0" xfId="6" applyNumberFormat="1" applyFont="1" applyAlignment="1">
      <alignment horizontal="center" vertical="center" wrapText="1"/>
    </xf>
    <xf numFmtId="0" fontId="30" fillId="0" borderId="0" xfId="6" applyFont="1" applyAlignment="1">
      <alignment horizontal="center" vertical="center" wrapText="1"/>
    </xf>
    <xf numFmtId="0" fontId="10" fillId="0" borderId="0" xfId="6" applyFont="1" applyAlignment="1"/>
    <xf numFmtId="0" fontId="31" fillId="0" borderId="0" xfId="0" applyFont="1" applyAlignment="1">
      <alignment horizontal="center" vertical="top"/>
    </xf>
    <xf numFmtId="0" fontId="32" fillId="0" borderId="0" xfId="6" applyFont="1" applyAlignment="1"/>
    <xf numFmtId="14" fontId="10" fillId="0" borderId="0" xfId="6" applyNumberFormat="1" applyFont="1">
      <alignment vertical="top" wrapText="1"/>
    </xf>
    <xf numFmtId="0" fontId="10" fillId="0" borderId="0" xfId="6" applyFont="1">
      <alignment vertical="top" wrapText="1"/>
    </xf>
    <xf numFmtId="164" fontId="10" fillId="0" borderId="0" xfId="1" applyNumberFormat="1" applyFont="1" applyBorder="1" applyAlignment="1">
      <alignment horizontal="center" vertical="top" wrapText="1"/>
    </xf>
    <xf numFmtId="164" fontId="10" fillId="2" borderId="0" xfId="1" applyNumberFormat="1" applyFont="1" applyFill="1" applyBorder="1" applyAlignment="1">
      <alignment horizontal="center" vertical="top" wrapText="1"/>
    </xf>
    <xf numFmtId="14" fontId="10" fillId="0" borderId="0" xfId="6" applyNumberFormat="1" applyFont="1" applyAlignment="1">
      <alignment horizontal="center" vertical="top" wrapText="1"/>
    </xf>
    <xf numFmtId="0" fontId="10" fillId="0" borderId="0" xfId="6" applyFont="1" applyAlignment="1">
      <alignment wrapText="1"/>
    </xf>
    <xf numFmtId="0" fontId="10" fillId="0" borderId="0" xfId="6" applyFont="1" applyAlignment="1">
      <alignment horizontal="center" wrapText="1"/>
    </xf>
    <xf numFmtId="0" fontId="34" fillId="0" borderId="0" xfId="6" applyFont="1">
      <alignment vertical="top" wrapText="1"/>
    </xf>
    <xf numFmtId="0" fontId="6" fillId="0" borderId="0" xfId="6" applyFont="1" applyAlignment="1">
      <alignment wrapText="1"/>
    </xf>
    <xf numFmtId="0" fontId="6" fillId="0" borderId="0" xfId="6" applyFont="1" applyAlignment="1">
      <alignment horizontal="center" wrapText="1"/>
    </xf>
    <xf numFmtId="0" fontId="9" fillId="0" borderId="0" xfId="0" applyFont="1" applyAlignment="1">
      <alignment horizontal="center" vertical="top" wrapText="1"/>
    </xf>
    <xf numFmtId="0" fontId="38" fillId="0" borderId="0" xfId="7" applyFont="1" applyAlignment="1"/>
    <xf numFmtId="0" fontId="32" fillId="0" borderId="2" xfId="7" applyFont="1" applyBorder="1" applyAlignment="1">
      <alignment horizontal="center" vertical="center" wrapText="1"/>
    </xf>
    <xf numFmtId="49" fontId="39" fillId="0" borderId="2" xfId="7" applyNumberFormat="1" applyFont="1" applyBorder="1" applyAlignment="1">
      <alignment horizontal="center" vertical="center" wrapText="1"/>
    </xf>
    <xf numFmtId="0" fontId="39" fillId="0" borderId="2" xfId="7" applyFont="1" applyBorder="1" applyAlignment="1">
      <alignment horizontal="center" vertical="center" wrapText="1"/>
    </xf>
    <xf numFmtId="0" fontId="32" fillId="0" borderId="0" xfId="7" applyFont="1" applyAlignment="1"/>
    <xf numFmtId="0" fontId="32" fillId="0" borderId="2" xfId="7" applyFont="1" applyBorder="1">
      <alignment vertical="top" wrapText="1"/>
    </xf>
    <xf numFmtId="0" fontId="37" fillId="0" borderId="8" xfId="7" applyFont="1" applyBorder="1" applyAlignment="1">
      <alignment horizontal="center"/>
    </xf>
    <xf numFmtId="0" fontId="37" fillId="0" borderId="0" xfId="7" applyFont="1" applyAlignment="1">
      <alignment horizontal="center"/>
    </xf>
    <xf numFmtId="0" fontId="32" fillId="0" borderId="8" xfId="7" applyFont="1" applyBorder="1" applyAlignment="1"/>
    <xf numFmtId="0" fontId="32" fillId="0" borderId="2" xfId="7" applyFont="1" applyBorder="1" applyAlignment="1">
      <alignment horizontal="center" vertical="top" wrapText="1"/>
    </xf>
    <xf numFmtId="0" fontId="40" fillId="0" borderId="12" xfId="7" applyFont="1" applyBorder="1" applyAlignment="1">
      <alignment horizontal="center" vertical="top" wrapText="1"/>
    </xf>
    <xf numFmtId="0" fontId="32" fillId="0" borderId="2" xfId="7" applyFont="1" applyBorder="1" applyAlignment="1">
      <alignment horizontal="center" wrapText="1"/>
    </xf>
    <xf numFmtId="0" fontId="32" fillId="0" borderId="12" xfId="7" applyFont="1" applyBorder="1" applyAlignment="1">
      <alignment horizontal="center" vertical="top" wrapText="1"/>
    </xf>
    <xf numFmtId="0" fontId="32" fillId="0" borderId="8" xfId="7" applyFont="1" applyBorder="1" applyAlignment="1">
      <alignment wrapText="1"/>
    </xf>
    <xf numFmtId="0" fontId="32" fillId="0" borderId="2" xfId="7" applyFont="1" applyBorder="1" applyAlignment="1"/>
    <xf numFmtId="0" fontId="32" fillId="0" borderId="12" xfId="7" applyFont="1" applyBorder="1" applyAlignment="1"/>
    <xf numFmtId="0" fontId="34" fillId="0" borderId="0" xfId="7" applyFont="1">
      <alignment vertical="top" wrapText="1"/>
    </xf>
    <xf numFmtId="0" fontId="36" fillId="0" borderId="0" xfId="7" applyAlignment="1">
      <alignment horizontal="center"/>
    </xf>
    <xf numFmtId="0" fontId="32" fillId="0" borderId="0" xfId="7" applyFont="1" applyAlignment="1">
      <alignment horizontal="center" vertical="center"/>
    </xf>
    <xf numFmtId="0" fontId="34" fillId="0" borderId="12" xfId="7" applyFont="1" applyBorder="1" applyAlignment="1">
      <alignment horizontal="center" vertical="top" wrapText="1"/>
    </xf>
    <xf numFmtId="0" fontId="34" fillId="0" borderId="12" xfId="7" applyFont="1" applyBorder="1">
      <alignment vertical="top" wrapText="1"/>
    </xf>
    <xf numFmtId="0" fontId="34" fillId="0" borderId="15" xfId="7" applyFont="1" applyBorder="1">
      <alignment vertical="top" wrapText="1"/>
    </xf>
    <xf numFmtId="0" fontId="37" fillId="0" borderId="0" xfId="7" applyFont="1">
      <alignment vertical="top" wrapText="1"/>
    </xf>
    <xf numFmtId="0" fontId="37" fillId="0" borderId="0" xfId="7" applyFont="1" applyAlignment="1">
      <alignment horizontal="center" vertical="top" wrapText="1"/>
    </xf>
    <xf numFmtId="0" fontId="34" fillId="0" borderId="8" xfId="7" applyFont="1" applyBorder="1">
      <alignment vertical="top" wrapText="1"/>
    </xf>
    <xf numFmtId="0" fontId="41" fillId="0" borderId="2" xfId="7" applyFont="1" applyBorder="1" applyAlignment="1">
      <alignment horizontal="center" vertical="center" wrapText="1"/>
    </xf>
    <xf numFmtId="0" fontId="34" fillId="0" borderId="2" xfId="7" applyFont="1" applyBorder="1" applyAlignment="1">
      <alignment horizontal="center" vertical="top" wrapText="1"/>
    </xf>
    <xf numFmtId="0" fontId="34" fillId="0" borderId="2" xfId="7" applyFont="1" applyBorder="1">
      <alignment vertical="top" wrapText="1"/>
    </xf>
    <xf numFmtId="0" fontId="0" fillId="0" borderId="0" xfId="0" applyFill="1" applyAlignment="1">
      <alignment horizontal="center"/>
    </xf>
    <xf numFmtId="0" fontId="0" fillId="0" borderId="0" xfId="0" applyAlignment="1">
      <alignment horizontal="center" wrapText="1"/>
    </xf>
    <xf numFmtId="0" fontId="42" fillId="0" borderId="0" xfId="0" applyFont="1" applyAlignment="1">
      <alignment horizontal="center"/>
    </xf>
    <xf numFmtId="49" fontId="9" fillId="0" borderId="0" xfId="0" applyNumberFormat="1" applyFont="1" applyAlignment="1">
      <alignment horizontal="center" vertical="center" wrapText="1"/>
    </xf>
    <xf numFmtId="0" fontId="14" fillId="0" borderId="0" xfId="0" applyFont="1" applyAlignment="1">
      <alignment horizontal="left" vertical="top" wrapText="1"/>
    </xf>
    <xf numFmtId="0" fontId="14" fillId="0" borderId="0" xfId="0" applyFont="1" applyAlignment="1">
      <alignment horizontal="center" vertical="top" wrapText="1"/>
    </xf>
    <xf numFmtId="0" fontId="9" fillId="0" borderId="2" xfId="5" applyFont="1" applyBorder="1" applyAlignment="1">
      <alignment horizontal="center" wrapText="1"/>
    </xf>
    <xf numFmtId="0" fontId="9" fillId="0" borderId="3" xfId="5" applyFont="1" applyBorder="1" applyAlignment="1">
      <alignment horizontal="center" wrapText="1"/>
    </xf>
    <xf numFmtId="0" fontId="9" fillId="0" borderId="4" xfId="5" applyFont="1" applyBorder="1" applyAlignment="1">
      <alignment horizontal="center" wrapText="1"/>
    </xf>
    <xf numFmtId="0" fontId="9" fillId="0" borderId="6" xfId="5" applyFont="1" applyBorder="1" applyAlignment="1">
      <alignment horizontal="center" wrapText="1"/>
    </xf>
    <xf numFmtId="0" fontId="9" fillId="0" borderId="7" xfId="5" applyFont="1" applyBorder="1" applyAlignment="1">
      <alignment horizontal="center" wrapText="1"/>
    </xf>
    <xf numFmtId="0" fontId="9" fillId="0" borderId="10" xfId="5" applyFont="1" applyBorder="1" applyAlignment="1">
      <alignment horizontal="center" wrapText="1"/>
    </xf>
    <xf numFmtId="0" fontId="10" fillId="0" borderId="0" xfId="5" applyFont="1">
      <alignment vertical="top" wrapText="1"/>
    </xf>
    <xf numFmtId="0" fontId="33" fillId="8" borderId="0" xfId="6" applyFont="1" applyFill="1" applyAlignment="1">
      <alignment wrapText="1"/>
    </xf>
    <xf numFmtId="0" fontId="9" fillId="0" borderId="0" xfId="0" applyFont="1" applyAlignment="1">
      <alignment horizontal="center" vertical="top" wrapText="1"/>
    </xf>
    <xf numFmtId="0" fontId="30" fillId="0" borderId="0" xfId="0" applyFont="1" applyAlignment="1">
      <alignment horizontal="center" vertical="center" wrapText="1"/>
    </xf>
    <xf numFmtId="0" fontId="9" fillId="0" borderId="0" xfId="0" applyFont="1" applyAlignment="1">
      <alignment horizontal="center" vertical="top"/>
    </xf>
    <xf numFmtId="0" fontId="4" fillId="0" borderId="0" xfId="0" applyFont="1" applyAlignment="1">
      <alignment horizontal="center" vertical="top" wrapText="1"/>
    </xf>
    <xf numFmtId="49" fontId="37" fillId="9" borderId="2" xfId="7" applyNumberFormat="1" applyFont="1" applyFill="1" applyBorder="1" applyAlignment="1">
      <alignment horizontal="center" vertical="center" wrapText="1"/>
    </xf>
    <xf numFmtId="49" fontId="37" fillId="9" borderId="3" xfId="7" applyNumberFormat="1" applyFont="1" applyFill="1" applyBorder="1" applyAlignment="1">
      <alignment horizontal="center" vertical="center" wrapText="1"/>
    </xf>
    <xf numFmtId="49" fontId="37" fillId="9" borderId="4" xfId="7" applyNumberFormat="1" applyFont="1" applyFill="1" applyBorder="1" applyAlignment="1">
      <alignment horizontal="center" vertical="center" wrapText="1"/>
    </xf>
    <xf numFmtId="0" fontId="37" fillId="9" borderId="2" xfId="7" applyFont="1" applyFill="1" applyBorder="1" applyAlignment="1">
      <alignment horizontal="center" vertical="top" wrapText="1"/>
    </xf>
    <xf numFmtId="0" fontId="37" fillId="9" borderId="3" xfId="7" applyFont="1" applyFill="1" applyBorder="1" applyAlignment="1">
      <alignment horizontal="center" vertical="top" wrapText="1"/>
    </xf>
    <xf numFmtId="0" fontId="37" fillId="9" borderId="4" xfId="7" applyFont="1" applyFill="1" applyBorder="1" applyAlignment="1">
      <alignment horizontal="center" vertical="top" wrapText="1"/>
    </xf>
    <xf numFmtId="0" fontId="32" fillId="0" borderId="2" xfId="7" applyFont="1" applyBorder="1">
      <alignment vertical="top" wrapText="1"/>
    </xf>
    <xf numFmtId="0" fontId="32" fillId="0" borderId="3" xfId="7" applyFont="1" applyBorder="1">
      <alignment vertical="top" wrapText="1"/>
    </xf>
    <xf numFmtId="0" fontId="32" fillId="0" borderId="4" xfId="7" applyFont="1" applyBorder="1">
      <alignment vertical="top" wrapText="1"/>
    </xf>
    <xf numFmtId="0" fontId="34" fillId="0" borderId="0" xfId="7" applyFont="1">
      <alignment vertical="top" wrapText="1"/>
    </xf>
    <xf numFmtId="0" fontId="32" fillId="0" borderId="2" xfId="7" applyFont="1" applyBorder="1" applyAlignment="1">
      <alignment horizontal="center" vertical="center" wrapText="1"/>
    </xf>
    <xf numFmtId="0" fontId="32" fillId="0" borderId="13" xfId="7" applyFont="1" applyBorder="1" applyAlignment="1">
      <alignment horizontal="center" vertical="center" wrapText="1"/>
    </xf>
    <xf numFmtId="0" fontId="32" fillId="0" borderId="14" xfId="7" applyFont="1" applyBorder="1" applyAlignment="1">
      <alignment horizontal="center" vertical="center" wrapText="1"/>
    </xf>
    <xf numFmtId="0" fontId="32" fillId="0" borderId="3" xfId="7" applyFont="1" applyBorder="1" applyAlignment="1">
      <alignment horizontal="center" vertical="center" wrapText="1"/>
    </xf>
    <xf numFmtId="0" fontId="32" fillId="0" borderId="4" xfId="7" applyFont="1" applyBorder="1" applyAlignment="1">
      <alignment horizontal="center" vertical="center" wrapText="1"/>
    </xf>
    <xf numFmtId="0" fontId="34" fillId="9" borderId="2" xfId="7" applyFont="1" applyFill="1" applyBorder="1" applyAlignment="1">
      <alignment horizontal="center" vertical="top" wrapText="1"/>
    </xf>
    <xf numFmtId="0" fontId="34" fillId="9" borderId="3" xfId="7" applyFont="1" applyFill="1" applyBorder="1" applyAlignment="1">
      <alignment horizontal="center" vertical="top" wrapText="1"/>
    </xf>
    <xf numFmtId="0" fontId="34" fillId="9" borderId="4" xfId="7" applyFont="1" applyFill="1" applyBorder="1" applyAlignment="1">
      <alignment horizontal="center" vertical="top" wrapText="1"/>
    </xf>
    <xf numFmtId="0" fontId="32" fillId="0" borderId="0" xfId="7" applyFont="1" applyAlignment="1">
      <alignment horizontal="center" vertical="center"/>
    </xf>
    <xf numFmtId="0" fontId="41" fillId="0" borderId="2" xfId="7" applyFont="1" applyBorder="1" applyAlignment="1">
      <alignment horizontal="center" vertical="center" wrapText="1"/>
    </xf>
    <xf numFmtId="0" fontId="41" fillId="0" borderId="4" xfId="7" applyFont="1" applyBorder="1" applyAlignment="1">
      <alignment horizontal="center" vertical="center" wrapText="1"/>
    </xf>
    <xf numFmtId="0" fontId="41" fillId="0" borderId="14" xfId="7" applyFont="1" applyBorder="1" applyAlignment="1">
      <alignment horizontal="center" vertical="center" wrapText="1"/>
    </xf>
    <xf numFmtId="0" fontId="37" fillId="0" borderId="2" xfId="7" applyFont="1" applyBorder="1" applyAlignment="1">
      <alignment horizontal="center" vertical="center" wrapText="1"/>
    </xf>
    <xf numFmtId="0" fontId="37" fillId="0" borderId="13" xfId="7" applyFont="1" applyBorder="1" applyAlignment="1">
      <alignment horizontal="center" vertical="center" wrapText="1"/>
    </xf>
    <xf numFmtId="0" fontId="37" fillId="0" borderId="14" xfId="7" applyFont="1" applyBorder="1" applyAlignment="1">
      <alignment horizontal="center" vertical="center" wrapText="1"/>
    </xf>
    <xf numFmtId="0" fontId="41" fillId="0" borderId="13" xfId="7" applyFont="1" applyBorder="1" applyAlignment="1">
      <alignment horizontal="center" vertical="center" wrapText="1"/>
    </xf>
    <xf numFmtId="0" fontId="41" fillId="0" borderId="3" xfId="7" applyFont="1" applyBorder="1" applyAlignment="1">
      <alignment horizontal="center" vertical="center" wrapText="1"/>
    </xf>
    <xf numFmtId="0" fontId="1" fillId="0" borderId="0" xfId="0" applyFont="1" applyAlignment="1">
      <alignment horizontal="center" vertical="top" wrapText="1"/>
    </xf>
  </cellXfs>
  <cellStyles count="8">
    <cellStyle name="Обычный" xfId="0" builtinId="0"/>
    <cellStyle name="Обычный 2" xfId="4" xr:uid="{D29B76D0-9039-452B-B7F3-B74AA4B0F651}"/>
    <cellStyle name="Обычный 3" xfId="5" xr:uid="{7A5D7A54-C258-4CA5-89D8-7C48632AE388}"/>
    <cellStyle name="Обычный 4" xfId="6" xr:uid="{0268116D-D0D1-47B2-9B76-550F3688B840}"/>
    <cellStyle name="Обычный 5" xfId="7" xr:uid="{9277CB90-6F0D-4BA7-B1DC-97DEAD1F7D87}"/>
    <cellStyle name="Обычный 7" xfId="3" xr:uid="{B0F39FF8-C751-41AA-B44A-AB5D74F189D9}"/>
    <cellStyle name="Финансовый" xfId="1" builtinId="3"/>
    <cellStyle name="Финансовый 2" xfId="2" xr:uid="{E59300FA-8219-4BC6-B4F7-1732B05ACB0C}"/>
  </cellStyles>
  <dxfs count="8">
    <dxf>
      <fill>
        <patternFill>
          <bgColor theme="5" tint="0.79998168889431442"/>
        </patternFill>
      </fill>
    </dxf>
    <dxf>
      <fill>
        <patternFill>
          <bgColor theme="9" tint="0.79998168889431442"/>
        </patternFill>
      </fill>
    </dxf>
    <dxf>
      <fill>
        <patternFill>
          <bgColor theme="5" tint="0.39994506668294322"/>
        </patternFill>
      </fill>
    </dxf>
    <dxf>
      <fill>
        <patternFill>
          <bgColor rgb="FF92D050"/>
        </patternFill>
      </fill>
    </dxf>
    <dxf>
      <fill>
        <patternFill>
          <bgColor rgb="FFFFFF00"/>
        </patternFill>
      </fill>
    </dxf>
    <dxf>
      <fill>
        <patternFill>
          <bgColor theme="5" tint="0.79998168889431442"/>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44;&#1072;&#1085;&#1085;&#1099;&#1077;%20(&#1080;&#1089;&#1093;&#1086;&#1076;&#1085;&#1080;&#108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ормация"/>
      <sheetName val="Метеоданные"/>
      <sheetName val="Толщина_льда"/>
      <sheetName val="Снегозапасы"/>
      <sheetName val="Реестр_ЧС"/>
      <sheetName val="Анализ_ЧС"/>
      <sheetName val="Реестр_затопленных_домов"/>
      <sheetName val="Реестр_затопленных_НП"/>
      <sheetName val="Зачернение"/>
      <sheetName val="Перечень_НП"/>
      <sheetName val="ГМС"/>
      <sheetName val="ОКТМО"/>
      <sheetName val="Матрицы"/>
      <sheetName val="Координаты_ОКТМО"/>
    </sheetNames>
    <sheetDataSet>
      <sheetData sheetId="0"/>
      <sheetData sheetId="1"/>
      <sheetData sheetId="2"/>
      <sheetData sheetId="3"/>
      <sheetData sheetId="4"/>
      <sheetData sheetId="5"/>
      <sheetData sheetId="6"/>
      <sheetData sheetId="7"/>
      <sheetData sheetId="8"/>
      <sheetData sheetId="9"/>
      <sheetData sheetId="10"/>
      <sheetData sheetId="11">
        <row r="1">
          <cell r="B1" t="str">
            <v>ОКТМО</v>
          </cell>
          <cell r="C1" t="str">
            <v>Регион</v>
          </cell>
          <cell r="D1" t="str">
            <v>Код_региона (ОКТМО)</v>
          </cell>
          <cell r="E1" t="str">
            <v>Тип_МО</v>
          </cell>
          <cell r="F1" t="str">
            <v>Код_типа_МО</v>
          </cell>
          <cell r="G1" t="str">
            <v>Наименование_МО</v>
          </cell>
          <cell r="H1" t="str">
            <v>Код_наименования_МО</v>
          </cell>
          <cell r="I1" t="str">
            <v>Тип_НП_МО</v>
          </cell>
          <cell r="J1" t="str">
            <v>Наименование ГО, наслега</v>
          </cell>
          <cell r="K1" t="str">
            <v>тип НП (сокр)</v>
          </cell>
          <cell r="L1" t="str">
            <v>тип НП</v>
          </cell>
          <cell r="M1" t="str">
            <v>Наименование НП</v>
          </cell>
        </row>
        <row r="2">
          <cell r="B2">
            <v>98701000001</v>
          </cell>
          <cell r="C2" t="str">
            <v>Муниципальные образования Республики Саха (Якутия)</v>
          </cell>
          <cell r="D2" t="str">
            <v>Измененный н.п.</v>
          </cell>
          <cell r="E2" t="str">
            <v>Городские округа Республики Саха (Якутии)</v>
          </cell>
          <cell r="F2">
            <v>98700000</v>
          </cell>
          <cell r="G2" t="str">
            <v>Городской округ Город Якутск</v>
          </cell>
          <cell r="H2">
            <v>0</v>
          </cell>
          <cell r="I2">
            <v>0</v>
          </cell>
          <cell r="J2" t="str">
            <v>город Якутск</v>
          </cell>
          <cell r="K2" t="str">
            <v>г</v>
          </cell>
          <cell r="L2" t="str">
            <v>город</v>
          </cell>
          <cell r="M2" t="str">
            <v>Якутск</v>
          </cell>
        </row>
        <row r="3">
          <cell r="B3">
            <v>98701000001</v>
          </cell>
          <cell r="C3" t="str">
            <v>Муниципальные образования Республики Саха (Якутия)</v>
          </cell>
          <cell r="D3" t="str">
            <v>формула не работает, не РС(Я)</v>
          </cell>
          <cell r="E3" t="str">
            <v>Городские округа Республики Саха (Якутии)</v>
          </cell>
          <cell r="F3">
            <v>98700000</v>
          </cell>
          <cell r="G3" t="str">
            <v>Городской округ Город Якутск</v>
          </cell>
          <cell r="H3">
            <v>0</v>
          </cell>
          <cell r="I3">
            <v>0</v>
          </cell>
          <cell r="J3" t="str">
            <v>город Якутск</v>
          </cell>
          <cell r="K3" t="str">
            <v>мкр</v>
          </cell>
          <cell r="L3" t="str">
            <v>микрорайон</v>
          </cell>
          <cell r="M3" t="str">
            <v>Кангалассы</v>
          </cell>
        </row>
        <row r="4">
          <cell r="B4">
            <v>98701000106</v>
          </cell>
          <cell r="C4" t="str">
            <v>Муниципальные образования Республики Саха (Якутия)</v>
          </cell>
          <cell r="D4">
            <v>98600000</v>
          </cell>
          <cell r="E4" t="str">
            <v>Городские округа Республики Саха (Якутии)</v>
          </cell>
          <cell r="F4">
            <v>98700000</v>
          </cell>
          <cell r="G4" t="str">
            <v>Городской округ Город Якутск</v>
          </cell>
          <cell r="H4">
            <v>0</v>
          </cell>
          <cell r="I4">
            <v>0</v>
          </cell>
          <cell r="J4" t="str">
            <v>город Якутск</v>
          </cell>
          <cell r="K4" t="str">
            <v>с</v>
          </cell>
          <cell r="L4" t="str">
            <v>село</v>
          </cell>
          <cell r="M4" t="str">
            <v>Маган</v>
          </cell>
        </row>
        <row r="5">
          <cell r="B5">
            <v>98701000111</v>
          </cell>
          <cell r="C5" t="str">
            <v>Муниципальные образования Республики Саха (Якутия)</v>
          </cell>
          <cell r="D5">
            <v>98600000</v>
          </cell>
          <cell r="E5" t="str">
            <v>Городские округа Республики Саха (Якутии)</v>
          </cell>
          <cell r="F5">
            <v>98700000</v>
          </cell>
          <cell r="G5" t="str">
            <v>Городской округ Город Якутск</v>
          </cell>
          <cell r="H5">
            <v>0</v>
          </cell>
          <cell r="I5">
            <v>0</v>
          </cell>
          <cell r="J5" t="str">
            <v>город Якутск</v>
          </cell>
          <cell r="K5" t="str">
            <v>с</v>
          </cell>
          <cell r="L5" t="str">
            <v>село</v>
          </cell>
          <cell r="M5" t="str">
            <v>Старая Табага</v>
          </cell>
        </row>
        <row r="6">
          <cell r="B6">
            <v>98701000116</v>
          </cell>
          <cell r="C6" t="str">
            <v>Муниципальные образования Республики Саха (Якутия)</v>
          </cell>
          <cell r="D6">
            <v>98600000</v>
          </cell>
          <cell r="E6" t="str">
            <v>Городские округа Республики Саха (Якутии)</v>
          </cell>
          <cell r="F6">
            <v>98700000</v>
          </cell>
          <cell r="G6" t="str">
            <v>Городской округ Город Якутск</v>
          </cell>
          <cell r="H6">
            <v>0</v>
          </cell>
          <cell r="I6">
            <v>0</v>
          </cell>
          <cell r="J6" t="str">
            <v>город Якутск</v>
          </cell>
          <cell r="K6" t="str">
            <v>с</v>
          </cell>
          <cell r="L6" t="str">
            <v>село</v>
          </cell>
          <cell r="M6" t="str">
            <v>Табага</v>
          </cell>
        </row>
        <row r="7">
          <cell r="B7">
            <v>98701000121</v>
          </cell>
          <cell r="C7" t="str">
            <v>Муниципальные образования Республики Саха (Якутия)</v>
          </cell>
          <cell r="D7">
            <v>98600000</v>
          </cell>
          <cell r="E7" t="str">
            <v>Городские округа Республики Саха (Якутии)</v>
          </cell>
          <cell r="F7">
            <v>98700000</v>
          </cell>
          <cell r="G7" t="str">
            <v>Городской округ Город Якутск</v>
          </cell>
          <cell r="H7">
            <v>0</v>
          </cell>
          <cell r="I7">
            <v>0</v>
          </cell>
          <cell r="J7" t="str">
            <v>город Якутск</v>
          </cell>
          <cell r="K7" t="str">
            <v>с</v>
          </cell>
          <cell r="L7" t="str">
            <v>село</v>
          </cell>
          <cell r="M7" t="str">
            <v>Тулагино</v>
          </cell>
        </row>
        <row r="8">
          <cell r="B8">
            <v>98701000126</v>
          </cell>
          <cell r="C8" t="str">
            <v>Муниципальные образования Республики Саха (Якутия)</v>
          </cell>
          <cell r="D8">
            <v>98600000</v>
          </cell>
          <cell r="E8" t="str">
            <v>Городские округа Республики Саха (Якутии)</v>
          </cell>
          <cell r="F8">
            <v>98700000</v>
          </cell>
          <cell r="G8" t="str">
            <v>Городской округ Город Якутск</v>
          </cell>
          <cell r="H8">
            <v>0</v>
          </cell>
          <cell r="I8">
            <v>0</v>
          </cell>
          <cell r="J8" t="str">
            <v>город Якутск</v>
          </cell>
          <cell r="K8" t="str">
            <v>с</v>
          </cell>
          <cell r="L8" t="str">
            <v>село</v>
          </cell>
          <cell r="M8" t="str">
            <v>Капитоновка</v>
          </cell>
        </row>
        <row r="9">
          <cell r="B9">
            <v>98701000131</v>
          </cell>
          <cell r="C9" t="str">
            <v>Муниципальные образования Республики Саха (Якутия)</v>
          </cell>
          <cell r="D9">
            <v>98600000</v>
          </cell>
          <cell r="E9" t="str">
            <v>Городские округа Республики Саха (Якутии)</v>
          </cell>
          <cell r="F9">
            <v>98700000</v>
          </cell>
          <cell r="G9" t="str">
            <v>Городской округ Город Якутск</v>
          </cell>
          <cell r="H9">
            <v>0</v>
          </cell>
          <cell r="I9">
            <v>0</v>
          </cell>
          <cell r="J9" t="str">
            <v>город Якутск</v>
          </cell>
          <cell r="K9" t="str">
            <v>с</v>
          </cell>
          <cell r="L9" t="str">
            <v>село</v>
          </cell>
          <cell r="M9" t="str">
            <v>Кильдемцы</v>
          </cell>
        </row>
        <row r="10">
          <cell r="B10">
            <v>98701000136</v>
          </cell>
          <cell r="C10" t="str">
            <v>Муниципальные образования Республики Саха (Якутия)</v>
          </cell>
          <cell r="D10">
            <v>98600000</v>
          </cell>
          <cell r="E10" t="str">
            <v>Городские округа Республики Саха (Якутии)</v>
          </cell>
          <cell r="F10">
            <v>98700000</v>
          </cell>
          <cell r="G10" t="str">
            <v>Городской округ Город Якутск</v>
          </cell>
          <cell r="H10">
            <v>0</v>
          </cell>
          <cell r="I10">
            <v>0</v>
          </cell>
          <cell r="J10" t="str">
            <v>город Якутск</v>
          </cell>
          <cell r="K10" t="str">
            <v>с</v>
          </cell>
          <cell r="L10" t="str">
            <v>село</v>
          </cell>
          <cell r="M10" t="str">
            <v>Сырдах</v>
          </cell>
        </row>
        <row r="11">
          <cell r="B11">
            <v>98701000141</v>
          </cell>
          <cell r="C11" t="str">
            <v>Муниципальные образования Республики Саха (Якутия)</v>
          </cell>
          <cell r="D11">
            <v>98600000</v>
          </cell>
          <cell r="E11" t="str">
            <v>Городские округа Республики Саха (Якутии)</v>
          </cell>
          <cell r="F11">
            <v>98700000</v>
          </cell>
          <cell r="G11" t="str">
            <v>Городской округ Город Якутск</v>
          </cell>
          <cell r="H11">
            <v>0</v>
          </cell>
          <cell r="I11">
            <v>0</v>
          </cell>
          <cell r="J11" t="str">
            <v>город Якутск</v>
          </cell>
          <cell r="K11" t="str">
            <v>с</v>
          </cell>
          <cell r="L11" t="str">
            <v>село</v>
          </cell>
          <cell r="M11" t="str">
            <v>Хатассы</v>
          </cell>
        </row>
        <row r="12">
          <cell r="B12">
            <v>98701000146</v>
          </cell>
          <cell r="C12" t="str">
            <v>Муниципальные образования Республики Саха (Якутия)</v>
          </cell>
          <cell r="D12">
            <v>98600000</v>
          </cell>
          <cell r="E12" t="str">
            <v>Городские округа Республики Саха (Якутии)</v>
          </cell>
          <cell r="F12">
            <v>98700000</v>
          </cell>
          <cell r="G12" t="str">
            <v>Городской округ Город Якутск</v>
          </cell>
          <cell r="H12">
            <v>0</v>
          </cell>
          <cell r="I12">
            <v>0</v>
          </cell>
          <cell r="J12" t="str">
            <v>город Якутск</v>
          </cell>
          <cell r="K12" t="str">
            <v>с</v>
          </cell>
          <cell r="L12" t="str">
            <v>село</v>
          </cell>
          <cell r="M12" t="str">
            <v>Владимировка</v>
          </cell>
        </row>
        <row r="13">
          <cell r="B13">
            <v>98701000151</v>
          </cell>
          <cell r="C13" t="str">
            <v>Муниципальные образования Республики Саха (Якутия)</v>
          </cell>
          <cell r="D13">
            <v>98600000</v>
          </cell>
          <cell r="E13" t="str">
            <v>Городские округа Республики Саха (Якутии)</v>
          </cell>
          <cell r="F13">
            <v>98700000</v>
          </cell>
          <cell r="G13" t="str">
            <v>Городской округ Город Якутск</v>
          </cell>
          <cell r="H13">
            <v>0</v>
          </cell>
          <cell r="I13">
            <v>0</v>
          </cell>
          <cell r="J13" t="str">
            <v>город Якутск</v>
          </cell>
          <cell r="K13" t="str">
            <v>с</v>
          </cell>
          <cell r="L13" t="str">
            <v>село</v>
          </cell>
          <cell r="M13" t="str">
            <v>Пригородный</v>
          </cell>
        </row>
        <row r="14">
          <cell r="B14">
            <v>98702000051</v>
          </cell>
          <cell r="C14" t="str">
            <v>Муниципальные образования Республики Саха (Якутия)</v>
          </cell>
          <cell r="D14">
            <v>98600000</v>
          </cell>
          <cell r="E14" t="str">
            <v>Городские округа Республики Саха (Якутии)</v>
          </cell>
          <cell r="F14">
            <v>98700000</v>
          </cell>
          <cell r="G14" t="str">
            <v>Городской округ поселок Жатай</v>
          </cell>
          <cell r="H14">
            <v>0</v>
          </cell>
          <cell r="I14">
            <v>0</v>
          </cell>
          <cell r="J14" t="str">
            <v>Жатай</v>
          </cell>
          <cell r="K14" t="str">
            <v>п</v>
          </cell>
          <cell r="L14" t="str">
            <v>поселок</v>
          </cell>
          <cell r="M14" t="str">
            <v>Жатай</v>
          </cell>
        </row>
        <row r="15">
          <cell r="B15">
            <v>98601151051</v>
          </cell>
          <cell r="C15" t="str">
            <v>Муниципальные образования Республики Саха (Якутия)</v>
          </cell>
          <cell r="D15">
            <v>98600000</v>
          </cell>
          <cell r="E15" t="str">
            <v>Муниципальные образования Республики Саха (Якутия)</v>
          </cell>
          <cell r="F15">
            <v>98000000</v>
          </cell>
          <cell r="G15" t="str">
            <v>Абыйский муниципальный район</v>
          </cell>
          <cell r="H15">
            <v>98601000</v>
          </cell>
          <cell r="I15" t="str">
            <v>Городские поселения Абыйского муниципального района</v>
          </cell>
          <cell r="J15" t="str">
            <v>поселок Белая Гора</v>
          </cell>
          <cell r="K15" t="str">
            <v>п</v>
          </cell>
          <cell r="L15" t="str">
            <v>поселок</v>
          </cell>
          <cell r="M15" t="str">
            <v>Белая Гора</v>
          </cell>
        </row>
        <row r="16">
          <cell r="B16">
            <v>98601404101</v>
          </cell>
          <cell r="C16" t="str">
            <v>Муниципальные образования Республики Саха (Якутия)</v>
          </cell>
          <cell r="D16">
            <v>98600000</v>
          </cell>
          <cell r="E16" t="str">
            <v>Муниципальные образования Республики Саха (Якутия)</v>
          </cell>
          <cell r="F16">
            <v>98000000</v>
          </cell>
          <cell r="G16" t="str">
            <v>Абыйский муниципальный район</v>
          </cell>
          <cell r="H16">
            <v>98601000</v>
          </cell>
          <cell r="I16" t="str">
            <v>Сельские поселения Абыйского муниципального района</v>
          </cell>
          <cell r="J16" t="str">
            <v>Абыйский наслег</v>
          </cell>
          <cell r="K16" t="str">
            <v>с</v>
          </cell>
          <cell r="L16" t="str">
            <v>село</v>
          </cell>
          <cell r="M16" t="str">
            <v>Абый</v>
          </cell>
        </row>
        <row r="17">
          <cell r="B17">
            <v>98601404106</v>
          </cell>
          <cell r="C17" t="str">
            <v>Муниципальные образования Республики Саха (Якутия)</v>
          </cell>
          <cell r="D17">
            <v>98600000</v>
          </cell>
          <cell r="E17" t="str">
            <v>Муниципальные образования Республики Саха (Якутия)</v>
          </cell>
          <cell r="F17">
            <v>98000000</v>
          </cell>
          <cell r="G17" t="str">
            <v>Абыйский муниципальный район</v>
          </cell>
          <cell r="H17">
            <v>98601000</v>
          </cell>
          <cell r="I17" t="str">
            <v>Сельские поселения Абыйского муниципального района</v>
          </cell>
          <cell r="J17" t="str">
            <v>Абыйский наслег</v>
          </cell>
          <cell r="K17" t="str">
            <v>с</v>
          </cell>
          <cell r="L17" t="str">
            <v>село</v>
          </cell>
          <cell r="M17" t="str">
            <v>Дёску</v>
          </cell>
        </row>
        <row r="18">
          <cell r="B18">
            <v>98601409101</v>
          </cell>
          <cell r="C18" t="str">
            <v>Муниципальные образования Республики Саха (Якутия)</v>
          </cell>
          <cell r="D18">
            <v>98600000</v>
          </cell>
          <cell r="E18" t="str">
            <v>Муниципальные образования Республики Саха (Якутия)</v>
          </cell>
          <cell r="F18">
            <v>98000000</v>
          </cell>
          <cell r="G18" t="str">
            <v>Абыйский муниципальный район</v>
          </cell>
          <cell r="H18">
            <v>98601000</v>
          </cell>
          <cell r="I18" t="str">
            <v>Сельские поселения Абыйского муниципального района</v>
          </cell>
          <cell r="J18" t="str">
            <v>Майорский национальный наслег</v>
          </cell>
          <cell r="K18" t="str">
            <v>с</v>
          </cell>
          <cell r="L18" t="str">
            <v>село</v>
          </cell>
          <cell r="M18" t="str">
            <v>Куберганя</v>
          </cell>
        </row>
        <row r="19">
          <cell r="B19">
            <v>98601417101</v>
          </cell>
          <cell r="C19" t="str">
            <v>Муниципальные образования Республики Саха (Якутия)</v>
          </cell>
          <cell r="D19">
            <v>98600000</v>
          </cell>
          <cell r="E19" t="str">
            <v>Муниципальные образования Республики Саха (Якутия)</v>
          </cell>
          <cell r="F19">
            <v>98000000</v>
          </cell>
          <cell r="G19" t="str">
            <v>Абыйский муниципальный район</v>
          </cell>
          <cell r="H19">
            <v>98601000</v>
          </cell>
          <cell r="I19" t="str">
            <v>Сельские поселения Абыйского муниципального района</v>
          </cell>
          <cell r="J19" t="str">
            <v>Мугурдахский наслег</v>
          </cell>
          <cell r="K19" t="str">
            <v>с</v>
          </cell>
          <cell r="L19" t="str">
            <v>село</v>
          </cell>
          <cell r="M19" t="str">
            <v>Сыаганнах</v>
          </cell>
        </row>
        <row r="20">
          <cell r="B20">
            <v>98601422101</v>
          </cell>
          <cell r="C20" t="str">
            <v>Муниципальные образования Республики Саха (Якутия)</v>
          </cell>
          <cell r="D20">
            <v>98600000</v>
          </cell>
          <cell r="E20" t="str">
            <v>Муниципальные образования Республики Саха (Якутия)</v>
          </cell>
          <cell r="F20">
            <v>98000000</v>
          </cell>
          <cell r="G20" t="str">
            <v>Абыйский муниципальный район</v>
          </cell>
          <cell r="H20">
            <v>98601000</v>
          </cell>
          <cell r="I20" t="str">
            <v>Сельские поселения Абыйского муниципального района</v>
          </cell>
          <cell r="J20" t="str">
            <v>Уолбутский наслег</v>
          </cell>
          <cell r="K20" t="str">
            <v>с</v>
          </cell>
          <cell r="L20" t="str">
            <v>село</v>
          </cell>
          <cell r="M20" t="str">
            <v>Кенг-Кюёль</v>
          </cell>
        </row>
        <row r="21">
          <cell r="B21">
            <v>98601433101</v>
          </cell>
          <cell r="C21" t="str">
            <v>Муниципальные образования Республики Саха (Якутия)</v>
          </cell>
          <cell r="D21">
            <v>98600000</v>
          </cell>
          <cell r="E21" t="str">
            <v>Муниципальные образования Республики Саха (Якутия)</v>
          </cell>
          <cell r="F21">
            <v>98000000</v>
          </cell>
          <cell r="G21" t="str">
            <v>Абыйский муниципальный район</v>
          </cell>
          <cell r="H21">
            <v>98601000</v>
          </cell>
          <cell r="I21" t="str">
            <v>Сельские поселения Абыйского муниципального района</v>
          </cell>
          <cell r="J21" t="str">
            <v>Урасалахский наслег</v>
          </cell>
          <cell r="K21" t="str">
            <v>с</v>
          </cell>
          <cell r="L21" t="str">
            <v>село</v>
          </cell>
          <cell r="M21" t="str">
            <v>Сутуруоха</v>
          </cell>
        </row>
        <row r="22">
          <cell r="B22">
            <v>98603101001</v>
          </cell>
          <cell r="C22" t="str">
            <v>Муниципальные образования Республики Саха (Якутия)</v>
          </cell>
          <cell r="D22">
            <v>98600000</v>
          </cell>
          <cell r="E22" t="str">
            <v>Муниципальные образования Республики Саха (Якутия)</v>
          </cell>
          <cell r="F22">
            <v>98000000</v>
          </cell>
          <cell r="G22" t="str">
            <v>Алданский муниципальный район</v>
          </cell>
          <cell r="H22">
            <v>98603000</v>
          </cell>
          <cell r="I22" t="str">
            <v>Городские поселения Алданского муниципального района</v>
          </cell>
          <cell r="J22" t="str">
            <v>город Алдан</v>
          </cell>
          <cell r="K22" t="str">
            <v>г</v>
          </cell>
          <cell r="L22" t="str">
            <v>город</v>
          </cell>
          <cell r="M22" t="str">
            <v>Алдан</v>
          </cell>
        </row>
        <row r="23">
          <cell r="B23">
            <v>98603101106</v>
          </cell>
          <cell r="C23" t="str">
            <v>Муниципальные образования Республики Саха (Якутия)</v>
          </cell>
          <cell r="D23">
            <v>98600000</v>
          </cell>
          <cell r="E23" t="str">
            <v>Муниципальные образования Республики Саха (Якутия)</v>
          </cell>
          <cell r="F23">
            <v>98000000</v>
          </cell>
          <cell r="G23" t="str">
            <v>Алданский муниципальный район</v>
          </cell>
          <cell r="H23">
            <v>98603000</v>
          </cell>
          <cell r="I23" t="str">
            <v>Городские поселения Алданского муниципального района</v>
          </cell>
          <cell r="J23" t="str">
            <v>город Алдан</v>
          </cell>
          <cell r="K23" t="str">
            <v>с</v>
          </cell>
          <cell r="L23" t="str">
            <v>село</v>
          </cell>
          <cell r="M23" t="str">
            <v>Орочен 2-й</v>
          </cell>
        </row>
        <row r="24">
          <cell r="B24">
            <v>98603101111</v>
          </cell>
          <cell r="C24" t="str">
            <v>Муниципальные образования Республики Саха (Якутия)</v>
          </cell>
          <cell r="D24">
            <v>98600000</v>
          </cell>
          <cell r="E24" t="str">
            <v>Муниципальные образования Республики Саха (Якутия)</v>
          </cell>
          <cell r="F24">
            <v>98000000</v>
          </cell>
          <cell r="G24" t="str">
            <v>Алданский муниципальный район</v>
          </cell>
          <cell r="H24">
            <v>98603000</v>
          </cell>
          <cell r="I24" t="str">
            <v>Городские поселения Алданского муниципального района</v>
          </cell>
          <cell r="J24" t="str">
            <v>город Алдан</v>
          </cell>
          <cell r="K24" t="str">
            <v>с</v>
          </cell>
          <cell r="L24" t="str">
            <v>село</v>
          </cell>
          <cell r="M24" t="str">
            <v>Большой Нимныр</v>
          </cell>
        </row>
        <row r="25">
          <cell r="B25">
            <v>98603105001</v>
          </cell>
          <cell r="C25" t="str">
            <v>Муниципальные образования Республики Саха (Якутия)</v>
          </cell>
          <cell r="D25">
            <v>98600000</v>
          </cell>
          <cell r="E25" t="str">
            <v>Муниципальные образования Республики Саха (Якутия)</v>
          </cell>
          <cell r="F25">
            <v>98000000</v>
          </cell>
          <cell r="G25" t="str">
            <v>Алданский муниципальный район</v>
          </cell>
          <cell r="H25">
            <v>98603000</v>
          </cell>
          <cell r="I25" t="str">
            <v>Городские поселения Алданского муниципального района</v>
          </cell>
          <cell r="J25" t="str">
            <v>город Томмот</v>
          </cell>
          <cell r="K25" t="str">
            <v>г</v>
          </cell>
          <cell r="L25" t="str">
            <v>город</v>
          </cell>
          <cell r="M25" t="str">
            <v>Томмот</v>
          </cell>
        </row>
        <row r="26">
          <cell r="B26">
            <v>98603105056</v>
          </cell>
          <cell r="C26" t="str">
            <v>Муниципальные образования Республики Саха (Якутия)</v>
          </cell>
          <cell r="D26">
            <v>98600000</v>
          </cell>
          <cell r="E26" t="str">
            <v>Муниципальные образования Республики Саха (Якутия)</v>
          </cell>
          <cell r="F26">
            <v>98000000</v>
          </cell>
          <cell r="G26" t="str">
            <v>Алданский муниципальный район</v>
          </cell>
          <cell r="H26">
            <v>98603000</v>
          </cell>
          <cell r="I26" t="str">
            <v>Городские поселения Алданского муниципального района</v>
          </cell>
          <cell r="J26" t="str">
            <v>город Томмот</v>
          </cell>
          <cell r="K26" t="str">
            <v>п</v>
          </cell>
          <cell r="L26" t="str">
            <v>поселок</v>
          </cell>
          <cell r="M26" t="str">
            <v>Безымянный</v>
          </cell>
        </row>
        <row r="27">
          <cell r="B27">
            <v>98603105106</v>
          </cell>
          <cell r="C27" t="str">
            <v>Муниципальные образования Республики Саха (Якутия)</v>
          </cell>
          <cell r="D27">
            <v>98600000</v>
          </cell>
          <cell r="E27" t="str">
            <v>Муниципальные образования Республики Саха (Якутия)</v>
          </cell>
          <cell r="F27">
            <v>98000000</v>
          </cell>
          <cell r="G27" t="str">
            <v>Алданский муниципальный район</v>
          </cell>
          <cell r="H27">
            <v>98603000</v>
          </cell>
          <cell r="I27" t="str">
            <v>Городские поселения Алданского муниципального района</v>
          </cell>
          <cell r="J27" t="str">
            <v>город Томмот</v>
          </cell>
          <cell r="K27" t="str">
            <v>с</v>
          </cell>
          <cell r="L27" t="str">
            <v>село</v>
          </cell>
          <cell r="M27" t="str">
            <v>Ыллымах</v>
          </cell>
        </row>
        <row r="28">
          <cell r="B28">
            <v>98603105111</v>
          </cell>
          <cell r="C28" t="str">
            <v>Муниципальные образования Республики Саха (Якутия)</v>
          </cell>
          <cell r="D28">
            <v>98600000</v>
          </cell>
          <cell r="E28" t="str">
            <v>Муниципальные образования Республики Саха (Якутия)</v>
          </cell>
          <cell r="F28">
            <v>98000000</v>
          </cell>
          <cell r="G28" t="str">
            <v>Алданский муниципальный район</v>
          </cell>
          <cell r="H28">
            <v>98603000</v>
          </cell>
          <cell r="I28" t="str">
            <v>Городские поселения Алданского муниципального района</v>
          </cell>
          <cell r="J28" t="str">
            <v>город Томмот</v>
          </cell>
          <cell r="K28" t="str">
            <v>с</v>
          </cell>
          <cell r="L28" t="str">
            <v>село</v>
          </cell>
          <cell r="M28" t="str">
            <v>Верхняя Амга</v>
          </cell>
        </row>
        <row r="29">
          <cell r="B29">
            <v>98603105116</v>
          </cell>
          <cell r="C29" t="str">
            <v>Муниципальные образования Республики Саха (Якутия)</v>
          </cell>
          <cell r="D29">
            <v>98600000</v>
          </cell>
          <cell r="E29" t="str">
            <v>Муниципальные образования Республики Саха (Якутия)</v>
          </cell>
          <cell r="F29">
            <v>98000000</v>
          </cell>
          <cell r="G29" t="str">
            <v>Алданский муниципальный район</v>
          </cell>
          <cell r="H29">
            <v>98603000</v>
          </cell>
          <cell r="I29" t="str">
            <v>Городские поселения Алданского муниципального района</v>
          </cell>
          <cell r="J29" t="str">
            <v>город Томмот</v>
          </cell>
          <cell r="K29" t="str">
            <v>с</v>
          </cell>
          <cell r="L29" t="str">
            <v>село</v>
          </cell>
          <cell r="M29" t="str">
            <v>Улу</v>
          </cell>
        </row>
        <row r="30">
          <cell r="B30">
            <v>98603161051</v>
          </cell>
          <cell r="C30" t="str">
            <v>Муниципальные образования Республики Саха (Якутия)</v>
          </cell>
          <cell r="D30">
            <v>98600000</v>
          </cell>
          <cell r="E30" t="str">
            <v>Муниципальные образования Республики Саха (Якутия)</v>
          </cell>
          <cell r="F30">
            <v>98000000</v>
          </cell>
          <cell r="G30" t="str">
            <v>Алданский муниципальный район</v>
          </cell>
          <cell r="H30">
            <v>98603000</v>
          </cell>
          <cell r="I30" t="str">
            <v>Городские поселения Алданского муниципального района</v>
          </cell>
          <cell r="J30" t="str">
            <v>поселок Ленинский</v>
          </cell>
          <cell r="K30" t="str">
            <v>п</v>
          </cell>
          <cell r="L30" t="str">
            <v>поселок</v>
          </cell>
          <cell r="M30" t="str">
            <v>Ленинский</v>
          </cell>
        </row>
        <row r="31">
          <cell r="B31">
            <v>98603161056</v>
          </cell>
          <cell r="C31" t="str">
            <v>Муниципальные образования Республики Саха (Якутия)</v>
          </cell>
          <cell r="D31">
            <v>98600000</v>
          </cell>
          <cell r="E31" t="str">
            <v>Муниципальные образования Республики Саха (Якутия)</v>
          </cell>
          <cell r="F31">
            <v>98000000</v>
          </cell>
          <cell r="G31" t="str">
            <v>Алданский муниципальный район</v>
          </cell>
          <cell r="H31">
            <v>98603000</v>
          </cell>
          <cell r="I31" t="str">
            <v>Городские поселения Алданского муниципального района</v>
          </cell>
          <cell r="J31" t="str">
            <v>поселок Ленинский</v>
          </cell>
          <cell r="K31" t="str">
            <v>п</v>
          </cell>
          <cell r="L31" t="str">
            <v>поселок</v>
          </cell>
          <cell r="M31" t="str">
            <v>Лебединый</v>
          </cell>
        </row>
        <row r="32">
          <cell r="B32">
            <v>98603161106</v>
          </cell>
          <cell r="C32" t="str">
            <v>Муниципальные образования Республики Саха (Якутия)</v>
          </cell>
          <cell r="D32">
            <v>98600000</v>
          </cell>
          <cell r="E32" t="str">
            <v>Муниципальные образования Республики Саха (Якутия)</v>
          </cell>
          <cell r="F32">
            <v>98000000</v>
          </cell>
          <cell r="G32" t="str">
            <v>Алданский муниципальный район</v>
          </cell>
          <cell r="H32">
            <v>98603000</v>
          </cell>
          <cell r="I32" t="str">
            <v>Городские поселения Алданского муниципального района</v>
          </cell>
          <cell r="J32" t="str">
            <v>поселок Ленинский</v>
          </cell>
          <cell r="K32" t="str">
            <v>с</v>
          </cell>
          <cell r="L32" t="str">
            <v>село</v>
          </cell>
          <cell r="M32" t="str">
            <v>Орочен 1-й</v>
          </cell>
        </row>
        <row r="33">
          <cell r="B33">
            <v>98603161111</v>
          </cell>
          <cell r="C33" t="str">
            <v>Муниципальные образования Республики Саха (Якутия)</v>
          </cell>
          <cell r="D33">
            <v>98600000</v>
          </cell>
          <cell r="E33" t="str">
            <v>Муниципальные образования Республики Саха (Якутия)</v>
          </cell>
          <cell r="F33">
            <v>98000000</v>
          </cell>
          <cell r="G33" t="str">
            <v>Алданский муниципальный район</v>
          </cell>
          <cell r="H33">
            <v>98603000</v>
          </cell>
          <cell r="I33" t="str">
            <v>Городские поселения Алданского муниципального района</v>
          </cell>
          <cell r="J33" t="str">
            <v>поселок Ленинский</v>
          </cell>
          <cell r="K33" t="str">
            <v>с</v>
          </cell>
          <cell r="L33" t="str">
            <v>село</v>
          </cell>
          <cell r="M33" t="str">
            <v>Якокут</v>
          </cell>
        </row>
        <row r="34">
          <cell r="B34">
            <v>98603170051</v>
          </cell>
          <cell r="C34" t="str">
            <v>Муниципальные образования Республики Саха (Якутия)</v>
          </cell>
          <cell r="D34">
            <v>98600000</v>
          </cell>
          <cell r="E34" t="str">
            <v>Муниципальные образования Республики Саха (Якутия)</v>
          </cell>
          <cell r="F34">
            <v>98000000</v>
          </cell>
          <cell r="G34" t="str">
            <v>Алданский муниципальный район</v>
          </cell>
          <cell r="H34">
            <v>98603000</v>
          </cell>
          <cell r="I34" t="str">
            <v>Городские поселения Алданского муниципального района</v>
          </cell>
          <cell r="J34" t="str">
            <v>поселок Нижний Куранах</v>
          </cell>
          <cell r="K34" t="str">
            <v>п</v>
          </cell>
          <cell r="L34" t="str">
            <v>поселок</v>
          </cell>
          <cell r="M34" t="str">
            <v>Нижний Куранах</v>
          </cell>
        </row>
        <row r="35">
          <cell r="B35">
            <v>98603170106</v>
          </cell>
          <cell r="C35" t="str">
            <v>Муниципальные образования Республики Саха (Якутия)</v>
          </cell>
          <cell r="D35">
            <v>98600000</v>
          </cell>
          <cell r="E35" t="str">
            <v>Муниципальные образования Республики Саха (Якутия)</v>
          </cell>
          <cell r="F35">
            <v>98000000</v>
          </cell>
          <cell r="G35" t="str">
            <v>Алданский муниципальный район</v>
          </cell>
          <cell r="H35">
            <v>98603000</v>
          </cell>
          <cell r="I35" t="str">
            <v>Городские поселения Алданского муниципального района</v>
          </cell>
          <cell r="J35" t="str">
            <v>поселок Нижний Куранах</v>
          </cell>
          <cell r="K35" t="str">
            <v>с</v>
          </cell>
          <cell r="L35" t="str">
            <v>село</v>
          </cell>
          <cell r="M35" t="str">
            <v>Верхний Куранах</v>
          </cell>
        </row>
        <row r="36">
          <cell r="B36">
            <v>98603170111</v>
          </cell>
          <cell r="C36" t="str">
            <v>Муниципальные образования Республики Саха (Якутия)</v>
          </cell>
          <cell r="D36">
            <v>98600000</v>
          </cell>
          <cell r="E36" t="str">
            <v>Муниципальные образования Республики Саха (Якутия)</v>
          </cell>
          <cell r="F36">
            <v>98000000</v>
          </cell>
          <cell r="G36" t="str">
            <v>Алданский муниципальный район</v>
          </cell>
          <cell r="H36">
            <v>98603000</v>
          </cell>
          <cell r="I36" t="str">
            <v>Городские поселения Алданского муниципального района</v>
          </cell>
          <cell r="J36" t="str">
            <v>поселок Нижний Куранах</v>
          </cell>
          <cell r="K36" t="str">
            <v>с</v>
          </cell>
          <cell r="L36" t="str">
            <v>село</v>
          </cell>
          <cell r="M36" t="str">
            <v>Якокит</v>
          </cell>
        </row>
        <row r="37">
          <cell r="B37">
            <v>98603404101</v>
          </cell>
          <cell r="C37" t="str">
            <v>Муниципальные образования Республики Саха (Якутия)</v>
          </cell>
          <cell r="D37">
            <v>98600000</v>
          </cell>
          <cell r="E37" t="str">
            <v>Муниципальные образования Республики Саха (Якутия)</v>
          </cell>
          <cell r="F37">
            <v>98000000</v>
          </cell>
          <cell r="G37" t="str">
            <v>Алданский муниципальный район</v>
          </cell>
          <cell r="H37">
            <v>98603000</v>
          </cell>
          <cell r="I37" t="str">
            <v>Сельские поселения Алданского муниципального района</v>
          </cell>
          <cell r="J37" t="str">
            <v>Национальный наслег Анамы</v>
          </cell>
          <cell r="K37" t="str">
            <v>с</v>
          </cell>
          <cell r="L37" t="str">
            <v>село</v>
          </cell>
          <cell r="M37" t="str">
            <v>Кутана</v>
          </cell>
        </row>
        <row r="38">
          <cell r="B38">
            <v>98603407101</v>
          </cell>
          <cell r="C38" t="str">
            <v>Муниципальные образования Республики Саха (Якутия)</v>
          </cell>
          <cell r="D38">
            <v>98600000</v>
          </cell>
          <cell r="E38" t="str">
            <v>Муниципальные образования Республики Саха (Якутия)</v>
          </cell>
          <cell r="F38">
            <v>98000000</v>
          </cell>
          <cell r="G38" t="str">
            <v>Алданский муниципальный район</v>
          </cell>
          <cell r="H38">
            <v>98603000</v>
          </cell>
          <cell r="I38" t="str">
            <v>Сельские поселения Алданского муниципального района</v>
          </cell>
          <cell r="J38" t="str">
            <v>Беллетский эвенкийский национальный наслег</v>
          </cell>
          <cell r="K38" t="str">
            <v>с</v>
          </cell>
          <cell r="L38" t="str">
            <v>село</v>
          </cell>
          <cell r="M38" t="str">
            <v>Хатыстыр</v>
          </cell>
        </row>
        <row r="39">
          <cell r="B39">
            <v>98603407106</v>
          </cell>
          <cell r="C39" t="str">
            <v>Муниципальные образования Республики Саха (Якутия)</v>
          </cell>
          <cell r="D39">
            <v>98600000</v>
          </cell>
          <cell r="E39" t="str">
            <v>Муниципальные образования Республики Саха (Якутия)</v>
          </cell>
          <cell r="F39">
            <v>98000000</v>
          </cell>
          <cell r="G39" t="str">
            <v>Алданский муниципальный район</v>
          </cell>
          <cell r="H39">
            <v>98603000</v>
          </cell>
          <cell r="I39" t="str">
            <v>Сельские поселения Алданского муниципального района</v>
          </cell>
          <cell r="J39" t="str">
            <v>Беллетский эвенкийский национальный наслег</v>
          </cell>
          <cell r="K39" t="str">
            <v>с</v>
          </cell>
          <cell r="L39" t="str">
            <v>село</v>
          </cell>
          <cell r="M39" t="str">
            <v>Угоян</v>
          </cell>
        </row>
        <row r="40">
          <cell r="B40">
            <v>98603460101</v>
          </cell>
          <cell r="C40" t="str">
            <v>Муниципальные образования Республики Саха (Якутия)</v>
          </cell>
          <cell r="D40">
            <v>98600000</v>
          </cell>
          <cell r="E40" t="str">
            <v>Муниципальные образования Республики Саха (Якутия)</v>
          </cell>
          <cell r="F40">
            <v>98000000</v>
          </cell>
          <cell r="G40" t="str">
            <v>Алданский муниципальный район</v>
          </cell>
          <cell r="H40">
            <v>98603000</v>
          </cell>
          <cell r="I40" t="str">
            <v>Сельские поселения Алданского муниципального района</v>
          </cell>
          <cell r="J40" t="str">
            <v>Чагдинский наслег</v>
          </cell>
          <cell r="K40" t="str">
            <v>с</v>
          </cell>
          <cell r="L40" t="str">
            <v>село</v>
          </cell>
          <cell r="M40" t="str">
            <v>Чагда</v>
          </cell>
        </row>
        <row r="41">
          <cell r="B41">
            <v>98604405101</v>
          </cell>
          <cell r="C41" t="str">
            <v>Муниципальные образования Республики Саха (Якутия)</v>
          </cell>
          <cell r="D41">
            <v>98600000</v>
          </cell>
          <cell r="E41" t="str">
            <v>Муниципальные образования Республики Саха (Якутия)</v>
          </cell>
          <cell r="F41">
            <v>98000000</v>
          </cell>
          <cell r="G41" t="str">
            <v>Таттинский муниципальный район</v>
          </cell>
          <cell r="H41">
            <v>98604000</v>
          </cell>
          <cell r="I41" t="str">
            <v>Сельские поселения Таттинского муниципального района</v>
          </cell>
          <cell r="J41" t="str">
            <v>Алданский наслег</v>
          </cell>
          <cell r="K41" t="str">
            <v>с</v>
          </cell>
          <cell r="L41" t="str">
            <v>село</v>
          </cell>
          <cell r="M41" t="str">
            <v>Булун</v>
          </cell>
        </row>
        <row r="42">
          <cell r="B42">
            <v>98604410101</v>
          </cell>
          <cell r="C42" t="str">
            <v>Муниципальные образования Республики Саха (Якутия)</v>
          </cell>
          <cell r="D42">
            <v>98600000</v>
          </cell>
          <cell r="E42" t="str">
            <v>Муниципальные образования Республики Саха (Якутия)</v>
          </cell>
          <cell r="F42">
            <v>98000000</v>
          </cell>
          <cell r="G42" t="str">
            <v>Таттинский муниципальный район</v>
          </cell>
          <cell r="H42">
            <v>98604000</v>
          </cell>
          <cell r="I42" t="str">
            <v>Сельские поселения Таттинского муниципального района</v>
          </cell>
          <cell r="J42" t="str">
            <v>Амгинский наслег</v>
          </cell>
          <cell r="K42" t="str">
            <v>с</v>
          </cell>
          <cell r="L42" t="str">
            <v>село</v>
          </cell>
          <cell r="M42" t="str">
            <v>Чычымах</v>
          </cell>
        </row>
        <row r="43">
          <cell r="B43">
            <v>98604415101</v>
          </cell>
          <cell r="C43" t="str">
            <v>Муниципальные образования Республики Саха (Якутия)</v>
          </cell>
          <cell r="D43">
            <v>98600000</v>
          </cell>
          <cell r="E43" t="str">
            <v>Муниципальные образования Республики Саха (Якутия)</v>
          </cell>
          <cell r="F43">
            <v>98000000</v>
          </cell>
          <cell r="G43" t="str">
            <v>Таттинский муниципальный район</v>
          </cell>
          <cell r="H43">
            <v>98604000</v>
          </cell>
          <cell r="I43" t="str">
            <v>Сельские поселения Таттинского муниципального района</v>
          </cell>
          <cell r="J43" t="str">
            <v>Баягинский наслег</v>
          </cell>
          <cell r="K43" t="str">
            <v>с</v>
          </cell>
          <cell r="L43" t="str">
            <v>село</v>
          </cell>
          <cell r="M43" t="str">
            <v>Томтор</v>
          </cell>
        </row>
        <row r="44">
          <cell r="B44">
            <v>98604418101</v>
          </cell>
          <cell r="C44" t="str">
            <v>Муниципальные образования Республики Саха (Якутия)</v>
          </cell>
          <cell r="D44">
            <v>98600000</v>
          </cell>
          <cell r="E44" t="str">
            <v>Муниципальные образования Республики Саха (Якутия)</v>
          </cell>
          <cell r="F44">
            <v>98000000</v>
          </cell>
          <cell r="G44" t="str">
            <v>Таттинский муниципальный район</v>
          </cell>
          <cell r="H44">
            <v>98604000</v>
          </cell>
          <cell r="I44" t="str">
            <v>Сельские поселения Таттинского муниципального района</v>
          </cell>
          <cell r="J44" t="str">
            <v>Дайа-Амгинский наслег</v>
          </cell>
          <cell r="K44" t="str">
            <v>с</v>
          </cell>
          <cell r="L44" t="str">
            <v>село</v>
          </cell>
          <cell r="M44" t="str">
            <v>Дайа-Амгата</v>
          </cell>
        </row>
        <row r="45">
          <cell r="B45">
            <v>98604420101</v>
          </cell>
          <cell r="C45" t="str">
            <v>Муниципальные образования Республики Саха (Якутия)</v>
          </cell>
          <cell r="D45">
            <v>98600000</v>
          </cell>
          <cell r="E45" t="str">
            <v>Муниципальные образования Республики Саха (Якутия)</v>
          </cell>
          <cell r="F45">
            <v>98000000</v>
          </cell>
          <cell r="G45" t="str">
            <v>Таттинский муниципальный район</v>
          </cell>
          <cell r="H45">
            <v>98604000</v>
          </cell>
          <cell r="I45" t="str">
            <v>Сельские поселения Таттинского муниципального района</v>
          </cell>
          <cell r="J45" t="str">
            <v>Жохсогонский наслег</v>
          </cell>
          <cell r="K45" t="str">
            <v>с</v>
          </cell>
          <cell r="L45" t="str">
            <v>село</v>
          </cell>
          <cell r="M45" t="str">
            <v>Боробул</v>
          </cell>
        </row>
        <row r="46">
          <cell r="B46">
            <v>98604420106</v>
          </cell>
          <cell r="C46" t="str">
            <v>Муниципальные образования Республики Саха (Якутия)</v>
          </cell>
          <cell r="D46">
            <v>98600000</v>
          </cell>
          <cell r="E46" t="str">
            <v>Муниципальные образования Республики Саха (Якутия)</v>
          </cell>
          <cell r="F46">
            <v>98000000</v>
          </cell>
          <cell r="G46" t="str">
            <v>Таттинский муниципальный район</v>
          </cell>
          <cell r="H46">
            <v>98604000</v>
          </cell>
          <cell r="I46" t="str">
            <v>Сельские поселения Таттинского муниципального района</v>
          </cell>
          <cell r="J46" t="str">
            <v>Жохсогонский наслег</v>
          </cell>
          <cell r="K46" t="str">
            <v>с</v>
          </cell>
          <cell r="L46" t="str">
            <v>село</v>
          </cell>
          <cell r="M46" t="str">
            <v>Даккы</v>
          </cell>
        </row>
        <row r="47">
          <cell r="B47">
            <v>98604425101</v>
          </cell>
          <cell r="C47" t="str">
            <v>Муниципальные образования Республики Саха (Якутия)</v>
          </cell>
          <cell r="D47">
            <v>98600000</v>
          </cell>
          <cell r="E47" t="str">
            <v>Муниципальные образования Республики Саха (Якутия)</v>
          </cell>
          <cell r="F47">
            <v>98000000</v>
          </cell>
          <cell r="G47" t="str">
            <v>Таттинский муниципальный район</v>
          </cell>
          <cell r="H47">
            <v>98604000</v>
          </cell>
          <cell r="I47" t="str">
            <v>Сельские поселения Таттинского муниципального района</v>
          </cell>
          <cell r="J47" t="str">
            <v>Жулейский наслег</v>
          </cell>
          <cell r="K47" t="str">
            <v>с</v>
          </cell>
          <cell r="L47" t="str">
            <v>село</v>
          </cell>
          <cell r="M47" t="str">
            <v>Туора-Кюёль</v>
          </cell>
        </row>
        <row r="48">
          <cell r="B48">
            <v>98604430101</v>
          </cell>
          <cell r="C48" t="str">
            <v>Муниципальные образования Республики Саха (Якутия)</v>
          </cell>
          <cell r="D48">
            <v>98600000</v>
          </cell>
          <cell r="E48" t="str">
            <v>Муниципальные образования Республики Саха (Якутия)</v>
          </cell>
          <cell r="F48">
            <v>98000000</v>
          </cell>
          <cell r="G48" t="str">
            <v>Таттинский муниципальный район</v>
          </cell>
          <cell r="H48">
            <v>98604000</v>
          </cell>
          <cell r="I48" t="str">
            <v>Сельские поселения Таттинского муниципального района</v>
          </cell>
          <cell r="J48" t="str">
            <v>Игидейский наслег</v>
          </cell>
          <cell r="K48" t="str">
            <v>с</v>
          </cell>
          <cell r="L48" t="str">
            <v>село</v>
          </cell>
          <cell r="M48" t="str">
            <v>Дебдирге</v>
          </cell>
        </row>
        <row r="49">
          <cell r="B49">
            <v>98604435101</v>
          </cell>
          <cell r="C49" t="str">
            <v>Муниципальные образования Республики Саха (Якутия)</v>
          </cell>
          <cell r="D49">
            <v>98600000</v>
          </cell>
          <cell r="E49" t="str">
            <v>Муниципальные образования Республики Саха (Якутия)</v>
          </cell>
          <cell r="F49">
            <v>98000000</v>
          </cell>
          <cell r="G49" t="str">
            <v>Таттинский муниципальный район</v>
          </cell>
          <cell r="H49">
            <v>98604000</v>
          </cell>
          <cell r="I49" t="str">
            <v>Сельские поселения Таттинского муниципального района</v>
          </cell>
          <cell r="J49" t="str">
            <v>Октябрьский наслег</v>
          </cell>
          <cell r="K49" t="str">
            <v>с</v>
          </cell>
          <cell r="L49" t="str">
            <v>село</v>
          </cell>
          <cell r="M49" t="str">
            <v>Черкёх</v>
          </cell>
        </row>
        <row r="50">
          <cell r="B50">
            <v>98604440101</v>
          </cell>
          <cell r="C50" t="str">
            <v>Муниципальные образования Республики Саха (Якутия)</v>
          </cell>
          <cell r="D50">
            <v>98600000</v>
          </cell>
          <cell r="E50" t="str">
            <v>Муниципальные образования Республики Саха (Якутия)</v>
          </cell>
          <cell r="F50">
            <v>98000000</v>
          </cell>
          <cell r="G50" t="str">
            <v>Таттинский муниципальный район</v>
          </cell>
          <cell r="H50">
            <v>98604000</v>
          </cell>
          <cell r="I50" t="str">
            <v>Сельские поселения Таттинского муниципального района</v>
          </cell>
          <cell r="J50" t="str">
            <v>Средне-Амгинский наслег</v>
          </cell>
          <cell r="K50" t="str">
            <v>с</v>
          </cell>
          <cell r="L50" t="str">
            <v>село</v>
          </cell>
          <cell r="M50" t="str">
            <v>Харбалах</v>
          </cell>
        </row>
        <row r="51">
          <cell r="B51">
            <v>98604445101</v>
          </cell>
          <cell r="C51" t="str">
            <v>Муниципальные образования Республики Саха (Якутия)</v>
          </cell>
          <cell r="D51">
            <v>98600000</v>
          </cell>
          <cell r="E51" t="str">
            <v>Муниципальные образования Республики Саха (Якутия)</v>
          </cell>
          <cell r="F51">
            <v>98000000</v>
          </cell>
          <cell r="G51" t="str">
            <v>Таттинский муниципальный район</v>
          </cell>
          <cell r="H51">
            <v>98604000</v>
          </cell>
          <cell r="I51" t="str">
            <v>Сельские поселения Таттинского муниципального района</v>
          </cell>
          <cell r="J51" t="str">
            <v>Таттинский наслег</v>
          </cell>
          <cell r="K51" t="str">
            <v>с</v>
          </cell>
          <cell r="L51" t="str">
            <v>село</v>
          </cell>
          <cell r="M51" t="str">
            <v>Ытык-Кюёль</v>
          </cell>
        </row>
        <row r="52">
          <cell r="B52">
            <v>98604450101</v>
          </cell>
          <cell r="C52" t="str">
            <v>Муниципальные образования Республики Саха (Якутия)</v>
          </cell>
          <cell r="D52">
            <v>98600000</v>
          </cell>
          <cell r="E52" t="str">
            <v>Муниципальные образования Республики Саха (Якутия)</v>
          </cell>
          <cell r="F52">
            <v>98000000</v>
          </cell>
          <cell r="G52" t="str">
            <v>Таттинский муниципальный район</v>
          </cell>
          <cell r="H52">
            <v>98604000</v>
          </cell>
          <cell r="I52" t="str">
            <v>Сельские поселения Таттинского муниципального района</v>
          </cell>
          <cell r="J52" t="str">
            <v>Тыарасинский наслег</v>
          </cell>
          <cell r="K52" t="str">
            <v>с</v>
          </cell>
          <cell r="L52" t="str">
            <v>село</v>
          </cell>
          <cell r="M52" t="str">
            <v>Кыйы</v>
          </cell>
        </row>
        <row r="53">
          <cell r="B53">
            <v>98604455101</v>
          </cell>
          <cell r="C53" t="str">
            <v>Муниципальные образования Республики Саха (Якутия)</v>
          </cell>
          <cell r="D53">
            <v>98600000</v>
          </cell>
          <cell r="E53" t="str">
            <v>Муниципальные образования Республики Саха (Якутия)</v>
          </cell>
          <cell r="F53">
            <v>98000000</v>
          </cell>
          <cell r="G53" t="str">
            <v>Таттинский муниципальный район</v>
          </cell>
          <cell r="H53">
            <v>98604000</v>
          </cell>
          <cell r="I53" t="str">
            <v>Сельские поселения Таттинского муниципального района</v>
          </cell>
          <cell r="J53" t="str">
            <v>Уолбинский наслег</v>
          </cell>
          <cell r="K53" t="str">
            <v>с</v>
          </cell>
          <cell r="L53" t="str">
            <v>село</v>
          </cell>
          <cell r="M53" t="str">
            <v>Уолба</v>
          </cell>
        </row>
        <row r="54">
          <cell r="B54">
            <v>98604460101</v>
          </cell>
          <cell r="C54" t="str">
            <v>Муниципальные образования Республики Саха (Якутия)</v>
          </cell>
          <cell r="D54">
            <v>98600000</v>
          </cell>
          <cell r="E54" t="str">
            <v>Муниципальные образования Республики Саха (Якутия)</v>
          </cell>
          <cell r="F54">
            <v>98000000</v>
          </cell>
          <cell r="G54" t="str">
            <v>Таттинский муниципальный район</v>
          </cell>
          <cell r="H54">
            <v>98604000</v>
          </cell>
          <cell r="I54" t="str">
            <v>Сельские поселения Таттинского муниципального района</v>
          </cell>
          <cell r="J54" t="str">
            <v>Усть-Амгинский наслег</v>
          </cell>
          <cell r="K54" t="str">
            <v>с</v>
          </cell>
          <cell r="L54" t="str">
            <v>село</v>
          </cell>
          <cell r="M54" t="str">
            <v>Чымнайи</v>
          </cell>
        </row>
        <row r="55">
          <cell r="B55">
            <v>98604465101</v>
          </cell>
          <cell r="C55" t="str">
            <v>Муниципальные образования Республики Саха (Якутия)</v>
          </cell>
          <cell r="D55">
            <v>98600000</v>
          </cell>
          <cell r="E55" t="str">
            <v>Муниципальные образования Республики Саха (Якутия)</v>
          </cell>
          <cell r="F55">
            <v>98000000</v>
          </cell>
          <cell r="G55" t="str">
            <v>Таттинский муниципальный район</v>
          </cell>
          <cell r="H55">
            <v>98604000</v>
          </cell>
          <cell r="I55" t="str">
            <v>Сельские поселения Таттинского муниципального района</v>
          </cell>
          <cell r="J55" t="str">
            <v>Хара-Алданский наслег</v>
          </cell>
          <cell r="K55" t="str">
            <v>с</v>
          </cell>
          <cell r="L55" t="str">
            <v>село</v>
          </cell>
          <cell r="M55" t="str">
            <v>Хара-Алдан</v>
          </cell>
        </row>
        <row r="56">
          <cell r="B56">
            <v>98606151051</v>
          </cell>
          <cell r="C56" t="str">
            <v>Муниципальные образования Республики Саха (Якутия)</v>
          </cell>
          <cell r="D56">
            <v>98600000</v>
          </cell>
          <cell r="E56" t="str">
            <v>Муниципальные образования Республики Саха (Якутия)</v>
          </cell>
          <cell r="F56">
            <v>98000000</v>
          </cell>
          <cell r="G56" t="str">
            <v>Аллаиховский муниципальный район</v>
          </cell>
          <cell r="H56">
            <v>98606000</v>
          </cell>
          <cell r="I56" t="str">
            <v>Городские поселения Аллаиховского муниципального района</v>
          </cell>
          <cell r="J56" t="str">
            <v>поселок Чокурдах</v>
          </cell>
          <cell r="K56" t="str">
            <v>п</v>
          </cell>
          <cell r="L56" t="str">
            <v>поселок</v>
          </cell>
          <cell r="M56" t="str">
            <v>Чокурдах</v>
          </cell>
        </row>
        <row r="57">
          <cell r="B57">
            <v>98606424101</v>
          </cell>
          <cell r="C57" t="str">
            <v>Муниципальные образования Республики Саха (Якутия)</v>
          </cell>
          <cell r="D57">
            <v>98600000</v>
          </cell>
          <cell r="E57" t="str">
            <v>Муниципальные образования Республики Саха (Якутия)</v>
          </cell>
          <cell r="F57">
            <v>98000000</v>
          </cell>
          <cell r="G57" t="str">
            <v>Аллаиховский муниципальный район</v>
          </cell>
          <cell r="H57">
            <v>98606000</v>
          </cell>
          <cell r="I57" t="str">
            <v>Сельские поселения Аллаиховского муниципального района</v>
          </cell>
          <cell r="J57" t="str">
            <v>Береляхский наслег</v>
          </cell>
          <cell r="K57" t="str">
            <v>с</v>
          </cell>
          <cell r="L57" t="str">
            <v>село</v>
          </cell>
          <cell r="M57" t="str">
            <v>Чкалов</v>
          </cell>
        </row>
        <row r="58">
          <cell r="B58">
            <v>98606437101</v>
          </cell>
          <cell r="C58" t="str">
            <v>Муниципальные образования Республики Саха (Якутия)</v>
          </cell>
          <cell r="D58">
            <v>98600000</v>
          </cell>
          <cell r="E58" t="str">
            <v>Муниципальные образования Республики Саха (Якутия)</v>
          </cell>
          <cell r="F58">
            <v>98000000</v>
          </cell>
          <cell r="G58" t="str">
            <v>Аллаиховский муниципальный район</v>
          </cell>
          <cell r="H58">
            <v>98606000</v>
          </cell>
          <cell r="I58" t="str">
            <v>Сельские поселения Аллаиховского муниципального района</v>
          </cell>
          <cell r="J58" t="str">
            <v>Быягнырский наслег</v>
          </cell>
          <cell r="K58" t="str">
            <v>с</v>
          </cell>
          <cell r="L58" t="str">
            <v>село</v>
          </cell>
          <cell r="M58" t="str">
            <v>Нычалах</v>
          </cell>
        </row>
        <row r="59">
          <cell r="B59">
            <v>98606450101</v>
          </cell>
          <cell r="C59" t="str">
            <v>Муниципальные образования Республики Саха (Якутия)</v>
          </cell>
          <cell r="D59">
            <v>98600000</v>
          </cell>
          <cell r="E59" t="str">
            <v>Муниципальные образования Республики Саха (Якутия)</v>
          </cell>
          <cell r="F59">
            <v>98000000</v>
          </cell>
          <cell r="G59" t="str">
            <v>Аллаиховский муниципальный район</v>
          </cell>
          <cell r="H59">
            <v>98606000</v>
          </cell>
          <cell r="I59" t="str">
            <v>Сельские поселения Аллаиховского муниципального района</v>
          </cell>
          <cell r="J59" t="str">
            <v>Русско-Устьинский наслег</v>
          </cell>
          <cell r="K59" t="str">
            <v>с</v>
          </cell>
          <cell r="L59" t="str">
            <v>село</v>
          </cell>
          <cell r="M59" t="str">
            <v>Русское Устье</v>
          </cell>
        </row>
        <row r="60">
          <cell r="B60">
            <v>98606476101</v>
          </cell>
          <cell r="C60" t="str">
            <v>Муниципальные образования Республики Саха (Якутия)</v>
          </cell>
          <cell r="D60">
            <v>98600000</v>
          </cell>
          <cell r="E60" t="str">
            <v>Муниципальные образования Республики Саха (Якутия)</v>
          </cell>
          <cell r="F60">
            <v>98000000</v>
          </cell>
          <cell r="G60" t="str">
            <v>Аллаиховский муниципальный район</v>
          </cell>
          <cell r="H60">
            <v>98606000</v>
          </cell>
          <cell r="I60" t="str">
            <v>Сельские поселения Аллаиховского муниципального района</v>
          </cell>
          <cell r="J60" t="str">
            <v>Юкагирский национальный наслег</v>
          </cell>
          <cell r="K60" t="str">
            <v>с</v>
          </cell>
          <cell r="L60" t="str">
            <v>село</v>
          </cell>
          <cell r="M60" t="str">
            <v>Оленегорск</v>
          </cell>
        </row>
        <row r="61">
          <cell r="B61">
            <v>98606476106</v>
          </cell>
          <cell r="C61" t="str">
            <v>Муниципальные образования Республики Саха (Якутия)</v>
          </cell>
          <cell r="D61">
            <v>98600000</v>
          </cell>
          <cell r="E61" t="str">
            <v>Муниципальные образования Республики Саха (Якутия)</v>
          </cell>
          <cell r="F61">
            <v>98000000</v>
          </cell>
          <cell r="G61" t="str">
            <v>Аллаиховский муниципальный район</v>
          </cell>
          <cell r="H61">
            <v>98606000</v>
          </cell>
          <cell r="I61" t="str">
            <v>Сельские поселения Аллаиховского муниципального района</v>
          </cell>
          <cell r="J61" t="str">
            <v>Юкагирский национальный наслег</v>
          </cell>
          <cell r="K61" t="str">
            <v>с</v>
          </cell>
          <cell r="L61" t="str">
            <v>село</v>
          </cell>
          <cell r="M61" t="str">
            <v>Воронцово</v>
          </cell>
        </row>
        <row r="62">
          <cell r="B62">
            <v>98606745902</v>
          </cell>
          <cell r="C62" t="str">
            <v>Муниципальные образования Республики Саха (Якутия)</v>
          </cell>
          <cell r="D62">
            <v>98600000</v>
          </cell>
          <cell r="E62" t="str">
            <v>Муниципальные образования Республики Саха (Якутия)</v>
          </cell>
          <cell r="F62">
            <v>98000000</v>
          </cell>
          <cell r="G62" t="str">
            <v>Аллаиховский муниципальный район</v>
          </cell>
          <cell r="H62">
            <v>98606000</v>
          </cell>
          <cell r="I62" t="str">
            <v>Межселенные территории Аллаиховского муниципального района</v>
          </cell>
          <cell r="J62" t="str">
            <v>Территория Ойотунгского национального (кочевого) наслега</v>
          </cell>
          <cell r="K62" t="str">
            <v>с</v>
          </cell>
          <cell r="L62" t="str">
            <v>село</v>
          </cell>
          <cell r="M62" t="str">
            <v>Ойотунг</v>
          </cell>
        </row>
        <row r="63">
          <cell r="B63">
            <v>98608405101</v>
          </cell>
          <cell r="C63" t="str">
            <v>Муниципальные образования Республики Саха (Якутия)</v>
          </cell>
          <cell r="D63">
            <v>98600000</v>
          </cell>
          <cell r="E63" t="str">
            <v>Муниципальные образования Республики Саха (Якутия)</v>
          </cell>
          <cell r="F63">
            <v>98000000</v>
          </cell>
          <cell r="G63" t="str">
            <v>Амгинский муниципальный район</v>
          </cell>
          <cell r="H63">
            <v>98608000</v>
          </cell>
          <cell r="I63" t="str">
            <v>Сельские поселения Амгинского муниципального района</v>
          </cell>
          <cell r="J63" t="str">
            <v>Абагинский наслег</v>
          </cell>
          <cell r="K63" t="str">
            <v>с</v>
          </cell>
          <cell r="L63" t="str">
            <v>село</v>
          </cell>
          <cell r="M63" t="str">
            <v>Абага</v>
          </cell>
        </row>
        <row r="64">
          <cell r="B64">
            <v>98608414101</v>
          </cell>
          <cell r="C64" t="str">
            <v>Муниципальные образования Республики Саха (Якутия)</v>
          </cell>
          <cell r="D64">
            <v>98600000</v>
          </cell>
          <cell r="E64" t="str">
            <v>Муниципальные образования Республики Саха (Якутия)</v>
          </cell>
          <cell r="F64">
            <v>98000000</v>
          </cell>
          <cell r="G64" t="str">
            <v>Амгинский муниципальный район</v>
          </cell>
          <cell r="H64">
            <v>98608000</v>
          </cell>
          <cell r="I64" t="str">
            <v>Сельские поселения Амгинского муниципального района</v>
          </cell>
          <cell r="J64" t="str">
            <v>Алтанский наслег</v>
          </cell>
          <cell r="K64" t="str">
            <v>с</v>
          </cell>
          <cell r="L64" t="str">
            <v>село</v>
          </cell>
          <cell r="M64" t="str">
            <v>Алтанцы</v>
          </cell>
        </row>
        <row r="65">
          <cell r="B65">
            <v>98608429101</v>
          </cell>
          <cell r="C65" t="str">
            <v>Муниципальные образования Республики Саха (Якутия)</v>
          </cell>
          <cell r="D65">
            <v>98600000</v>
          </cell>
          <cell r="E65" t="str">
            <v>Муниципальные образования Республики Саха (Якутия)</v>
          </cell>
          <cell r="F65">
            <v>98000000</v>
          </cell>
          <cell r="G65" t="str">
            <v>Амгинский муниципальный район</v>
          </cell>
          <cell r="H65">
            <v>98608000</v>
          </cell>
          <cell r="I65" t="str">
            <v>Сельские поселения Амгинского муниципального района</v>
          </cell>
          <cell r="J65" t="str">
            <v>Амгино-Нахаринский наслег</v>
          </cell>
          <cell r="K65" t="str">
            <v>с</v>
          </cell>
          <cell r="L65" t="str">
            <v>село</v>
          </cell>
          <cell r="M65" t="str">
            <v>Оннёс</v>
          </cell>
        </row>
        <row r="66">
          <cell r="B66">
            <v>98608429106</v>
          </cell>
          <cell r="C66" t="str">
            <v>Муниципальные образования Республики Саха (Якутия)</v>
          </cell>
          <cell r="D66">
            <v>98600000</v>
          </cell>
          <cell r="E66" t="str">
            <v>Муниципальные образования Республики Саха (Якутия)</v>
          </cell>
          <cell r="F66">
            <v>98000000</v>
          </cell>
          <cell r="G66" t="str">
            <v>Амгинский муниципальный район</v>
          </cell>
          <cell r="H66">
            <v>98608000</v>
          </cell>
          <cell r="I66" t="str">
            <v>Сельские поселения Амгинского муниципального района</v>
          </cell>
          <cell r="J66" t="str">
            <v>Амгино-Нахаринский наслег</v>
          </cell>
          <cell r="K66" t="str">
            <v>с</v>
          </cell>
          <cell r="L66" t="str">
            <v>село</v>
          </cell>
          <cell r="M66" t="str">
            <v>Ефремово</v>
          </cell>
        </row>
        <row r="67">
          <cell r="B67">
            <v>98608429111</v>
          </cell>
          <cell r="C67" t="str">
            <v>Муниципальные образования Республики Саха (Якутия)</v>
          </cell>
          <cell r="D67">
            <v>98600000</v>
          </cell>
          <cell r="E67" t="str">
            <v>Муниципальные образования Республики Саха (Якутия)</v>
          </cell>
          <cell r="F67">
            <v>98000000</v>
          </cell>
          <cell r="G67" t="str">
            <v>Амгинский муниципальный район</v>
          </cell>
          <cell r="H67">
            <v>98608000</v>
          </cell>
          <cell r="I67" t="str">
            <v>Сельские поселения Амгинского муниципального района</v>
          </cell>
          <cell r="J67" t="str">
            <v>Амгино-Нахаринский наслег</v>
          </cell>
          <cell r="K67" t="str">
            <v>с</v>
          </cell>
          <cell r="L67" t="str">
            <v>село</v>
          </cell>
          <cell r="M67" t="str">
            <v>Тегюльтя</v>
          </cell>
        </row>
        <row r="68">
          <cell r="B68">
            <v>98608432101</v>
          </cell>
          <cell r="C68" t="str">
            <v>Муниципальные образования Республики Саха (Якутия)</v>
          </cell>
          <cell r="D68">
            <v>98600000</v>
          </cell>
          <cell r="E68" t="str">
            <v>Муниципальные образования Республики Саха (Якутия)</v>
          </cell>
          <cell r="F68">
            <v>98000000</v>
          </cell>
          <cell r="G68" t="str">
            <v>Амгинский муниципальный район</v>
          </cell>
          <cell r="H68">
            <v>98608000</v>
          </cell>
          <cell r="I68" t="str">
            <v>Сельские поселения Амгинского муниципального района</v>
          </cell>
          <cell r="J68" t="str">
            <v>Амгинский наслег</v>
          </cell>
          <cell r="K68" t="str">
            <v>с</v>
          </cell>
          <cell r="L68" t="str">
            <v>село</v>
          </cell>
          <cell r="M68" t="str">
            <v>Амга</v>
          </cell>
        </row>
        <row r="69">
          <cell r="B69">
            <v>98608440101</v>
          </cell>
          <cell r="C69" t="str">
            <v>Муниципальные образования Республики Саха (Якутия)</v>
          </cell>
          <cell r="D69">
            <v>98600000</v>
          </cell>
          <cell r="E69" t="str">
            <v>Муниципальные образования Республики Саха (Якутия)</v>
          </cell>
          <cell r="F69">
            <v>98000000</v>
          </cell>
          <cell r="G69" t="str">
            <v>Амгинский муниципальный район</v>
          </cell>
          <cell r="H69">
            <v>98608000</v>
          </cell>
          <cell r="I69" t="str">
            <v>Сельские поселения Амгинского муниципального района</v>
          </cell>
          <cell r="J69" t="str">
            <v>Бетюнский наслег</v>
          </cell>
          <cell r="K69" t="str">
            <v>с</v>
          </cell>
          <cell r="L69" t="str">
            <v>село</v>
          </cell>
          <cell r="M69" t="str">
            <v>Бетюнцы</v>
          </cell>
        </row>
        <row r="70">
          <cell r="B70">
            <v>98608440106</v>
          </cell>
          <cell r="C70" t="str">
            <v>Муниципальные образования Республики Саха (Якутия)</v>
          </cell>
          <cell r="D70">
            <v>98600000</v>
          </cell>
          <cell r="E70" t="str">
            <v>Муниципальные образования Республики Саха (Якутия)</v>
          </cell>
          <cell r="F70">
            <v>98000000</v>
          </cell>
          <cell r="G70" t="str">
            <v>Амгинский муниципальный район</v>
          </cell>
          <cell r="H70">
            <v>98608000</v>
          </cell>
          <cell r="I70" t="str">
            <v>Сельские поселения Амгинского муниципального района</v>
          </cell>
          <cell r="J70" t="str">
            <v>Бетюнский наслег</v>
          </cell>
          <cell r="K70" t="str">
            <v>с</v>
          </cell>
          <cell r="L70" t="str">
            <v>село</v>
          </cell>
          <cell r="M70" t="str">
            <v>Уорай</v>
          </cell>
        </row>
        <row r="71">
          <cell r="B71">
            <v>98608446101</v>
          </cell>
          <cell r="C71" t="str">
            <v>Муниципальные образования Республики Саха (Якутия)</v>
          </cell>
          <cell r="D71">
            <v>98600000</v>
          </cell>
          <cell r="E71" t="str">
            <v>Муниципальные образования Республики Саха (Якутия)</v>
          </cell>
          <cell r="F71">
            <v>98000000</v>
          </cell>
          <cell r="G71" t="str">
            <v>Амгинский муниципальный район</v>
          </cell>
          <cell r="H71">
            <v>98608000</v>
          </cell>
          <cell r="I71" t="str">
            <v>Сельские поселения Амгинского муниципального района</v>
          </cell>
          <cell r="J71" t="str">
            <v>Болугурский наслег</v>
          </cell>
          <cell r="K71" t="str">
            <v>с</v>
          </cell>
          <cell r="L71" t="str">
            <v>село</v>
          </cell>
          <cell r="M71" t="str">
            <v>Болугур</v>
          </cell>
        </row>
        <row r="72">
          <cell r="B72">
            <v>98608452101</v>
          </cell>
          <cell r="C72" t="str">
            <v>Муниципальные образования Республики Саха (Якутия)</v>
          </cell>
          <cell r="D72">
            <v>98600000</v>
          </cell>
          <cell r="E72" t="str">
            <v>Муниципальные образования Республики Саха (Якутия)</v>
          </cell>
          <cell r="F72">
            <v>98000000</v>
          </cell>
          <cell r="G72" t="str">
            <v>Амгинский муниципальный район</v>
          </cell>
          <cell r="H72">
            <v>98608000</v>
          </cell>
          <cell r="I72" t="str">
            <v>Сельские поселения Амгинского муниципального района</v>
          </cell>
          <cell r="J72" t="str">
            <v>Майский наслег</v>
          </cell>
          <cell r="K72" t="str">
            <v>с</v>
          </cell>
          <cell r="L72" t="str">
            <v>село</v>
          </cell>
          <cell r="M72" t="str">
            <v>Покровка</v>
          </cell>
        </row>
        <row r="73">
          <cell r="B73">
            <v>98608452106</v>
          </cell>
          <cell r="C73" t="str">
            <v>Муниципальные образования Республики Саха (Якутия)</v>
          </cell>
          <cell r="D73">
            <v>98600000</v>
          </cell>
          <cell r="E73" t="str">
            <v>Муниципальные образования Республики Саха (Якутия)</v>
          </cell>
          <cell r="F73">
            <v>98000000</v>
          </cell>
          <cell r="G73" t="str">
            <v>Амгинский муниципальный район</v>
          </cell>
          <cell r="H73">
            <v>98608000</v>
          </cell>
          <cell r="I73" t="str">
            <v>Сельские поселения Амгинского муниципального района</v>
          </cell>
          <cell r="J73" t="str">
            <v>Майский наслег</v>
          </cell>
          <cell r="K73" t="str">
            <v>с</v>
          </cell>
          <cell r="L73" t="str">
            <v>село</v>
          </cell>
          <cell r="M73" t="str">
            <v>Булун</v>
          </cell>
        </row>
        <row r="74">
          <cell r="B74">
            <v>98608455101</v>
          </cell>
          <cell r="C74" t="str">
            <v>Муниципальные образования Республики Саха (Якутия)</v>
          </cell>
          <cell r="D74">
            <v>98600000</v>
          </cell>
          <cell r="E74" t="str">
            <v>Муниципальные образования Республики Саха (Якутия)</v>
          </cell>
          <cell r="F74">
            <v>98000000</v>
          </cell>
          <cell r="G74" t="str">
            <v>Амгинский муниципальный район</v>
          </cell>
          <cell r="H74">
            <v>98608000</v>
          </cell>
          <cell r="I74" t="str">
            <v>Сельские поселения Амгинского муниципального района</v>
          </cell>
          <cell r="J74" t="str">
            <v>Мяндигинский наслег</v>
          </cell>
          <cell r="K74" t="str">
            <v>с</v>
          </cell>
          <cell r="L74" t="str">
            <v>село</v>
          </cell>
          <cell r="M74" t="str">
            <v>Мяндиги</v>
          </cell>
        </row>
        <row r="75">
          <cell r="B75">
            <v>98608458101</v>
          </cell>
          <cell r="C75" t="str">
            <v>Муниципальные образования Республики Саха (Якутия)</v>
          </cell>
          <cell r="D75">
            <v>98600000</v>
          </cell>
          <cell r="E75" t="str">
            <v>Муниципальные образования Республики Саха (Якутия)</v>
          </cell>
          <cell r="F75">
            <v>98000000</v>
          </cell>
          <cell r="G75" t="str">
            <v>Амгинский муниципальный район</v>
          </cell>
          <cell r="H75">
            <v>98608000</v>
          </cell>
          <cell r="I75" t="str">
            <v>Сельские поселения Амгинского муниципального района</v>
          </cell>
          <cell r="J75" t="str">
            <v>Сатагайский наслег</v>
          </cell>
          <cell r="K75" t="str">
            <v>с</v>
          </cell>
          <cell r="L75" t="str">
            <v>село</v>
          </cell>
          <cell r="M75" t="str">
            <v>Сатагай</v>
          </cell>
        </row>
        <row r="76">
          <cell r="B76">
            <v>98608460101</v>
          </cell>
          <cell r="C76" t="str">
            <v>Муниципальные образования Республики Саха (Якутия)</v>
          </cell>
          <cell r="D76">
            <v>98600000</v>
          </cell>
          <cell r="E76" t="str">
            <v>Муниципальные образования Республики Саха (Якутия)</v>
          </cell>
          <cell r="F76">
            <v>98000000</v>
          </cell>
          <cell r="G76" t="str">
            <v>Амгинский муниципальный район</v>
          </cell>
          <cell r="H76">
            <v>98608000</v>
          </cell>
          <cell r="I76" t="str">
            <v>Сельские поселения Амгинского муниципального района</v>
          </cell>
          <cell r="J76" t="str">
            <v>Соморсунский наслег</v>
          </cell>
          <cell r="K76" t="str">
            <v>с</v>
          </cell>
          <cell r="L76" t="str">
            <v>село</v>
          </cell>
          <cell r="M76" t="str">
            <v>Михайловка</v>
          </cell>
        </row>
        <row r="77">
          <cell r="B77">
            <v>98608465101</v>
          </cell>
          <cell r="C77" t="str">
            <v>Муниципальные образования Республики Саха (Якутия)</v>
          </cell>
          <cell r="D77">
            <v>98600000</v>
          </cell>
          <cell r="E77" t="str">
            <v>Муниципальные образования Республики Саха (Якутия)</v>
          </cell>
          <cell r="F77">
            <v>98000000</v>
          </cell>
          <cell r="G77" t="str">
            <v>Амгинский муниципальный район</v>
          </cell>
          <cell r="H77">
            <v>98608000</v>
          </cell>
          <cell r="I77" t="str">
            <v>Сельские поселения Амгинского муниципального района</v>
          </cell>
          <cell r="J77" t="str">
            <v>Сулгачинский наслег</v>
          </cell>
          <cell r="K77" t="str">
            <v>с</v>
          </cell>
          <cell r="L77" t="str">
            <v>село</v>
          </cell>
          <cell r="M77" t="str">
            <v>Сулгаччы</v>
          </cell>
        </row>
        <row r="78">
          <cell r="B78">
            <v>98608465106</v>
          </cell>
          <cell r="C78" t="str">
            <v>Муниципальные образования Республики Саха (Якутия)</v>
          </cell>
          <cell r="D78">
            <v>98600000</v>
          </cell>
          <cell r="E78" t="str">
            <v>Муниципальные образования Республики Саха (Якутия)</v>
          </cell>
          <cell r="F78">
            <v>98000000</v>
          </cell>
          <cell r="G78" t="str">
            <v>Амгинский муниципальный район</v>
          </cell>
          <cell r="H78">
            <v>98608000</v>
          </cell>
          <cell r="I78" t="str">
            <v>Сельские поселения Амгинского муниципального района</v>
          </cell>
          <cell r="J78" t="str">
            <v>Сулгачинский наслег</v>
          </cell>
          <cell r="K78" t="str">
            <v>с</v>
          </cell>
          <cell r="L78" t="str">
            <v>село</v>
          </cell>
          <cell r="M78" t="str">
            <v>Серге-Бес</v>
          </cell>
        </row>
        <row r="79">
          <cell r="B79">
            <v>98608470101</v>
          </cell>
          <cell r="C79" t="str">
            <v>Муниципальные образования Республики Саха (Якутия)</v>
          </cell>
          <cell r="D79">
            <v>98600000</v>
          </cell>
          <cell r="E79" t="str">
            <v>Муниципальные образования Республики Саха (Якутия)</v>
          </cell>
          <cell r="F79">
            <v>98000000</v>
          </cell>
          <cell r="G79" t="str">
            <v>Амгинский муниципальный район</v>
          </cell>
          <cell r="H79">
            <v>98608000</v>
          </cell>
          <cell r="I79" t="str">
            <v>Сельские поселения Амгинского муниципального района</v>
          </cell>
          <cell r="J79" t="str">
            <v>Чакырский наслег</v>
          </cell>
          <cell r="K79" t="str">
            <v>с</v>
          </cell>
          <cell r="L79" t="str">
            <v>село</v>
          </cell>
          <cell r="M79" t="str">
            <v>Чакыр 2-й</v>
          </cell>
        </row>
        <row r="80">
          <cell r="B80">
            <v>98608472101</v>
          </cell>
          <cell r="C80" t="str">
            <v>Муниципальные образования Республики Саха (Якутия)</v>
          </cell>
          <cell r="D80">
            <v>98600000</v>
          </cell>
          <cell r="E80" t="str">
            <v>Муниципальные образования Республики Саха (Якутия)</v>
          </cell>
          <cell r="F80">
            <v>98000000</v>
          </cell>
          <cell r="G80" t="str">
            <v>Амгинский муниципальный район</v>
          </cell>
          <cell r="H80">
            <v>98608000</v>
          </cell>
          <cell r="I80" t="str">
            <v>Сельские поселения Амгинского муниципального района</v>
          </cell>
          <cell r="J80" t="str">
            <v>Чапчылганский наслег</v>
          </cell>
          <cell r="K80" t="str">
            <v>с</v>
          </cell>
          <cell r="L80" t="str">
            <v>село</v>
          </cell>
          <cell r="M80" t="str">
            <v>Чапчылган</v>
          </cell>
        </row>
        <row r="81">
          <cell r="B81">
            <v>98608472106</v>
          </cell>
          <cell r="C81" t="str">
            <v>Муниципальные образования Республики Саха (Якутия)</v>
          </cell>
          <cell r="D81">
            <v>98600000</v>
          </cell>
          <cell r="E81" t="str">
            <v>Муниципальные образования Республики Саха (Якутия)</v>
          </cell>
          <cell r="F81">
            <v>98000000</v>
          </cell>
          <cell r="G81" t="str">
            <v>Амгинский муниципальный район</v>
          </cell>
          <cell r="H81">
            <v>98608000</v>
          </cell>
          <cell r="I81" t="str">
            <v>Сельские поселения Амгинского муниципального района</v>
          </cell>
          <cell r="J81" t="str">
            <v>Чапчылганский наслег</v>
          </cell>
          <cell r="K81" t="str">
            <v>с</v>
          </cell>
          <cell r="L81" t="str">
            <v>село</v>
          </cell>
          <cell r="M81" t="str">
            <v>Промкомбинат</v>
          </cell>
        </row>
        <row r="82">
          <cell r="B82">
            <v>98608481101</v>
          </cell>
          <cell r="C82" t="str">
            <v>Муниципальные образования Республики Саха (Якутия)</v>
          </cell>
          <cell r="D82">
            <v>98600000</v>
          </cell>
          <cell r="E82" t="str">
            <v>Муниципальные образования Республики Саха (Якутия)</v>
          </cell>
          <cell r="F82">
            <v>98000000</v>
          </cell>
          <cell r="G82" t="str">
            <v>Амгинский муниципальный район</v>
          </cell>
          <cell r="H82">
            <v>98608000</v>
          </cell>
          <cell r="I82" t="str">
            <v>Сельские поселения Амгинского муниципального района</v>
          </cell>
          <cell r="J82" t="str">
            <v>Эмисский наслег</v>
          </cell>
          <cell r="K82" t="str">
            <v>с</v>
          </cell>
          <cell r="L82" t="str">
            <v>село</v>
          </cell>
          <cell r="M82" t="str">
            <v>Эмиссы</v>
          </cell>
        </row>
        <row r="83">
          <cell r="B83">
            <v>98608481106</v>
          </cell>
          <cell r="C83" t="str">
            <v>Муниципальные образования Республики Саха (Якутия)</v>
          </cell>
          <cell r="D83">
            <v>98600000</v>
          </cell>
          <cell r="E83" t="str">
            <v>Муниципальные образования Республики Саха (Якутия)</v>
          </cell>
          <cell r="F83">
            <v>98000000</v>
          </cell>
          <cell r="G83" t="str">
            <v>Амгинский муниципальный район</v>
          </cell>
          <cell r="H83">
            <v>98608000</v>
          </cell>
          <cell r="I83" t="str">
            <v>Сельские поселения Амгинского муниципального района</v>
          </cell>
          <cell r="J83" t="str">
            <v>Эмисский наслег</v>
          </cell>
          <cell r="K83" t="str">
            <v>с</v>
          </cell>
          <cell r="L83" t="str">
            <v>село</v>
          </cell>
          <cell r="M83" t="str">
            <v>Олом-Кюёле</v>
          </cell>
        </row>
        <row r="84">
          <cell r="B84">
            <v>98610411101</v>
          </cell>
          <cell r="C84" t="str">
            <v>Муниципальные образования Республики Саха (Якутия)</v>
          </cell>
          <cell r="D84">
            <v>98600000</v>
          </cell>
          <cell r="E84" t="str">
            <v>Муниципальные образования Республики Саха (Якутия)</v>
          </cell>
          <cell r="F84">
            <v>98000000</v>
          </cell>
          <cell r="G84" t="str">
            <v>Анабарский национальный (долгано-эвенкийский) муниципальный район</v>
          </cell>
          <cell r="H84">
            <v>98610000</v>
          </cell>
          <cell r="I84" t="str">
            <v>Сельские поселения Анабарского национального (долгано-эвенкийского) муниципального района</v>
          </cell>
          <cell r="J84" t="str">
            <v>Саскылахский национальный (эвенкийский) наслег</v>
          </cell>
          <cell r="K84" t="str">
            <v>с</v>
          </cell>
          <cell r="L84" t="str">
            <v>село</v>
          </cell>
          <cell r="M84" t="str">
            <v>Саскылах</v>
          </cell>
        </row>
        <row r="85">
          <cell r="B85">
            <v>98610411106</v>
          </cell>
          <cell r="C85" t="str">
            <v>Муниципальные образования Республики Саха (Якутия)</v>
          </cell>
          <cell r="D85">
            <v>98600000</v>
          </cell>
          <cell r="E85" t="str">
            <v>Муниципальные образования Республики Саха (Якутия)</v>
          </cell>
          <cell r="F85">
            <v>98000000</v>
          </cell>
          <cell r="G85" t="str">
            <v>Анабарский национальный (долгано-эвенкийский) муниципальный район</v>
          </cell>
          <cell r="H85">
            <v>98610000</v>
          </cell>
          <cell r="I85" t="str">
            <v>Сельские поселения Анабарского национального (долгано-эвенкийского) муниципального района</v>
          </cell>
          <cell r="J85" t="str">
            <v>Саскылахский национальный (эвенкийский) наслег</v>
          </cell>
          <cell r="K85" t="str">
            <v>с</v>
          </cell>
          <cell r="L85" t="str">
            <v>село</v>
          </cell>
          <cell r="M85" t="str">
            <v>Эбелях</v>
          </cell>
        </row>
        <row r="86">
          <cell r="B86">
            <v>98610424101</v>
          </cell>
          <cell r="C86" t="str">
            <v>Муниципальные образования Республики Саха (Якутия)</v>
          </cell>
          <cell r="D86">
            <v>98600000</v>
          </cell>
          <cell r="E86" t="str">
            <v>Муниципальные образования Республики Саха (Якутия)</v>
          </cell>
          <cell r="F86">
            <v>98000000</v>
          </cell>
          <cell r="G86" t="str">
            <v>Анабарский национальный (долгано-эвенкийский) муниципальный район</v>
          </cell>
          <cell r="H86">
            <v>98610000</v>
          </cell>
          <cell r="I86" t="str">
            <v>Сельские поселения Анабарского национального (долгано-эвенкийского) муниципального района</v>
          </cell>
          <cell r="J86" t="str">
            <v>Юрюнг-Хаинский национальный (долганский) наслег</v>
          </cell>
          <cell r="K86" t="str">
            <v>с</v>
          </cell>
          <cell r="L86" t="str">
            <v>село</v>
          </cell>
          <cell r="M86" t="str">
            <v>Юрюнг-Хая</v>
          </cell>
        </row>
        <row r="87">
          <cell r="B87">
            <v>98612151051</v>
          </cell>
          <cell r="C87" t="str">
            <v>Муниципальные образования Республики Саха (Якутия)</v>
          </cell>
          <cell r="D87">
            <v>98600000</v>
          </cell>
          <cell r="E87" t="str">
            <v>Муниципальные образования Республики Саха (Якутия)</v>
          </cell>
          <cell r="F87">
            <v>98000000</v>
          </cell>
          <cell r="G87" t="str">
            <v>Булунский муниципальный район</v>
          </cell>
          <cell r="H87">
            <v>98612000</v>
          </cell>
          <cell r="I87" t="str">
            <v>Городские поселения Булунского муниципального района</v>
          </cell>
          <cell r="J87" t="str">
            <v>поселок Тикси</v>
          </cell>
          <cell r="K87" t="str">
            <v>п</v>
          </cell>
          <cell r="L87" t="str">
            <v>поселок</v>
          </cell>
          <cell r="M87" t="str">
            <v>Тикси</v>
          </cell>
        </row>
        <row r="88">
          <cell r="B88">
            <v>98612407101</v>
          </cell>
          <cell r="C88" t="str">
            <v>Муниципальные образования Республики Саха (Якутия)</v>
          </cell>
          <cell r="D88">
            <v>98600000</v>
          </cell>
          <cell r="E88" t="str">
            <v>Муниципальные образования Республики Саха (Якутия)</v>
          </cell>
          <cell r="F88">
            <v>98000000</v>
          </cell>
          <cell r="G88" t="str">
            <v>Булунский муниципальный район</v>
          </cell>
          <cell r="H88">
            <v>98612000</v>
          </cell>
          <cell r="I88" t="str">
            <v>Сельские поселения Булунского муниципального района</v>
          </cell>
          <cell r="J88" t="str">
            <v>Борогонский наслег</v>
          </cell>
          <cell r="K88" t="str">
            <v>с</v>
          </cell>
          <cell r="L88" t="str">
            <v>село</v>
          </cell>
          <cell r="M88" t="str">
            <v>Намы</v>
          </cell>
        </row>
        <row r="89">
          <cell r="B89">
            <v>98612412101</v>
          </cell>
          <cell r="C89" t="str">
            <v>Муниципальные образования Республики Саха (Якутия)</v>
          </cell>
          <cell r="D89">
            <v>98600000</v>
          </cell>
          <cell r="E89" t="str">
            <v>Муниципальные образования Республики Саха (Якутия)</v>
          </cell>
          <cell r="F89">
            <v>98000000</v>
          </cell>
          <cell r="G89" t="str">
            <v>Булунский муниципальный район</v>
          </cell>
          <cell r="H89">
            <v>98612000</v>
          </cell>
          <cell r="I89" t="str">
            <v>Сельские поселения Булунского муниципального района</v>
          </cell>
          <cell r="J89" t="str">
            <v>Булунский национальный (эвенкийский) наслег</v>
          </cell>
          <cell r="K89" t="str">
            <v>с</v>
          </cell>
          <cell r="L89" t="str">
            <v>село</v>
          </cell>
          <cell r="M89" t="str">
            <v>Кюсюр</v>
          </cell>
        </row>
        <row r="90">
          <cell r="B90">
            <v>98612412106</v>
          </cell>
          <cell r="C90" t="str">
            <v>Муниципальные образования Республики Саха (Якутия)</v>
          </cell>
          <cell r="D90">
            <v>98600000</v>
          </cell>
          <cell r="E90" t="str">
            <v>Муниципальные образования Республики Саха (Якутия)</v>
          </cell>
          <cell r="F90">
            <v>98000000</v>
          </cell>
          <cell r="G90" t="str">
            <v>Булунский муниципальный район</v>
          </cell>
          <cell r="H90">
            <v>98612000</v>
          </cell>
          <cell r="I90" t="str">
            <v>Сельские поселения Булунского муниципального района</v>
          </cell>
          <cell r="J90" t="str">
            <v>Булунский национальный (эвенкийский) наслег</v>
          </cell>
          <cell r="K90" t="str">
            <v>с</v>
          </cell>
          <cell r="L90" t="str">
            <v>село</v>
          </cell>
          <cell r="M90" t="str">
            <v>Чекуровка</v>
          </cell>
        </row>
        <row r="91">
          <cell r="B91">
            <v>98612413101</v>
          </cell>
          <cell r="C91" t="str">
            <v>Муниципальные образования Республики Саха (Якутия)</v>
          </cell>
          <cell r="D91">
            <v>98600000</v>
          </cell>
          <cell r="E91" t="str">
            <v>Муниципальные образования Республики Саха (Якутия)</v>
          </cell>
          <cell r="F91">
            <v>98000000</v>
          </cell>
          <cell r="G91" t="str">
            <v>Булунский муниципальный район</v>
          </cell>
          <cell r="H91">
            <v>98612000</v>
          </cell>
          <cell r="I91" t="str">
            <v>Сельские поселения Булунского муниципального района</v>
          </cell>
          <cell r="J91" t="str">
            <v>Быковский национальный (эвенкийский) наслег</v>
          </cell>
          <cell r="K91" t="str">
            <v>с</v>
          </cell>
          <cell r="L91" t="str">
            <v>село</v>
          </cell>
          <cell r="M91" t="str">
            <v>Быковский</v>
          </cell>
        </row>
        <row r="92">
          <cell r="B92">
            <v>98612427101</v>
          </cell>
          <cell r="C92" t="str">
            <v>Муниципальные образования Республики Саха (Якутия)</v>
          </cell>
          <cell r="D92">
            <v>98600000</v>
          </cell>
          <cell r="E92" t="str">
            <v>Муниципальные образования Республики Саха (Якутия)</v>
          </cell>
          <cell r="F92">
            <v>98000000</v>
          </cell>
          <cell r="G92" t="str">
            <v>Булунский муниципальный район</v>
          </cell>
          <cell r="H92">
            <v>98612000</v>
          </cell>
          <cell r="I92" t="str">
            <v>Сельские поселения Булунского муниципального района</v>
          </cell>
          <cell r="J92" t="str">
            <v>Сиктяхский наслег</v>
          </cell>
          <cell r="K92" t="str">
            <v>с</v>
          </cell>
          <cell r="L92" t="str">
            <v>село</v>
          </cell>
          <cell r="M92" t="str">
            <v>Сиктях</v>
          </cell>
        </row>
        <row r="93">
          <cell r="B93">
            <v>98612445101</v>
          </cell>
          <cell r="C93" t="str">
            <v>Муниципальные образования Республики Саха (Якутия)</v>
          </cell>
          <cell r="D93">
            <v>98600000</v>
          </cell>
          <cell r="E93" t="str">
            <v>Муниципальные образования Республики Саха (Якутия)</v>
          </cell>
          <cell r="F93">
            <v>98000000</v>
          </cell>
          <cell r="G93" t="str">
            <v>Булунский муниципальный район</v>
          </cell>
          <cell r="H93">
            <v>98612000</v>
          </cell>
          <cell r="I93" t="str">
            <v>Сельские поселения Булунского муниципального района</v>
          </cell>
          <cell r="J93" t="str">
            <v>Тюметинский национальный (эвенкийский) наслег</v>
          </cell>
          <cell r="K93" t="str">
            <v>с</v>
          </cell>
          <cell r="L93" t="str">
            <v>село</v>
          </cell>
          <cell r="M93" t="str">
            <v>Таймылыр</v>
          </cell>
        </row>
        <row r="94">
          <cell r="B94">
            <v>98612445106</v>
          </cell>
          <cell r="C94" t="str">
            <v>Муниципальные образования Республики Саха (Якутия)</v>
          </cell>
          <cell r="D94">
            <v>98600000</v>
          </cell>
          <cell r="E94" t="str">
            <v>Муниципальные образования Республики Саха (Якутия)</v>
          </cell>
          <cell r="F94">
            <v>98000000</v>
          </cell>
          <cell r="G94" t="str">
            <v>Булунский муниципальный район</v>
          </cell>
          <cell r="H94">
            <v>98612000</v>
          </cell>
          <cell r="I94" t="str">
            <v>Сельские поселения Булунского муниципального района</v>
          </cell>
          <cell r="J94" t="str">
            <v>Тюметинский национальный (эвенкийский) наслег</v>
          </cell>
          <cell r="K94" t="str">
            <v>с</v>
          </cell>
          <cell r="L94" t="str">
            <v>село</v>
          </cell>
          <cell r="M94" t="str">
            <v>Склад</v>
          </cell>
        </row>
        <row r="95">
          <cell r="B95">
            <v>98612445111</v>
          </cell>
          <cell r="C95" t="str">
            <v>Муниципальные образования Республики Саха (Якутия)</v>
          </cell>
          <cell r="D95">
            <v>98600000</v>
          </cell>
          <cell r="E95" t="str">
            <v>Муниципальные образования Республики Саха (Якутия)</v>
          </cell>
          <cell r="F95">
            <v>98000000</v>
          </cell>
          <cell r="G95" t="str">
            <v>Булунский муниципальный район</v>
          </cell>
          <cell r="H95">
            <v>98612000</v>
          </cell>
          <cell r="I95" t="str">
            <v>Сельские поселения Булунского муниципального района</v>
          </cell>
          <cell r="J95" t="str">
            <v>Тюметинский национальный (эвенкийский) наслег</v>
          </cell>
          <cell r="K95" t="str">
            <v>с</v>
          </cell>
          <cell r="L95" t="str">
            <v>село</v>
          </cell>
          <cell r="M95" t="str">
            <v>Усть-Оленек</v>
          </cell>
        </row>
        <row r="96">
          <cell r="B96">
            <v>98612456101</v>
          </cell>
          <cell r="C96" t="str">
            <v>Муниципальные образования Республики Саха (Якутия)</v>
          </cell>
          <cell r="D96">
            <v>98600000</v>
          </cell>
          <cell r="E96" t="str">
            <v>Муниципальные образования Республики Саха (Якутия)</v>
          </cell>
          <cell r="F96">
            <v>98000000</v>
          </cell>
          <cell r="G96" t="str">
            <v>Булунский муниципальный район</v>
          </cell>
          <cell r="H96">
            <v>98612000</v>
          </cell>
          <cell r="I96" t="str">
            <v>Сельские поселения Булунского муниципального района</v>
          </cell>
          <cell r="J96" t="str">
            <v>Хара-Улахский национальный (эвенский) наслег</v>
          </cell>
          <cell r="K96" t="str">
            <v>с</v>
          </cell>
          <cell r="L96" t="str">
            <v>село</v>
          </cell>
          <cell r="M96" t="str">
            <v>Найба</v>
          </cell>
        </row>
        <row r="97">
          <cell r="B97">
            <v>98614402101</v>
          </cell>
          <cell r="C97" t="str">
            <v>Муниципальные образования Республики Саха (Якутия)</v>
          </cell>
          <cell r="D97">
            <v>98600000</v>
          </cell>
          <cell r="E97" t="str">
            <v>Муниципальные образования Республики Саха (Якутия)</v>
          </cell>
          <cell r="F97">
            <v>98000000</v>
          </cell>
          <cell r="G97" t="str">
            <v>Верхневилюйский муниципальный район</v>
          </cell>
          <cell r="H97">
            <v>98614000</v>
          </cell>
          <cell r="I97" t="str">
            <v>Сельские поселения Верхневилюйского муниципального района</v>
          </cell>
          <cell r="J97" t="str">
            <v>Балаганнахский наслег</v>
          </cell>
          <cell r="K97" t="str">
            <v>с</v>
          </cell>
          <cell r="L97" t="str">
            <v>село</v>
          </cell>
          <cell r="M97" t="str">
            <v>Балаганнах</v>
          </cell>
        </row>
        <row r="98">
          <cell r="B98">
            <v>98614405101</v>
          </cell>
          <cell r="C98" t="str">
            <v>Муниципальные образования Республики Саха (Якутия)</v>
          </cell>
          <cell r="D98">
            <v>98600000</v>
          </cell>
          <cell r="E98" t="str">
            <v>Муниципальные образования Республики Саха (Якутия)</v>
          </cell>
          <cell r="F98">
            <v>98000000</v>
          </cell>
          <cell r="G98" t="str">
            <v>Верхневилюйский муниципальный район</v>
          </cell>
          <cell r="H98">
            <v>98614000</v>
          </cell>
          <cell r="I98" t="str">
            <v>Сельские поселения Верхневилюйского муниципального района</v>
          </cell>
          <cell r="J98" t="str">
            <v>Ботулунский наслег</v>
          </cell>
          <cell r="K98" t="str">
            <v>с</v>
          </cell>
          <cell r="L98" t="str">
            <v>село</v>
          </cell>
          <cell r="M98" t="str">
            <v>Ботулу</v>
          </cell>
        </row>
        <row r="99">
          <cell r="B99">
            <v>98614405106</v>
          </cell>
          <cell r="C99" t="str">
            <v>Муниципальные образования Республики Саха (Якутия)</v>
          </cell>
          <cell r="D99">
            <v>98600000</v>
          </cell>
          <cell r="E99" t="str">
            <v>Муниципальные образования Республики Саха (Якутия)</v>
          </cell>
          <cell r="F99">
            <v>98000000</v>
          </cell>
          <cell r="G99" t="str">
            <v>Верхневилюйский муниципальный район</v>
          </cell>
          <cell r="H99">
            <v>98614000</v>
          </cell>
          <cell r="I99" t="str">
            <v>Сельские поселения Верхневилюйского муниципального района</v>
          </cell>
          <cell r="J99" t="str">
            <v>Ботулунский наслег</v>
          </cell>
          <cell r="K99" t="str">
            <v>с</v>
          </cell>
          <cell r="L99" t="str">
            <v>село</v>
          </cell>
          <cell r="M99" t="str">
            <v>Кетердех</v>
          </cell>
        </row>
        <row r="100">
          <cell r="B100">
            <v>98614406101</v>
          </cell>
          <cell r="C100" t="str">
            <v>Муниципальные образования Республики Саха (Якутия)</v>
          </cell>
          <cell r="D100">
            <v>98600000</v>
          </cell>
          <cell r="E100" t="str">
            <v>Муниципальные образования Республики Саха (Якутия)</v>
          </cell>
          <cell r="F100">
            <v>98000000</v>
          </cell>
          <cell r="G100" t="str">
            <v>Верхневилюйский муниципальный район</v>
          </cell>
          <cell r="H100">
            <v>98614000</v>
          </cell>
          <cell r="I100" t="str">
            <v>Сельские поселения Верхневилюйского муниципального района</v>
          </cell>
          <cell r="J100" t="str">
            <v>Кырыкыйский наслег</v>
          </cell>
          <cell r="K100" t="str">
            <v>с</v>
          </cell>
          <cell r="L100" t="str">
            <v>село</v>
          </cell>
          <cell r="M100" t="str">
            <v>Кырыкый</v>
          </cell>
        </row>
        <row r="101">
          <cell r="B101">
            <v>98614407101</v>
          </cell>
          <cell r="C101" t="str">
            <v>Муниципальные образования Республики Саха (Якутия)</v>
          </cell>
          <cell r="D101">
            <v>98600000</v>
          </cell>
          <cell r="E101" t="str">
            <v>Муниципальные образования Республики Саха (Якутия)</v>
          </cell>
          <cell r="F101">
            <v>98000000</v>
          </cell>
          <cell r="G101" t="str">
            <v>Верхневилюйский муниципальный район</v>
          </cell>
          <cell r="H101">
            <v>98614000</v>
          </cell>
          <cell r="I101" t="str">
            <v>Сельские поселения Верхневилюйского муниципального района</v>
          </cell>
          <cell r="J101" t="str">
            <v>Быраканский наслег</v>
          </cell>
          <cell r="K101" t="str">
            <v>с</v>
          </cell>
          <cell r="L101" t="str">
            <v>село</v>
          </cell>
          <cell r="M101" t="str">
            <v>Быракан</v>
          </cell>
        </row>
        <row r="102">
          <cell r="B102">
            <v>98614412101</v>
          </cell>
          <cell r="C102" t="str">
            <v>Муниципальные образования Республики Саха (Якутия)</v>
          </cell>
          <cell r="D102">
            <v>98600000</v>
          </cell>
          <cell r="E102" t="str">
            <v>Муниципальные образования Республики Саха (Якутия)</v>
          </cell>
          <cell r="F102">
            <v>98000000</v>
          </cell>
          <cell r="G102" t="str">
            <v>Верхневилюйский муниципальный район</v>
          </cell>
          <cell r="H102">
            <v>98614000</v>
          </cell>
          <cell r="I102" t="str">
            <v>Сельские поселения Верхневилюйского муниципального района</v>
          </cell>
          <cell r="J102" t="str">
            <v>Верхневилюйский наслег</v>
          </cell>
          <cell r="K102" t="str">
            <v>с</v>
          </cell>
          <cell r="L102" t="str">
            <v>село</v>
          </cell>
          <cell r="M102" t="str">
            <v>Верхневилюйск</v>
          </cell>
        </row>
        <row r="103">
          <cell r="B103">
            <v>98614417101</v>
          </cell>
          <cell r="C103" t="str">
            <v>Муниципальные образования Республики Саха (Якутия)</v>
          </cell>
          <cell r="D103">
            <v>98600000</v>
          </cell>
          <cell r="E103" t="str">
            <v>Муниципальные образования Республики Саха (Якутия)</v>
          </cell>
          <cell r="F103">
            <v>98000000</v>
          </cell>
          <cell r="G103" t="str">
            <v>Верхневилюйский муниципальный район</v>
          </cell>
          <cell r="H103">
            <v>98614000</v>
          </cell>
          <cell r="I103" t="str">
            <v>Сельские поселения Верхневилюйского муниципального района</v>
          </cell>
          <cell r="J103" t="str">
            <v>Дюллюкинский наслег</v>
          </cell>
          <cell r="K103" t="str">
            <v>с</v>
          </cell>
          <cell r="L103" t="str">
            <v>село</v>
          </cell>
          <cell r="M103" t="str">
            <v>Дюллюкю</v>
          </cell>
        </row>
        <row r="104">
          <cell r="B104">
            <v>98614417106</v>
          </cell>
          <cell r="C104" t="str">
            <v>Муниципальные образования Республики Саха (Якутия)</v>
          </cell>
          <cell r="D104">
            <v>98600000</v>
          </cell>
          <cell r="E104" t="str">
            <v>Муниципальные образования Республики Саха (Якутия)</v>
          </cell>
          <cell r="F104">
            <v>98000000</v>
          </cell>
          <cell r="G104" t="str">
            <v>Верхневилюйский муниципальный район</v>
          </cell>
          <cell r="H104">
            <v>98614000</v>
          </cell>
          <cell r="I104" t="str">
            <v>Сельские поселения Верхневилюйского муниципального района</v>
          </cell>
          <cell r="J104" t="str">
            <v>Дюллюкинский наслег</v>
          </cell>
          <cell r="K104" t="str">
            <v>с</v>
          </cell>
          <cell r="L104" t="str">
            <v>село</v>
          </cell>
          <cell r="M104" t="str">
            <v>Бютейдях</v>
          </cell>
        </row>
        <row r="105">
          <cell r="B105">
            <v>98614422101</v>
          </cell>
          <cell r="C105" t="str">
            <v>Муниципальные образования Республики Саха (Якутия)</v>
          </cell>
          <cell r="D105">
            <v>98600000</v>
          </cell>
          <cell r="E105" t="str">
            <v>Муниципальные образования Республики Саха (Якутия)</v>
          </cell>
          <cell r="F105">
            <v>98000000</v>
          </cell>
          <cell r="G105" t="str">
            <v>Верхневилюйский муниципальный район</v>
          </cell>
          <cell r="H105">
            <v>98614000</v>
          </cell>
          <cell r="I105" t="str">
            <v>Сельские поселения Верхневилюйского муниципального района</v>
          </cell>
          <cell r="J105" t="str">
            <v>Далырский наслег</v>
          </cell>
          <cell r="K105" t="str">
            <v>с</v>
          </cell>
          <cell r="L105" t="str">
            <v>село</v>
          </cell>
          <cell r="M105" t="str">
            <v>Далыр</v>
          </cell>
        </row>
        <row r="106">
          <cell r="B106">
            <v>98614422106</v>
          </cell>
          <cell r="C106" t="str">
            <v>Муниципальные образования Республики Саха (Якутия)</v>
          </cell>
          <cell r="D106">
            <v>98600000</v>
          </cell>
          <cell r="E106" t="str">
            <v>Муниципальные образования Республики Саха (Якутия)</v>
          </cell>
          <cell r="F106">
            <v>98000000</v>
          </cell>
          <cell r="G106" t="str">
            <v>Верхневилюйский муниципальный район</v>
          </cell>
          <cell r="H106">
            <v>98614000</v>
          </cell>
          <cell r="I106" t="str">
            <v>Сельские поселения Верхневилюйского муниципального района</v>
          </cell>
          <cell r="J106" t="str">
            <v>Далырский наслег</v>
          </cell>
          <cell r="K106" t="str">
            <v>с</v>
          </cell>
          <cell r="L106" t="str">
            <v>село</v>
          </cell>
          <cell r="M106" t="str">
            <v>Быччагдан</v>
          </cell>
        </row>
        <row r="107">
          <cell r="B107">
            <v>98614422111</v>
          </cell>
          <cell r="C107" t="str">
            <v>Муниципальные образования Республики Саха (Якутия)</v>
          </cell>
          <cell r="D107">
            <v>98600000</v>
          </cell>
          <cell r="E107" t="str">
            <v>Муниципальные образования Республики Саха (Якутия)</v>
          </cell>
          <cell r="F107">
            <v>98000000</v>
          </cell>
          <cell r="G107" t="str">
            <v>Верхневилюйский муниципальный район</v>
          </cell>
          <cell r="H107">
            <v>98614000</v>
          </cell>
          <cell r="I107" t="str">
            <v>Сельские поселения Верхневилюйского муниципального района</v>
          </cell>
          <cell r="J107" t="str">
            <v>Далырский наслег</v>
          </cell>
          <cell r="K107" t="str">
            <v>с</v>
          </cell>
          <cell r="L107" t="str">
            <v>село</v>
          </cell>
          <cell r="M107" t="str">
            <v>Кулусуннах</v>
          </cell>
        </row>
        <row r="108">
          <cell r="B108">
            <v>98614423101</v>
          </cell>
          <cell r="C108" t="str">
            <v>Муниципальные образования Республики Саха (Якутия)</v>
          </cell>
          <cell r="D108">
            <v>98600000</v>
          </cell>
          <cell r="E108" t="str">
            <v>Муниципальные образования Республики Саха (Якутия)</v>
          </cell>
          <cell r="F108">
            <v>98000000</v>
          </cell>
          <cell r="G108" t="str">
            <v>Верхневилюйский муниципальный район</v>
          </cell>
          <cell r="H108">
            <v>98614000</v>
          </cell>
          <cell r="I108" t="str">
            <v>Сельские поселения Верхневилюйского муниципального района</v>
          </cell>
          <cell r="J108" t="str">
            <v>Едюгейский наслег</v>
          </cell>
          <cell r="K108" t="str">
            <v>с</v>
          </cell>
          <cell r="L108" t="str">
            <v>село</v>
          </cell>
          <cell r="M108" t="str">
            <v>Андреевский</v>
          </cell>
        </row>
        <row r="109">
          <cell r="B109">
            <v>98614423106</v>
          </cell>
          <cell r="C109" t="str">
            <v>Муниципальные образования Республики Саха (Якутия)</v>
          </cell>
          <cell r="D109">
            <v>98600000</v>
          </cell>
          <cell r="E109" t="str">
            <v>Муниципальные образования Республики Саха (Якутия)</v>
          </cell>
          <cell r="F109">
            <v>98000000</v>
          </cell>
          <cell r="G109" t="str">
            <v>Верхневилюйский муниципальный район</v>
          </cell>
          <cell r="H109">
            <v>98614000</v>
          </cell>
          <cell r="I109" t="str">
            <v>Сельские поселения Верхневилюйского муниципального района</v>
          </cell>
          <cell r="J109" t="str">
            <v>Едюгейский наслег</v>
          </cell>
          <cell r="K109" t="str">
            <v>с</v>
          </cell>
          <cell r="L109" t="str">
            <v>село</v>
          </cell>
          <cell r="M109" t="str">
            <v>Куду</v>
          </cell>
        </row>
        <row r="110">
          <cell r="B110">
            <v>98614429101</v>
          </cell>
          <cell r="C110" t="str">
            <v>Муниципальные образования Республики Саха (Якутия)</v>
          </cell>
          <cell r="D110">
            <v>98600000</v>
          </cell>
          <cell r="E110" t="str">
            <v>Муниципальные образования Республики Саха (Якутия)</v>
          </cell>
          <cell r="F110">
            <v>98000000</v>
          </cell>
          <cell r="G110" t="str">
            <v>Верхневилюйский муниципальный район</v>
          </cell>
          <cell r="H110">
            <v>98614000</v>
          </cell>
          <cell r="I110" t="str">
            <v>Сельские поселения Верхневилюйского муниципального района</v>
          </cell>
          <cell r="J110" t="str">
            <v>Кэнтикский наслег</v>
          </cell>
          <cell r="K110" t="str">
            <v>с</v>
          </cell>
          <cell r="L110" t="str">
            <v>село</v>
          </cell>
          <cell r="M110" t="str">
            <v>Харыялах</v>
          </cell>
        </row>
        <row r="111">
          <cell r="B111">
            <v>98614436101</v>
          </cell>
          <cell r="C111" t="str">
            <v>Муниципальные образования Республики Саха (Якутия)</v>
          </cell>
          <cell r="D111">
            <v>98600000</v>
          </cell>
          <cell r="E111" t="str">
            <v>Муниципальные образования Республики Саха (Якутия)</v>
          </cell>
          <cell r="F111">
            <v>98000000</v>
          </cell>
          <cell r="G111" t="str">
            <v>Верхневилюйский муниципальный район</v>
          </cell>
          <cell r="H111">
            <v>98614000</v>
          </cell>
          <cell r="I111" t="str">
            <v>Сельские поселения Верхневилюйского муниципального района</v>
          </cell>
          <cell r="J111" t="str">
            <v>Магасский наслег</v>
          </cell>
          <cell r="K111" t="str">
            <v>с</v>
          </cell>
          <cell r="L111" t="str">
            <v>село</v>
          </cell>
          <cell r="M111" t="str">
            <v>Харбала</v>
          </cell>
        </row>
        <row r="112">
          <cell r="B112">
            <v>98614436106</v>
          </cell>
          <cell r="C112" t="str">
            <v>Муниципальные образования Республики Саха (Якутия)</v>
          </cell>
          <cell r="D112">
            <v>98600000</v>
          </cell>
          <cell r="E112" t="str">
            <v>Муниципальные образования Республики Саха (Якутия)</v>
          </cell>
          <cell r="F112">
            <v>98000000</v>
          </cell>
          <cell r="G112" t="str">
            <v>Верхневилюйский муниципальный район</v>
          </cell>
          <cell r="H112">
            <v>98614000</v>
          </cell>
          <cell r="I112" t="str">
            <v>Сельские поселения Верхневилюйского муниципального района</v>
          </cell>
          <cell r="J112" t="str">
            <v>Магасский наслег</v>
          </cell>
          <cell r="K112" t="str">
            <v>с</v>
          </cell>
          <cell r="L112" t="str">
            <v>село</v>
          </cell>
          <cell r="M112" t="str">
            <v>Ченгере</v>
          </cell>
        </row>
        <row r="113">
          <cell r="B113">
            <v>98614440101</v>
          </cell>
          <cell r="C113" t="str">
            <v>Муниципальные образования Республики Саха (Якутия)</v>
          </cell>
          <cell r="D113">
            <v>98600000</v>
          </cell>
          <cell r="E113" t="str">
            <v>Муниципальные образования Республики Саха (Якутия)</v>
          </cell>
          <cell r="F113">
            <v>98000000</v>
          </cell>
          <cell r="G113" t="str">
            <v>Верхневилюйский муниципальный район</v>
          </cell>
          <cell r="H113">
            <v>98614000</v>
          </cell>
          <cell r="I113" t="str">
            <v>Сельские поселения Верхневилюйского муниципального района</v>
          </cell>
          <cell r="J113" t="str">
            <v>Мэйикский наслег</v>
          </cell>
          <cell r="K113" t="str">
            <v>с</v>
          </cell>
          <cell r="L113" t="str">
            <v>село</v>
          </cell>
          <cell r="M113" t="str">
            <v>Сайылык</v>
          </cell>
        </row>
        <row r="114">
          <cell r="B114">
            <v>98614440106</v>
          </cell>
          <cell r="C114" t="str">
            <v>Муниципальные образования Республики Саха (Якутия)</v>
          </cell>
          <cell r="D114">
            <v>98600000</v>
          </cell>
          <cell r="E114" t="str">
            <v>Муниципальные образования Республики Саха (Якутия)</v>
          </cell>
          <cell r="F114">
            <v>98000000</v>
          </cell>
          <cell r="G114" t="str">
            <v>Верхневилюйский муниципальный район</v>
          </cell>
          <cell r="H114">
            <v>98614000</v>
          </cell>
          <cell r="I114" t="str">
            <v>Сельские поселения Верхневилюйского муниципального района</v>
          </cell>
          <cell r="J114" t="str">
            <v>Мэйикский наслег</v>
          </cell>
          <cell r="K114" t="str">
            <v>с</v>
          </cell>
          <cell r="L114" t="str">
            <v>село</v>
          </cell>
          <cell r="M114" t="str">
            <v>Май</v>
          </cell>
        </row>
        <row r="115">
          <cell r="B115">
            <v>98614445101</v>
          </cell>
          <cell r="C115" t="str">
            <v>Муниципальные образования Республики Саха (Якутия)</v>
          </cell>
          <cell r="D115">
            <v>98600000</v>
          </cell>
          <cell r="E115" t="str">
            <v>Муниципальные образования Республики Саха (Якутия)</v>
          </cell>
          <cell r="F115">
            <v>98000000</v>
          </cell>
          <cell r="G115" t="str">
            <v>Верхневилюйский муниципальный район</v>
          </cell>
          <cell r="H115">
            <v>98614000</v>
          </cell>
          <cell r="I115" t="str">
            <v>Сельские поселения Верхневилюйского муниципального района</v>
          </cell>
          <cell r="J115" t="str">
            <v>Намский наслег</v>
          </cell>
          <cell r="K115" t="str">
            <v>с</v>
          </cell>
          <cell r="L115" t="str">
            <v>село</v>
          </cell>
          <cell r="M115" t="str">
            <v>Хомустах</v>
          </cell>
        </row>
        <row r="116">
          <cell r="B116">
            <v>98614450101</v>
          </cell>
          <cell r="C116" t="str">
            <v>Муниципальные образования Республики Саха (Якутия)</v>
          </cell>
          <cell r="D116">
            <v>98600000</v>
          </cell>
          <cell r="E116" t="str">
            <v>Муниципальные образования Республики Саха (Якутия)</v>
          </cell>
          <cell r="F116">
            <v>98000000</v>
          </cell>
          <cell r="G116" t="str">
            <v>Верхневилюйский муниципальный район</v>
          </cell>
          <cell r="H116">
            <v>98614000</v>
          </cell>
          <cell r="I116" t="str">
            <v>Сельские поселения Верхневилюйского муниципального района</v>
          </cell>
          <cell r="J116" t="str">
            <v>Онхойский наслег</v>
          </cell>
          <cell r="K116" t="str">
            <v>с</v>
          </cell>
          <cell r="L116" t="str">
            <v>село</v>
          </cell>
          <cell r="M116" t="str">
            <v>Липпе-Атах</v>
          </cell>
        </row>
        <row r="117">
          <cell r="B117">
            <v>98614455101</v>
          </cell>
          <cell r="C117" t="str">
            <v>Муниципальные образования Республики Саха (Якутия)</v>
          </cell>
          <cell r="D117">
            <v>98600000</v>
          </cell>
          <cell r="E117" t="str">
            <v>Муниципальные образования Республики Саха (Якутия)</v>
          </cell>
          <cell r="F117">
            <v>98000000</v>
          </cell>
          <cell r="G117" t="str">
            <v>Верхневилюйский муниципальный район</v>
          </cell>
          <cell r="H117">
            <v>98614000</v>
          </cell>
          <cell r="I117" t="str">
            <v>Сельские поселения Верхневилюйского муниципального района</v>
          </cell>
          <cell r="J117" t="str">
            <v>Оргетский наслег</v>
          </cell>
          <cell r="K117" t="str">
            <v>с</v>
          </cell>
          <cell r="L117" t="str">
            <v>село</v>
          </cell>
          <cell r="M117" t="str">
            <v>Оргёт</v>
          </cell>
        </row>
        <row r="118">
          <cell r="B118">
            <v>98614460101</v>
          </cell>
          <cell r="C118" t="str">
            <v>Муниципальные образования Республики Саха (Якутия)</v>
          </cell>
          <cell r="D118">
            <v>98600000</v>
          </cell>
          <cell r="E118" t="str">
            <v>Муниципальные образования Республики Саха (Якутия)</v>
          </cell>
          <cell r="F118">
            <v>98000000</v>
          </cell>
          <cell r="G118" t="str">
            <v>Верхневилюйский муниципальный район</v>
          </cell>
          <cell r="H118">
            <v>98614000</v>
          </cell>
          <cell r="I118" t="str">
            <v>Сельские поселения Верхневилюйского муниципального района</v>
          </cell>
          <cell r="J118" t="str">
            <v>Оросунский наслег</v>
          </cell>
          <cell r="K118" t="str">
            <v>с</v>
          </cell>
          <cell r="L118" t="str">
            <v>село</v>
          </cell>
          <cell r="M118" t="str">
            <v>Оросу</v>
          </cell>
        </row>
        <row r="119">
          <cell r="B119">
            <v>98614467101</v>
          </cell>
          <cell r="C119" t="str">
            <v>Муниципальные образования Республики Саха (Якутия)</v>
          </cell>
          <cell r="D119">
            <v>98600000</v>
          </cell>
          <cell r="E119" t="str">
            <v>Муниципальные образования Республики Саха (Якутия)</v>
          </cell>
          <cell r="F119">
            <v>98000000</v>
          </cell>
          <cell r="G119" t="str">
            <v>Верхневилюйский муниципальный район</v>
          </cell>
          <cell r="H119">
            <v>98614000</v>
          </cell>
          <cell r="I119" t="str">
            <v>Сельские поселения Верхневилюйского муниципального района</v>
          </cell>
          <cell r="J119" t="str">
            <v>Сургулукский наслег</v>
          </cell>
          <cell r="K119" t="str">
            <v>с</v>
          </cell>
          <cell r="L119" t="str">
            <v>село</v>
          </cell>
          <cell r="M119" t="str">
            <v>Багадя</v>
          </cell>
        </row>
        <row r="120">
          <cell r="B120">
            <v>98614467106</v>
          </cell>
          <cell r="C120" t="str">
            <v>Муниципальные образования Республики Саха (Якутия)</v>
          </cell>
          <cell r="D120">
            <v>98600000</v>
          </cell>
          <cell r="E120" t="str">
            <v>Муниципальные образования Республики Саха (Якутия)</v>
          </cell>
          <cell r="F120">
            <v>98000000</v>
          </cell>
          <cell r="G120" t="str">
            <v>Верхневилюйский муниципальный район</v>
          </cell>
          <cell r="H120">
            <v>98614000</v>
          </cell>
          <cell r="I120" t="str">
            <v>Сельские поселения Верхневилюйского муниципального района</v>
          </cell>
          <cell r="J120" t="str">
            <v>Сургулукский наслег</v>
          </cell>
          <cell r="K120" t="str">
            <v>с</v>
          </cell>
          <cell r="L120" t="str">
            <v>село</v>
          </cell>
          <cell r="M120" t="str">
            <v>Кенг-Кюёль</v>
          </cell>
        </row>
        <row r="121">
          <cell r="B121">
            <v>98614469101</v>
          </cell>
          <cell r="C121" t="str">
            <v>Муниципальные образования Республики Саха (Якутия)</v>
          </cell>
          <cell r="D121">
            <v>98600000</v>
          </cell>
          <cell r="E121" t="str">
            <v>Муниципальные образования Республики Саха (Якутия)</v>
          </cell>
          <cell r="F121">
            <v>98000000</v>
          </cell>
          <cell r="G121" t="str">
            <v>Верхневилюйский муниципальный район</v>
          </cell>
          <cell r="H121">
            <v>98614000</v>
          </cell>
          <cell r="I121" t="str">
            <v>Сельские поселения Верхневилюйского муниципального района</v>
          </cell>
          <cell r="J121" t="str">
            <v>Тамалаканский наслег</v>
          </cell>
          <cell r="K121" t="str">
            <v>с</v>
          </cell>
          <cell r="L121" t="str">
            <v>село</v>
          </cell>
          <cell r="M121" t="str">
            <v>Тамалакан</v>
          </cell>
        </row>
        <row r="122">
          <cell r="B122">
            <v>98614472101</v>
          </cell>
          <cell r="C122" t="str">
            <v>Муниципальные образования Республики Саха (Якутия)</v>
          </cell>
          <cell r="D122">
            <v>98600000</v>
          </cell>
          <cell r="E122" t="str">
            <v>Муниципальные образования Республики Саха (Якутия)</v>
          </cell>
          <cell r="F122">
            <v>98000000</v>
          </cell>
          <cell r="G122" t="str">
            <v>Верхневилюйский муниципальный район</v>
          </cell>
          <cell r="H122">
            <v>98614000</v>
          </cell>
          <cell r="I122" t="str">
            <v>Сельские поселения Верхневилюйского муниципального района</v>
          </cell>
          <cell r="J122" t="str">
            <v>Туобуйинский наслег</v>
          </cell>
          <cell r="K122" t="str">
            <v>с</v>
          </cell>
          <cell r="L122" t="str">
            <v>село</v>
          </cell>
          <cell r="M122" t="str">
            <v>Туобуя</v>
          </cell>
        </row>
        <row r="123">
          <cell r="B123">
            <v>98614478101</v>
          </cell>
          <cell r="C123" t="str">
            <v>Муниципальные образования Республики Саха (Якутия)</v>
          </cell>
          <cell r="D123">
            <v>98600000</v>
          </cell>
          <cell r="E123" t="str">
            <v>Муниципальные образования Республики Саха (Якутия)</v>
          </cell>
          <cell r="F123">
            <v>98000000</v>
          </cell>
          <cell r="G123" t="str">
            <v>Верхневилюйский муниципальный район</v>
          </cell>
          <cell r="H123">
            <v>98614000</v>
          </cell>
          <cell r="I123" t="str">
            <v>Сельские поселения Верхневилюйского муниципального района</v>
          </cell>
          <cell r="J123" t="str">
            <v>Харбалахский наслег</v>
          </cell>
          <cell r="K123" t="str">
            <v>с</v>
          </cell>
          <cell r="L123" t="str">
            <v>село</v>
          </cell>
          <cell r="M123" t="str">
            <v>Кюль</v>
          </cell>
        </row>
        <row r="124">
          <cell r="B124">
            <v>98614482101</v>
          </cell>
          <cell r="C124" t="str">
            <v>Муниципальные образования Республики Саха (Якутия)</v>
          </cell>
          <cell r="D124">
            <v>98600000</v>
          </cell>
          <cell r="E124" t="str">
            <v>Муниципальные образования Республики Саха (Якутия)</v>
          </cell>
          <cell r="F124">
            <v>98000000</v>
          </cell>
          <cell r="G124" t="str">
            <v>Верхневилюйский муниципальный район</v>
          </cell>
          <cell r="H124">
            <v>98614000</v>
          </cell>
          <cell r="I124" t="str">
            <v>Сельские поселения Верхневилюйского муниципального района</v>
          </cell>
          <cell r="J124" t="str">
            <v>Хомустахский наслег</v>
          </cell>
          <cell r="K124" t="str">
            <v>с</v>
          </cell>
          <cell r="L124" t="str">
            <v>село</v>
          </cell>
          <cell r="M124" t="str">
            <v>Хомустах</v>
          </cell>
        </row>
        <row r="125">
          <cell r="B125">
            <v>98614486101</v>
          </cell>
          <cell r="C125" t="str">
            <v>Муниципальные образования Республики Саха (Якутия)</v>
          </cell>
          <cell r="D125">
            <v>98600000</v>
          </cell>
          <cell r="E125" t="str">
            <v>Муниципальные образования Республики Саха (Якутия)</v>
          </cell>
          <cell r="F125">
            <v>98000000</v>
          </cell>
          <cell r="G125" t="str">
            <v>Верхневилюйский муниципальный район</v>
          </cell>
          <cell r="H125">
            <v>98614000</v>
          </cell>
          <cell r="I125" t="str">
            <v>Сельские поселения Верхневилюйского муниципального района</v>
          </cell>
          <cell r="J125" t="str">
            <v>Хоринский наслег</v>
          </cell>
          <cell r="K125" t="str">
            <v>с</v>
          </cell>
          <cell r="L125" t="str">
            <v>село</v>
          </cell>
          <cell r="M125" t="str">
            <v>Хоро</v>
          </cell>
        </row>
        <row r="126">
          <cell r="B126">
            <v>98615151051</v>
          </cell>
          <cell r="C126" t="str">
            <v>Муниципальные образования Республики Саха (Якутия)</v>
          </cell>
          <cell r="D126">
            <v>98600000</v>
          </cell>
          <cell r="E126" t="str">
            <v>Муниципальные образования Республики Саха (Якутия)</v>
          </cell>
          <cell r="F126">
            <v>98000000</v>
          </cell>
          <cell r="G126" t="str">
            <v>Верхнеколымский муниципальный район</v>
          </cell>
          <cell r="H126">
            <v>98615000</v>
          </cell>
          <cell r="I126" t="str">
            <v>Городские поселения Верхнеколымского муниципального района</v>
          </cell>
          <cell r="J126" t="str">
            <v>поселок Зырянка</v>
          </cell>
          <cell r="K126" t="str">
            <v>п</v>
          </cell>
          <cell r="L126" t="str">
            <v>поселок</v>
          </cell>
          <cell r="M126" t="str">
            <v>Зырянка</v>
          </cell>
        </row>
        <row r="127">
          <cell r="B127">
            <v>98615405101</v>
          </cell>
          <cell r="C127" t="str">
            <v>Муниципальные образования Республики Саха (Якутия)</v>
          </cell>
          <cell r="D127">
            <v>98600000</v>
          </cell>
          <cell r="E127" t="str">
            <v>Муниципальные образования Республики Саха (Якутия)</v>
          </cell>
          <cell r="F127">
            <v>98000000</v>
          </cell>
          <cell r="G127" t="str">
            <v>Верхнеколымский муниципальный район</v>
          </cell>
          <cell r="H127">
            <v>98615000</v>
          </cell>
          <cell r="I127" t="str">
            <v>Сельские поселения Верхнеколымского муниципального района</v>
          </cell>
          <cell r="J127" t="str">
            <v>Арылахский наслег</v>
          </cell>
          <cell r="K127" t="str">
            <v>с</v>
          </cell>
          <cell r="L127" t="str">
            <v>село</v>
          </cell>
          <cell r="M127" t="str">
            <v>Усун-Кюёль</v>
          </cell>
        </row>
        <row r="128">
          <cell r="B128">
            <v>98615409101</v>
          </cell>
          <cell r="C128" t="str">
            <v>Муниципальные образования Республики Саха (Якутия)</v>
          </cell>
          <cell r="D128">
            <v>98600000</v>
          </cell>
          <cell r="E128" t="str">
            <v>Муниципальные образования Республики Саха (Якутия)</v>
          </cell>
          <cell r="F128">
            <v>98000000</v>
          </cell>
          <cell r="G128" t="str">
            <v>Верхнеколымский муниципальный район</v>
          </cell>
          <cell r="H128">
            <v>98615000</v>
          </cell>
          <cell r="I128" t="str">
            <v>Сельские поселения Верхнеколымского муниципального района</v>
          </cell>
          <cell r="J128" t="str">
            <v>Верхнеколымский наслег</v>
          </cell>
          <cell r="K128" t="str">
            <v>с</v>
          </cell>
          <cell r="L128" t="str">
            <v>село</v>
          </cell>
          <cell r="M128" t="str">
            <v>Верхнеколымск</v>
          </cell>
        </row>
        <row r="129">
          <cell r="B129">
            <v>98615414101</v>
          </cell>
          <cell r="C129" t="str">
            <v>Муниципальные образования Республики Саха (Якутия)</v>
          </cell>
          <cell r="D129">
            <v>98600000</v>
          </cell>
          <cell r="E129" t="str">
            <v>Муниципальные образования Республики Саха (Якутия)</v>
          </cell>
          <cell r="F129">
            <v>98000000</v>
          </cell>
          <cell r="G129" t="str">
            <v>Верхнеколымский муниципальный район</v>
          </cell>
          <cell r="H129">
            <v>98615000</v>
          </cell>
          <cell r="I129" t="str">
            <v>Сельские поселения Верхнеколымского муниципального района</v>
          </cell>
          <cell r="J129" t="str">
            <v>Нелемнский юкагирский наслег</v>
          </cell>
          <cell r="K129" t="str">
            <v>с</v>
          </cell>
          <cell r="L129" t="str">
            <v>село</v>
          </cell>
          <cell r="M129" t="str">
            <v>Нелемное</v>
          </cell>
        </row>
        <row r="130">
          <cell r="B130">
            <v>98615427101</v>
          </cell>
          <cell r="C130" t="str">
            <v>Муниципальные образования Республики Саха (Якутия)</v>
          </cell>
          <cell r="D130">
            <v>98600000</v>
          </cell>
          <cell r="E130" t="str">
            <v>Муниципальные образования Республики Саха (Якутия)</v>
          </cell>
          <cell r="F130">
            <v>98000000</v>
          </cell>
          <cell r="G130" t="str">
            <v>Верхнеколымский муниципальный район</v>
          </cell>
          <cell r="H130">
            <v>98615000</v>
          </cell>
          <cell r="I130" t="str">
            <v>Сельские поселения Верхнеколымского муниципального района</v>
          </cell>
          <cell r="J130" t="str">
            <v>Угольнинский наслег</v>
          </cell>
          <cell r="K130" t="str">
            <v>с</v>
          </cell>
          <cell r="L130" t="str">
            <v>село</v>
          </cell>
          <cell r="M130" t="str">
            <v>Угольное</v>
          </cell>
        </row>
        <row r="131">
          <cell r="B131">
            <v>98615430101</v>
          </cell>
          <cell r="C131" t="str">
            <v>Муниципальные образования Республики Саха (Якутия)</v>
          </cell>
          <cell r="D131">
            <v>98600000</v>
          </cell>
          <cell r="E131" t="str">
            <v>Муниципальные образования Республики Саха (Якутия)</v>
          </cell>
          <cell r="F131">
            <v>98000000</v>
          </cell>
          <cell r="G131" t="str">
            <v>Верхнеколымский муниципальный район</v>
          </cell>
          <cell r="H131">
            <v>98615000</v>
          </cell>
          <cell r="I131" t="str">
            <v>Сельские поселения Верхнеколымского муниципального района</v>
          </cell>
          <cell r="J131" t="str">
            <v>Утаинский эвенский национальный наслег</v>
          </cell>
          <cell r="K131" t="str">
            <v>с</v>
          </cell>
          <cell r="L131" t="str">
            <v>село</v>
          </cell>
          <cell r="M131" t="str">
            <v>Утая</v>
          </cell>
        </row>
        <row r="132">
          <cell r="B132">
            <v>0</v>
          </cell>
          <cell r="C132" t="str">
            <v>Муниципальные образования Республики Саха (Якутия)</v>
          </cell>
          <cell r="D132">
            <v>98600000</v>
          </cell>
          <cell r="E132" t="str">
            <v>Муниципальные образования Республики Саха (Якутия)</v>
          </cell>
          <cell r="F132">
            <v>98000000</v>
          </cell>
          <cell r="G132" t="str">
            <v>Верхнеколымский муниципальный район</v>
          </cell>
          <cell r="H132">
            <v>98615000</v>
          </cell>
          <cell r="I132" t="str">
            <v>Межселенные территории Верхнеколымского муниципального района</v>
          </cell>
          <cell r="J132" t="str">
            <v>Межселенная территория Верхнеколымского муниципального района, находящаяся вне границ городского и сельских поселений</v>
          </cell>
          <cell r="K132">
            <v>0</v>
          </cell>
          <cell r="L132">
            <v>0</v>
          </cell>
          <cell r="M132">
            <v>0</v>
          </cell>
        </row>
        <row r="133">
          <cell r="B133">
            <v>98616103001</v>
          </cell>
          <cell r="C133" t="str">
            <v>Муниципальные образования Республики Саха (Якутия)</v>
          </cell>
          <cell r="D133">
            <v>98600000</v>
          </cell>
          <cell r="E133" t="str">
            <v>Муниципальные образования Республики Саха (Якутия)</v>
          </cell>
          <cell r="F133">
            <v>98000000</v>
          </cell>
          <cell r="G133" t="str">
            <v>Верхоянский муниципальный район</v>
          </cell>
          <cell r="H133">
            <v>98616000</v>
          </cell>
          <cell r="I133" t="str">
            <v>Городские поселения Верхоянского муниципального района</v>
          </cell>
          <cell r="J133" t="str">
            <v>город Верхоянск</v>
          </cell>
          <cell r="K133" t="str">
            <v>г</v>
          </cell>
          <cell r="L133" t="str">
            <v>город</v>
          </cell>
          <cell r="M133" t="str">
            <v>Верхоянск</v>
          </cell>
        </row>
        <row r="134">
          <cell r="B134">
            <v>98616151051</v>
          </cell>
          <cell r="C134" t="str">
            <v>Муниципальные образования Республики Саха (Якутия)</v>
          </cell>
          <cell r="D134">
            <v>98600000</v>
          </cell>
          <cell r="E134" t="str">
            <v>Муниципальные образования Республики Саха (Якутия)</v>
          </cell>
          <cell r="F134">
            <v>98000000</v>
          </cell>
          <cell r="G134" t="str">
            <v>Верхоянский муниципальный район</v>
          </cell>
          <cell r="H134">
            <v>98616000</v>
          </cell>
          <cell r="I134" t="str">
            <v>Городские поселения Верхоянского муниципального района</v>
          </cell>
          <cell r="J134" t="str">
            <v>поселок Батагай</v>
          </cell>
          <cell r="K134" t="str">
            <v>п</v>
          </cell>
          <cell r="L134" t="str">
            <v>поселок</v>
          </cell>
          <cell r="M134" t="str">
            <v>Батагай</v>
          </cell>
        </row>
        <row r="135">
          <cell r="B135">
            <v>98616151106</v>
          </cell>
          <cell r="C135" t="str">
            <v>Муниципальные образования Республики Саха (Якутия)</v>
          </cell>
          <cell r="D135">
            <v>98600000</v>
          </cell>
          <cell r="E135" t="str">
            <v>Муниципальные образования Республики Саха (Якутия)</v>
          </cell>
          <cell r="F135">
            <v>98000000</v>
          </cell>
          <cell r="G135" t="str">
            <v>Верхоянский муниципальный район</v>
          </cell>
          <cell r="H135">
            <v>98616000</v>
          </cell>
          <cell r="I135" t="str">
            <v>Городские поселения Верхоянского муниципального района</v>
          </cell>
          <cell r="J135" t="str">
            <v>поселок Батагай</v>
          </cell>
          <cell r="K135" t="str">
            <v>с</v>
          </cell>
          <cell r="L135" t="str">
            <v>село</v>
          </cell>
          <cell r="M135" t="str">
            <v>Сентачан</v>
          </cell>
        </row>
        <row r="136">
          <cell r="B136">
            <v>98616151111</v>
          </cell>
          <cell r="C136" t="str">
            <v>Муниципальные образования Республики Саха (Якутия)</v>
          </cell>
          <cell r="D136">
            <v>98600000</v>
          </cell>
          <cell r="E136" t="str">
            <v>Муниципальные образования Республики Саха (Якутия)</v>
          </cell>
          <cell r="F136">
            <v>98000000</v>
          </cell>
          <cell r="G136" t="str">
            <v>Верхоянский муниципальный район</v>
          </cell>
          <cell r="H136">
            <v>98616000</v>
          </cell>
          <cell r="I136" t="str">
            <v>Городские поселения Верхоянского муниципального района</v>
          </cell>
          <cell r="J136" t="str">
            <v>поселок Батагай</v>
          </cell>
          <cell r="K136" t="str">
            <v>с</v>
          </cell>
          <cell r="L136" t="str">
            <v>село</v>
          </cell>
          <cell r="M136" t="str">
            <v>Усть-Чаркы</v>
          </cell>
        </row>
        <row r="137">
          <cell r="B137">
            <v>98616156051</v>
          </cell>
          <cell r="C137" t="str">
            <v>Муниципальные образования Республики Саха (Якутия)</v>
          </cell>
          <cell r="D137">
            <v>98600000</v>
          </cell>
          <cell r="E137" t="str">
            <v>Муниципальные образования Республики Саха (Якутия)</v>
          </cell>
          <cell r="F137">
            <v>98000000</v>
          </cell>
          <cell r="G137" t="str">
            <v>Верхоянский муниципальный район</v>
          </cell>
          <cell r="H137">
            <v>98616000</v>
          </cell>
          <cell r="I137" t="str">
            <v>Городские поселения Верхоянского муниципального района</v>
          </cell>
          <cell r="J137" t="str">
            <v>поселок Эсэ-Хайя</v>
          </cell>
          <cell r="K137" t="str">
            <v>п</v>
          </cell>
          <cell r="L137" t="str">
            <v>поселок</v>
          </cell>
          <cell r="M137" t="str">
            <v>Эсэ-Хайя</v>
          </cell>
        </row>
        <row r="138">
          <cell r="B138">
            <v>98616404101</v>
          </cell>
          <cell r="C138" t="str">
            <v>Муниципальные образования Республики Саха (Якутия)</v>
          </cell>
          <cell r="D138">
            <v>98600000</v>
          </cell>
          <cell r="E138" t="str">
            <v>Муниципальные образования Республики Саха (Якутия)</v>
          </cell>
          <cell r="F138">
            <v>98000000</v>
          </cell>
          <cell r="G138" t="str">
            <v>Верхоянский муниципальный район</v>
          </cell>
          <cell r="H138">
            <v>98616000</v>
          </cell>
          <cell r="I138" t="str">
            <v>Сельские поселения Верхоянского муниципального района</v>
          </cell>
          <cell r="J138" t="str">
            <v>Адычинский наслег</v>
          </cell>
          <cell r="K138" t="str">
            <v>с</v>
          </cell>
          <cell r="L138" t="str">
            <v>село</v>
          </cell>
          <cell r="M138" t="str">
            <v>Бетенкёс</v>
          </cell>
        </row>
        <row r="139">
          <cell r="B139">
            <v>98616404106</v>
          </cell>
          <cell r="C139" t="str">
            <v>Муниципальные образования Республики Саха (Якутия)</v>
          </cell>
          <cell r="D139">
            <v>98600000</v>
          </cell>
          <cell r="E139" t="str">
            <v>Муниципальные образования Республики Саха (Якутия)</v>
          </cell>
          <cell r="F139">
            <v>98000000</v>
          </cell>
          <cell r="G139" t="str">
            <v>Верхоянский муниципальный район</v>
          </cell>
          <cell r="H139">
            <v>98616000</v>
          </cell>
          <cell r="I139" t="str">
            <v>Сельские поселения Верхоянского муниципального района</v>
          </cell>
          <cell r="J139" t="str">
            <v>Адычинский наслег</v>
          </cell>
          <cell r="K139" t="str">
            <v>с</v>
          </cell>
          <cell r="L139" t="str">
            <v>село</v>
          </cell>
          <cell r="M139" t="str">
            <v>Алысардах</v>
          </cell>
        </row>
        <row r="140">
          <cell r="B140">
            <v>98616404111</v>
          </cell>
          <cell r="C140" t="str">
            <v>Муниципальные образования Республики Саха (Якутия)</v>
          </cell>
          <cell r="D140">
            <v>98600000</v>
          </cell>
          <cell r="E140" t="str">
            <v>Муниципальные образования Республики Саха (Якутия)</v>
          </cell>
          <cell r="F140">
            <v>98000000</v>
          </cell>
          <cell r="G140" t="str">
            <v>Верхоянский муниципальный район</v>
          </cell>
          <cell r="H140">
            <v>98616000</v>
          </cell>
          <cell r="I140" t="str">
            <v>Сельские поселения Верхоянского муниципального района</v>
          </cell>
          <cell r="J140" t="str">
            <v>Адычинский наслег</v>
          </cell>
          <cell r="K140" t="str">
            <v>с</v>
          </cell>
          <cell r="L140" t="str">
            <v>село</v>
          </cell>
          <cell r="M140" t="str">
            <v>Энгя-Сайылыга</v>
          </cell>
        </row>
        <row r="141">
          <cell r="B141">
            <v>98616409101</v>
          </cell>
          <cell r="C141" t="str">
            <v>Муниципальные образования Республики Саха (Якутия)</v>
          </cell>
          <cell r="D141">
            <v>98600000</v>
          </cell>
          <cell r="E141" t="str">
            <v>Муниципальные образования Республики Саха (Якутия)</v>
          </cell>
          <cell r="F141">
            <v>98000000</v>
          </cell>
          <cell r="G141" t="str">
            <v>Верхоянский муниципальный район</v>
          </cell>
          <cell r="H141">
            <v>98616000</v>
          </cell>
          <cell r="I141" t="str">
            <v>Сельские поселения Верхоянского муниципального района</v>
          </cell>
          <cell r="J141" t="str">
            <v>Арылахский наслег</v>
          </cell>
          <cell r="K141" t="str">
            <v>с</v>
          </cell>
          <cell r="L141" t="str">
            <v>село</v>
          </cell>
          <cell r="M141" t="str">
            <v>Бала</v>
          </cell>
        </row>
        <row r="142">
          <cell r="B142">
            <v>98616409106</v>
          </cell>
          <cell r="C142" t="str">
            <v>Муниципальные образования Республики Саха (Якутия)</v>
          </cell>
          <cell r="D142">
            <v>98600000</v>
          </cell>
          <cell r="E142" t="str">
            <v>Муниципальные образования Республики Саха (Якутия)</v>
          </cell>
          <cell r="F142">
            <v>98000000</v>
          </cell>
          <cell r="G142" t="str">
            <v>Верхоянский муниципальный район</v>
          </cell>
          <cell r="H142">
            <v>98616000</v>
          </cell>
          <cell r="I142" t="str">
            <v>Сельские поселения Верхоянского муниципального района</v>
          </cell>
          <cell r="J142" t="str">
            <v>Арылахский наслег</v>
          </cell>
          <cell r="K142" t="str">
            <v>с</v>
          </cell>
          <cell r="L142" t="str">
            <v>село</v>
          </cell>
          <cell r="M142" t="str">
            <v>Метяки</v>
          </cell>
        </row>
        <row r="143">
          <cell r="B143">
            <v>98616412101</v>
          </cell>
          <cell r="C143" t="str">
            <v>Муниципальные образования Республики Саха (Якутия)</v>
          </cell>
          <cell r="D143">
            <v>98600000</v>
          </cell>
          <cell r="E143" t="str">
            <v>Муниципальные образования Республики Саха (Якутия)</v>
          </cell>
          <cell r="F143">
            <v>98000000</v>
          </cell>
          <cell r="G143" t="str">
            <v>Верхоянский муниципальный район</v>
          </cell>
          <cell r="H143">
            <v>98616000</v>
          </cell>
          <cell r="I143" t="str">
            <v>Сельские поселения Верхоянского муниципального района</v>
          </cell>
          <cell r="J143" t="str">
            <v>Барыласский наслег</v>
          </cell>
          <cell r="K143" t="str">
            <v>с</v>
          </cell>
          <cell r="L143" t="str">
            <v>село</v>
          </cell>
          <cell r="M143" t="str">
            <v>Барылас</v>
          </cell>
        </row>
        <row r="144">
          <cell r="B144">
            <v>98616414101</v>
          </cell>
          <cell r="C144" t="str">
            <v>Муниципальные образования Республики Саха (Якутия)</v>
          </cell>
          <cell r="D144">
            <v>98600000</v>
          </cell>
          <cell r="E144" t="str">
            <v>Муниципальные образования Республики Саха (Якутия)</v>
          </cell>
          <cell r="F144">
            <v>98000000</v>
          </cell>
          <cell r="G144" t="str">
            <v>Верхоянский муниципальный район</v>
          </cell>
          <cell r="H144">
            <v>98616000</v>
          </cell>
          <cell r="I144" t="str">
            <v>Сельские поселения Верхоянского муниципального района</v>
          </cell>
          <cell r="J144" t="str">
            <v>Борулахский наслег</v>
          </cell>
          <cell r="K144" t="str">
            <v>с</v>
          </cell>
          <cell r="L144" t="str">
            <v>село</v>
          </cell>
          <cell r="M144" t="str">
            <v>Томтор</v>
          </cell>
        </row>
        <row r="145">
          <cell r="B145">
            <v>98616414106</v>
          </cell>
          <cell r="C145" t="str">
            <v>Муниципальные образования Республики Саха (Якутия)</v>
          </cell>
          <cell r="D145">
            <v>98600000</v>
          </cell>
          <cell r="E145" t="str">
            <v>Муниципальные образования Республики Саха (Якутия)</v>
          </cell>
          <cell r="F145">
            <v>98000000</v>
          </cell>
          <cell r="G145" t="str">
            <v>Верхоянский муниципальный район</v>
          </cell>
          <cell r="H145">
            <v>98616000</v>
          </cell>
          <cell r="I145" t="str">
            <v>Сельские поселения Верхоянского муниципального района</v>
          </cell>
          <cell r="J145" t="str">
            <v>Борулахский наслег</v>
          </cell>
          <cell r="K145" t="str">
            <v>с</v>
          </cell>
          <cell r="L145" t="str">
            <v>село</v>
          </cell>
          <cell r="M145" t="str">
            <v>Токума</v>
          </cell>
        </row>
        <row r="146">
          <cell r="B146">
            <v>98616425101</v>
          </cell>
          <cell r="C146" t="str">
            <v>Муниципальные образования Республики Саха (Якутия)</v>
          </cell>
          <cell r="D146">
            <v>98600000</v>
          </cell>
          <cell r="E146" t="str">
            <v>Муниципальные образования Республики Саха (Якутия)</v>
          </cell>
          <cell r="F146">
            <v>98000000</v>
          </cell>
          <cell r="G146" t="str">
            <v>Верхоянский муниципальный район</v>
          </cell>
          <cell r="H146">
            <v>98616000</v>
          </cell>
          <cell r="I146" t="str">
            <v>Сельские поселения Верхоянского муниципального района</v>
          </cell>
          <cell r="J146" t="str">
            <v>Дулгалахский наслег</v>
          </cell>
          <cell r="K146" t="str">
            <v>с</v>
          </cell>
          <cell r="L146" t="str">
            <v>село</v>
          </cell>
          <cell r="M146" t="str">
            <v>Томтор</v>
          </cell>
        </row>
        <row r="147">
          <cell r="B147">
            <v>98616442101</v>
          </cell>
          <cell r="C147" t="str">
            <v>Муниципальные образования Республики Саха (Якутия)</v>
          </cell>
          <cell r="D147">
            <v>98600000</v>
          </cell>
          <cell r="E147" t="str">
            <v>Муниципальные образования Республики Саха (Якутия)</v>
          </cell>
          <cell r="F147">
            <v>98000000</v>
          </cell>
          <cell r="G147" t="str">
            <v>Верхоянский муниципальный район</v>
          </cell>
          <cell r="H147">
            <v>98616000</v>
          </cell>
          <cell r="I147" t="str">
            <v>Сельские поселения Верхоянского муниципального района</v>
          </cell>
          <cell r="J147" t="str">
            <v>Сартанский наслег</v>
          </cell>
          <cell r="K147" t="str">
            <v>с</v>
          </cell>
          <cell r="L147" t="str">
            <v>село</v>
          </cell>
          <cell r="M147" t="str">
            <v>Юнкюр</v>
          </cell>
        </row>
        <row r="148">
          <cell r="B148">
            <v>98616442106</v>
          </cell>
          <cell r="C148" t="str">
            <v>Муниципальные образования Республики Саха (Якутия)</v>
          </cell>
          <cell r="D148">
            <v>98600000</v>
          </cell>
          <cell r="E148" t="str">
            <v>Муниципальные образования Республики Саха (Якутия)</v>
          </cell>
          <cell r="F148">
            <v>98000000</v>
          </cell>
          <cell r="G148" t="str">
            <v>Верхоянский муниципальный район</v>
          </cell>
          <cell r="H148">
            <v>98616000</v>
          </cell>
          <cell r="I148" t="str">
            <v>Сельские поселения Верхоянского муниципального района</v>
          </cell>
          <cell r="J148" t="str">
            <v>Сартанский наслег</v>
          </cell>
          <cell r="K148" t="str">
            <v>с</v>
          </cell>
          <cell r="L148" t="str">
            <v>село</v>
          </cell>
          <cell r="M148" t="str">
            <v>Сысы-Мейите</v>
          </cell>
        </row>
        <row r="149">
          <cell r="B149">
            <v>98616445101</v>
          </cell>
          <cell r="C149" t="str">
            <v>Муниципальные образования Республики Саха (Якутия)</v>
          </cell>
          <cell r="D149">
            <v>98600000</v>
          </cell>
          <cell r="E149" t="str">
            <v>Муниципальные образования Республики Саха (Якутия)</v>
          </cell>
          <cell r="F149">
            <v>98000000</v>
          </cell>
          <cell r="G149" t="str">
            <v>Верхоянский муниципальный район</v>
          </cell>
          <cell r="H149">
            <v>98616000</v>
          </cell>
          <cell r="I149" t="str">
            <v>Сельские поселения Верхоянского муниципального района</v>
          </cell>
          <cell r="J149" t="str">
            <v>Столбинский наслег</v>
          </cell>
          <cell r="K149" t="str">
            <v>с</v>
          </cell>
          <cell r="L149" t="str">
            <v>село</v>
          </cell>
          <cell r="M149" t="str">
            <v>Столбы</v>
          </cell>
        </row>
        <row r="150">
          <cell r="B150">
            <v>98616448101</v>
          </cell>
          <cell r="C150" t="str">
            <v>Муниципальные образования Республики Саха (Якутия)</v>
          </cell>
          <cell r="D150">
            <v>98600000</v>
          </cell>
          <cell r="E150" t="str">
            <v>Муниципальные образования Республики Саха (Якутия)</v>
          </cell>
          <cell r="F150">
            <v>98000000</v>
          </cell>
          <cell r="G150" t="str">
            <v>Верхоянский муниципальный район</v>
          </cell>
          <cell r="H150">
            <v>98616000</v>
          </cell>
          <cell r="I150" t="str">
            <v>Сельские поселения Верхоянского муниципального района</v>
          </cell>
          <cell r="J150" t="str">
            <v>Суордахский наслег</v>
          </cell>
          <cell r="K150" t="str">
            <v>с</v>
          </cell>
          <cell r="L150" t="str">
            <v>село</v>
          </cell>
          <cell r="M150" t="str">
            <v>Суордах</v>
          </cell>
        </row>
        <row r="151">
          <cell r="B151">
            <v>98616453101</v>
          </cell>
          <cell r="C151" t="str">
            <v>Муниципальные образования Республики Саха (Якутия)</v>
          </cell>
          <cell r="D151">
            <v>98600000</v>
          </cell>
          <cell r="E151" t="str">
            <v>Муниципальные образования Республики Саха (Якутия)</v>
          </cell>
          <cell r="F151">
            <v>98000000</v>
          </cell>
          <cell r="G151" t="str">
            <v>Верхоянский муниципальный район</v>
          </cell>
          <cell r="H151">
            <v>98616000</v>
          </cell>
          <cell r="I151" t="str">
            <v>Сельские поселения Верхоянского муниципального района</v>
          </cell>
          <cell r="J151" t="str">
            <v>Табалахский наслег</v>
          </cell>
          <cell r="K151" t="str">
            <v>с</v>
          </cell>
          <cell r="L151" t="str">
            <v>село</v>
          </cell>
          <cell r="M151" t="str">
            <v>Улахан-Кюёль</v>
          </cell>
        </row>
        <row r="152">
          <cell r="B152">
            <v>98616453106</v>
          </cell>
          <cell r="C152" t="str">
            <v>Муниципальные образования Республики Саха (Якутия)</v>
          </cell>
          <cell r="D152">
            <v>98600000</v>
          </cell>
          <cell r="E152" t="str">
            <v>Муниципальные образования Республики Саха (Якутия)</v>
          </cell>
          <cell r="F152">
            <v>98000000</v>
          </cell>
          <cell r="G152" t="str">
            <v>Верхоянский муниципальный район</v>
          </cell>
          <cell r="H152">
            <v>98616000</v>
          </cell>
          <cell r="I152" t="str">
            <v>Сельские поселения Верхоянского муниципального района</v>
          </cell>
          <cell r="J152" t="str">
            <v>Табалахский наслег</v>
          </cell>
          <cell r="K152" t="str">
            <v>с</v>
          </cell>
          <cell r="L152" t="str">
            <v>село</v>
          </cell>
          <cell r="M152" t="str">
            <v>Тала</v>
          </cell>
        </row>
        <row r="153">
          <cell r="B153">
            <v>98616460101</v>
          </cell>
          <cell r="C153" t="str">
            <v>Муниципальные образования Республики Саха (Якутия)</v>
          </cell>
          <cell r="D153">
            <v>98600000</v>
          </cell>
          <cell r="E153" t="str">
            <v>Муниципальные образования Республики Саха (Якутия)</v>
          </cell>
          <cell r="F153">
            <v>98000000</v>
          </cell>
          <cell r="G153" t="str">
            <v>Верхоянский муниципальный район</v>
          </cell>
          <cell r="H153">
            <v>98616000</v>
          </cell>
          <cell r="I153" t="str">
            <v>Сельские поселения Верхоянского муниципального района</v>
          </cell>
          <cell r="J153" t="str">
            <v>Черюмчинский наслег</v>
          </cell>
          <cell r="K153" t="str">
            <v>с</v>
          </cell>
          <cell r="L153" t="str">
            <v>село</v>
          </cell>
          <cell r="M153" t="str">
            <v>Черюмче</v>
          </cell>
        </row>
        <row r="154">
          <cell r="B154">
            <v>98616464101</v>
          </cell>
          <cell r="C154" t="str">
            <v>Муниципальные образования Республики Саха (Якутия)</v>
          </cell>
          <cell r="D154">
            <v>98600000</v>
          </cell>
          <cell r="E154" t="str">
            <v>Муниципальные образования Республики Саха (Якутия)</v>
          </cell>
          <cell r="F154">
            <v>98000000</v>
          </cell>
          <cell r="G154" t="str">
            <v>Верхоянский муниципальный район</v>
          </cell>
          <cell r="H154">
            <v>98616000</v>
          </cell>
          <cell r="I154" t="str">
            <v>Сельские поселения Верхоянского муниципального района</v>
          </cell>
          <cell r="J154" t="str">
            <v>Эгинский наслег</v>
          </cell>
          <cell r="K154" t="str">
            <v>с</v>
          </cell>
          <cell r="L154" t="str">
            <v>село</v>
          </cell>
          <cell r="M154" t="str">
            <v>Сайды</v>
          </cell>
        </row>
        <row r="155">
          <cell r="B155">
            <v>98616464106</v>
          </cell>
          <cell r="C155" t="str">
            <v>Муниципальные образования Республики Саха (Якутия)</v>
          </cell>
          <cell r="D155">
            <v>98600000</v>
          </cell>
          <cell r="E155" t="str">
            <v>Муниципальные образования Республики Саха (Якутия)</v>
          </cell>
          <cell r="F155">
            <v>98000000</v>
          </cell>
          <cell r="G155" t="str">
            <v>Верхоянский муниципальный район</v>
          </cell>
          <cell r="H155">
            <v>98616000</v>
          </cell>
          <cell r="I155" t="str">
            <v>Сельские поселения Верхоянского муниципального района</v>
          </cell>
          <cell r="J155" t="str">
            <v>Эгинский наслег</v>
          </cell>
          <cell r="K155" t="str">
            <v>с</v>
          </cell>
          <cell r="L155" t="str">
            <v>село</v>
          </cell>
          <cell r="M155" t="str">
            <v>Осохтох</v>
          </cell>
        </row>
        <row r="156">
          <cell r="B156">
            <v>98616470101</v>
          </cell>
          <cell r="C156" t="str">
            <v>Муниципальные образования Республики Саха (Якутия)</v>
          </cell>
          <cell r="D156">
            <v>98600000</v>
          </cell>
          <cell r="E156" t="str">
            <v>Муниципальные образования Республики Саха (Якутия)</v>
          </cell>
          <cell r="F156">
            <v>98000000</v>
          </cell>
          <cell r="G156" t="str">
            <v>Верхоянский муниципальный район</v>
          </cell>
          <cell r="H156">
            <v>98616000</v>
          </cell>
          <cell r="I156" t="str">
            <v>Сельские поселения Верхоянского муниципального района</v>
          </cell>
          <cell r="J156" t="str">
            <v>Эльгесский наслег</v>
          </cell>
          <cell r="K156" t="str">
            <v>с</v>
          </cell>
          <cell r="L156" t="str">
            <v>село</v>
          </cell>
          <cell r="M156" t="str">
            <v>Хайысардах</v>
          </cell>
        </row>
        <row r="157">
          <cell r="B157">
            <v>98616470106</v>
          </cell>
          <cell r="C157" t="str">
            <v>Муниципальные образования Республики Саха (Якутия)</v>
          </cell>
          <cell r="D157">
            <v>98600000</v>
          </cell>
          <cell r="E157" t="str">
            <v>Муниципальные образования Республики Саха (Якутия)</v>
          </cell>
          <cell r="F157">
            <v>98000000</v>
          </cell>
          <cell r="G157" t="str">
            <v>Верхоянский муниципальный район</v>
          </cell>
          <cell r="H157">
            <v>98616000</v>
          </cell>
          <cell r="I157" t="str">
            <v>Сельские поселения Верхоянского муниципального района</v>
          </cell>
          <cell r="J157" t="str">
            <v>Эльгесский наслег</v>
          </cell>
          <cell r="K157" t="str">
            <v>с</v>
          </cell>
          <cell r="L157" t="str">
            <v>село</v>
          </cell>
          <cell r="M157" t="str">
            <v>Юрдюк-Кумах</v>
          </cell>
        </row>
        <row r="158">
          <cell r="B158">
            <v>98616477101</v>
          </cell>
          <cell r="C158" t="str">
            <v>Муниципальные образования Республики Саха (Якутия)</v>
          </cell>
          <cell r="D158">
            <v>98600000</v>
          </cell>
          <cell r="E158" t="str">
            <v>Муниципальные образования Республики Саха (Якутия)</v>
          </cell>
          <cell r="F158">
            <v>98000000</v>
          </cell>
          <cell r="G158" t="str">
            <v>Верхоянский муниципальный район</v>
          </cell>
          <cell r="H158">
            <v>98616000</v>
          </cell>
          <cell r="I158" t="str">
            <v>Сельские поселения Верхоянского муниципального района</v>
          </cell>
          <cell r="J158" t="str">
            <v>Бабушкинский наслег</v>
          </cell>
          <cell r="K158" t="str">
            <v>с</v>
          </cell>
          <cell r="L158" t="str">
            <v>село</v>
          </cell>
          <cell r="M158" t="str">
            <v>Боронук</v>
          </cell>
        </row>
        <row r="159">
          <cell r="B159">
            <v>98616477106</v>
          </cell>
          <cell r="C159" t="str">
            <v>Муниципальные образования Республики Саха (Якутия)</v>
          </cell>
          <cell r="D159">
            <v>98600000</v>
          </cell>
          <cell r="E159" t="str">
            <v>Муниципальные образования Республики Саха (Якутия)</v>
          </cell>
          <cell r="F159">
            <v>98000000</v>
          </cell>
          <cell r="G159" t="str">
            <v>Верхоянский муниципальный район</v>
          </cell>
          <cell r="H159">
            <v>98616000</v>
          </cell>
          <cell r="I159" t="str">
            <v>Сельские поселения Верхоянского муниципального района</v>
          </cell>
          <cell r="J159" t="str">
            <v>Бабушкинский наслег</v>
          </cell>
          <cell r="K159" t="str">
            <v>с</v>
          </cell>
          <cell r="L159" t="str">
            <v>село</v>
          </cell>
          <cell r="M159" t="str">
            <v>Мачах</v>
          </cell>
        </row>
        <row r="160">
          <cell r="B160">
            <v>98616488101</v>
          </cell>
          <cell r="C160" t="str">
            <v>Муниципальные образования Республики Саха (Якутия)</v>
          </cell>
          <cell r="D160">
            <v>98600000</v>
          </cell>
          <cell r="E160" t="str">
            <v>Муниципальные образования Республики Саха (Якутия)</v>
          </cell>
          <cell r="F160">
            <v>98000000</v>
          </cell>
          <cell r="G160" t="str">
            <v>Верхоянский муниципальный район</v>
          </cell>
          <cell r="H160">
            <v>98616000</v>
          </cell>
          <cell r="I160" t="str">
            <v>Сельские поселения Верхоянского муниципального района</v>
          </cell>
          <cell r="J160" t="str">
            <v>Янский наслег</v>
          </cell>
          <cell r="K160" t="str">
            <v>с</v>
          </cell>
          <cell r="L160" t="str">
            <v>село</v>
          </cell>
          <cell r="M160" t="str">
            <v>Юттях</v>
          </cell>
        </row>
        <row r="161">
          <cell r="B161">
            <v>98616488106</v>
          </cell>
          <cell r="C161" t="str">
            <v>Муниципальные образования Республики Саха (Якутия)</v>
          </cell>
          <cell r="D161">
            <v>98600000</v>
          </cell>
          <cell r="E161" t="str">
            <v>Муниципальные образования Республики Саха (Якутия)</v>
          </cell>
          <cell r="F161">
            <v>98000000</v>
          </cell>
          <cell r="G161" t="str">
            <v>Верхоянский муниципальный район</v>
          </cell>
          <cell r="H161">
            <v>98616000</v>
          </cell>
          <cell r="I161" t="str">
            <v>Сельские поселения Верхоянского муниципального района</v>
          </cell>
          <cell r="J161" t="str">
            <v>Янский наслег</v>
          </cell>
          <cell r="K161" t="str">
            <v>с</v>
          </cell>
          <cell r="L161" t="str">
            <v>село</v>
          </cell>
          <cell r="M161" t="str">
            <v>Чолбон</v>
          </cell>
        </row>
        <row r="162">
          <cell r="B162">
            <v>98618101001</v>
          </cell>
          <cell r="C162" t="str">
            <v>Муниципальные образования Республики Саха (Якутия)</v>
          </cell>
          <cell r="D162">
            <v>98600000</v>
          </cell>
          <cell r="E162" t="str">
            <v>Муниципальные образования Республики Саха (Якутия)</v>
          </cell>
          <cell r="F162">
            <v>98000000</v>
          </cell>
          <cell r="G162" t="str">
            <v>Вилюйский муниципальный район</v>
          </cell>
          <cell r="H162">
            <v>98618000</v>
          </cell>
          <cell r="I162" t="str">
            <v>Городские поселения Вилюйского муниципального района</v>
          </cell>
          <cell r="J162" t="str">
            <v>город Вилюйск</v>
          </cell>
          <cell r="K162" t="str">
            <v>г</v>
          </cell>
          <cell r="L162" t="str">
            <v>город</v>
          </cell>
          <cell r="M162" t="str">
            <v>Вилюйск</v>
          </cell>
        </row>
        <row r="163">
          <cell r="B163">
            <v>98618101106</v>
          </cell>
          <cell r="C163" t="str">
            <v>Муниципальные образования Республики Саха (Якутия)</v>
          </cell>
          <cell r="D163">
            <v>98600000</v>
          </cell>
          <cell r="E163" t="str">
            <v>Муниципальные образования Республики Саха (Якутия)</v>
          </cell>
          <cell r="F163">
            <v>98000000</v>
          </cell>
          <cell r="G163" t="str">
            <v>Вилюйский муниципальный район</v>
          </cell>
          <cell r="H163">
            <v>98618000</v>
          </cell>
          <cell r="I163" t="str">
            <v>Городские поселения Вилюйского муниципального района</v>
          </cell>
          <cell r="J163" t="str">
            <v>город Вилюйск</v>
          </cell>
          <cell r="K163" t="str">
            <v>с</v>
          </cell>
          <cell r="L163" t="str">
            <v>село</v>
          </cell>
          <cell r="M163" t="str">
            <v>Сосновка</v>
          </cell>
        </row>
        <row r="164">
          <cell r="B164">
            <v>98618153051</v>
          </cell>
          <cell r="C164" t="str">
            <v>Муниципальные образования Республики Саха (Якутия)</v>
          </cell>
          <cell r="D164">
            <v>98600000</v>
          </cell>
          <cell r="E164" t="str">
            <v>Муниципальные образования Республики Саха (Якутия)</v>
          </cell>
          <cell r="F164">
            <v>98000000</v>
          </cell>
          <cell r="G164" t="str">
            <v>Вилюйский муниципальный район</v>
          </cell>
          <cell r="H164">
            <v>98618000</v>
          </cell>
          <cell r="I164" t="str">
            <v>Городские поселения Вилюйского муниципального района</v>
          </cell>
          <cell r="J164" t="str">
            <v>поселок Кысыл-Сыр</v>
          </cell>
          <cell r="K164" t="str">
            <v>п</v>
          </cell>
          <cell r="L164" t="str">
            <v>поселок</v>
          </cell>
          <cell r="M164" t="str">
            <v>Кысыл-Сыр</v>
          </cell>
        </row>
        <row r="165">
          <cell r="B165">
            <v>98618404101</v>
          </cell>
          <cell r="C165" t="str">
            <v>Муниципальные образования Республики Саха (Якутия)</v>
          </cell>
          <cell r="D165">
            <v>98600000</v>
          </cell>
          <cell r="E165" t="str">
            <v>Муниципальные образования Республики Саха (Якутия)</v>
          </cell>
          <cell r="F165">
            <v>98000000</v>
          </cell>
          <cell r="G165" t="str">
            <v>Вилюйский муниципальный район</v>
          </cell>
          <cell r="H165">
            <v>98618000</v>
          </cell>
          <cell r="I165" t="str">
            <v>Сельские поселения Вилюйского муниципального района</v>
          </cell>
          <cell r="J165" t="str">
            <v>Арылахский наслег</v>
          </cell>
          <cell r="K165" t="str">
            <v>с</v>
          </cell>
          <cell r="L165" t="str">
            <v>село</v>
          </cell>
          <cell r="M165" t="str">
            <v>Хампа</v>
          </cell>
        </row>
        <row r="166">
          <cell r="B166">
            <v>98618408101</v>
          </cell>
          <cell r="C166" t="str">
            <v>Муниципальные образования Республики Саха (Якутия)</v>
          </cell>
          <cell r="D166">
            <v>98600000</v>
          </cell>
          <cell r="E166" t="str">
            <v>Муниципальные образования Республики Саха (Якутия)</v>
          </cell>
          <cell r="F166">
            <v>98000000</v>
          </cell>
          <cell r="G166" t="str">
            <v>Вилюйский муниципальный район</v>
          </cell>
          <cell r="H166">
            <v>98618000</v>
          </cell>
          <cell r="I166" t="str">
            <v>Сельские поселения Вилюйского муниципального района</v>
          </cell>
          <cell r="J166" t="str">
            <v>Баппагайинский наслег</v>
          </cell>
          <cell r="K166" t="str">
            <v>с</v>
          </cell>
          <cell r="L166" t="str">
            <v>село</v>
          </cell>
          <cell r="M166" t="str">
            <v>Илбенге</v>
          </cell>
        </row>
        <row r="167">
          <cell r="B167">
            <v>98618408106</v>
          </cell>
          <cell r="C167" t="str">
            <v>Муниципальные образования Республики Саха (Якутия)</v>
          </cell>
          <cell r="D167">
            <v>98600000</v>
          </cell>
          <cell r="E167" t="str">
            <v>Муниципальные образования Республики Саха (Якутия)</v>
          </cell>
          <cell r="F167">
            <v>98000000</v>
          </cell>
          <cell r="G167" t="str">
            <v>Вилюйский муниципальный район</v>
          </cell>
          <cell r="H167">
            <v>98618000</v>
          </cell>
          <cell r="I167" t="str">
            <v>Сельские поселения Вилюйского муниципального района</v>
          </cell>
          <cell r="J167" t="str">
            <v>Баппагайинский наслег</v>
          </cell>
          <cell r="K167" t="str">
            <v>с</v>
          </cell>
          <cell r="L167" t="str">
            <v>село</v>
          </cell>
          <cell r="M167" t="str">
            <v>Арылах</v>
          </cell>
        </row>
        <row r="168">
          <cell r="B168">
            <v>98618408111</v>
          </cell>
          <cell r="C168" t="str">
            <v>Муниципальные образования Республики Саха (Якутия)</v>
          </cell>
          <cell r="D168">
            <v>98600000</v>
          </cell>
          <cell r="E168" t="str">
            <v>Муниципальные образования Республики Саха (Якутия)</v>
          </cell>
          <cell r="F168">
            <v>98000000</v>
          </cell>
          <cell r="G168" t="str">
            <v>Вилюйский муниципальный район</v>
          </cell>
          <cell r="H168">
            <v>98618000</v>
          </cell>
          <cell r="I168" t="str">
            <v>Сельские поселения Вилюйского муниципального района</v>
          </cell>
          <cell r="J168" t="str">
            <v>Баппагайинский наслег</v>
          </cell>
          <cell r="K168" t="str">
            <v>с</v>
          </cell>
          <cell r="L168" t="str">
            <v>село</v>
          </cell>
          <cell r="M168" t="str">
            <v>Сортол</v>
          </cell>
        </row>
        <row r="169">
          <cell r="B169">
            <v>98618412101</v>
          </cell>
          <cell r="C169" t="str">
            <v>Муниципальные образования Республики Саха (Якутия)</v>
          </cell>
          <cell r="D169">
            <v>98600000</v>
          </cell>
          <cell r="E169" t="str">
            <v>Муниципальные образования Республики Саха (Якутия)</v>
          </cell>
          <cell r="F169">
            <v>98000000</v>
          </cell>
          <cell r="G169" t="str">
            <v>Вилюйский муниципальный район</v>
          </cell>
          <cell r="H169">
            <v>98618000</v>
          </cell>
          <cell r="I169" t="str">
            <v>Сельские поселения Вилюйского муниципального района</v>
          </cell>
          <cell r="J169" t="str">
            <v>Бекчегинский наслег</v>
          </cell>
          <cell r="K169" t="str">
            <v>с</v>
          </cell>
          <cell r="L169" t="str">
            <v>село</v>
          </cell>
          <cell r="M169" t="str">
            <v>Бетюнг</v>
          </cell>
        </row>
        <row r="170">
          <cell r="B170">
            <v>98618416101</v>
          </cell>
          <cell r="C170" t="str">
            <v>Муниципальные образования Республики Саха (Якутия)</v>
          </cell>
          <cell r="D170">
            <v>98600000</v>
          </cell>
          <cell r="E170" t="str">
            <v>Муниципальные образования Республики Саха (Якутия)</v>
          </cell>
          <cell r="F170">
            <v>98000000</v>
          </cell>
          <cell r="G170" t="str">
            <v>Вилюйский муниципальный район</v>
          </cell>
          <cell r="H170">
            <v>98618000</v>
          </cell>
          <cell r="I170" t="str">
            <v>Сельские поселения Вилюйского муниципального района</v>
          </cell>
          <cell r="J170" t="str">
            <v>Борогонский наслег</v>
          </cell>
          <cell r="K170" t="str">
            <v>с</v>
          </cell>
          <cell r="L170" t="str">
            <v>село</v>
          </cell>
          <cell r="M170" t="str">
            <v>Чай</v>
          </cell>
        </row>
        <row r="171">
          <cell r="B171">
            <v>98618418101</v>
          </cell>
          <cell r="C171" t="str">
            <v>Муниципальные образования Республики Саха (Якутия)</v>
          </cell>
          <cell r="D171">
            <v>98600000</v>
          </cell>
          <cell r="E171" t="str">
            <v>Муниципальные образования Республики Саха (Якутия)</v>
          </cell>
          <cell r="F171">
            <v>98000000</v>
          </cell>
          <cell r="G171" t="str">
            <v>Вилюйский муниципальный район</v>
          </cell>
          <cell r="H171">
            <v>98618000</v>
          </cell>
          <cell r="I171" t="str">
            <v>Сельские поселения Вилюйского муниципального района</v>
          </cell>
          <cell r="J171" t="str">
            <v>Екюндюнский наслег</v>
          </cell>
          <cell r="K171" t="str">
            <v>с</v>
          </cell>
          <cell r="L171" t="str">
            <v>село</v>
          </cell>
          <cell r="M171" t="str">
            <v>Екюндю</v>
          </cell>
        </row>
        <row r="172">
          <cell r="B172">
            <v>98618420101</v>
          </cell>
          <cell r="C172" t="str">
            <v>Муниципальные образования Республики Саха (Якутия)</v>
          </cell>
          <cell r="D172">
            <v>98600000</v>
          </cell>
          <cell r="E172" t="str">
            <v>Муниципальные образования Республики Саха (Якутия)</v>
          </cell>
          <cell r="F172">
            <v>98000000</v>
          </cell>
          <cell r="G172" t="str">
            <v>Вилюйский муниципальный район</v>
          </cell>
          <cell r="H172">
            <v>98618000</v>
          </cell>
          <cell r="I172" t="str">
            <v>Сельские поселения Вилюйского муниципального района</v>
          </cell>
          <cell r="J172" t="str">
            <v>Жемконский наслег</v>
          </cell>
          <cell r="K172" t="str">
            <v>с</v>
          </cell>
          <cell r="L172" t="str">
            <v>село</v>
          </cell>
          <cell r="M172" t="str">
            <v>Эбя</v>
          </cell>
        </row>
        <row r="173">
          <cell r="B173">
            <v>98618426101</v>
          </cell>
          <cell r="C173" t="str">
            <v>Муниципальные образования Республики Саха (Якутия)</v>
          </cell>
          <cell r="D173">
            <v>98600000</v>
          </cell>
          <cell r="E173" t="str">
            <v>Муниципальные образования Республики Саха (Якутия)</v>
          </cell>
          <cell r="F173">
            <v>98000000</v>
          </cell>
          <cell r="G173" t="str">
            <v>Вилюйский муниципальный район</v>
          </cell>
          <cell r="H173">
            <v>98618000</v>
          </cell>
          <cell r="I173" t="str">
            <v>Сельские поселения Вилюйского муниципального района</v>
          </cell>
          <cell r="J173" t="str">
            <v>Кыргыдайский наслег</v>
          </cell>
          <cell r="K173" t="str">
            <v>с</v>
          </cell>
          <cell r="L173" t="str">
            <v>село</v>
          </cell>
          <cell r="M173" t="str">
            <v>Сатагай</v>
          </cell>
        </row>
        <row r="174">
          <cell r="B174">
            <v>98618430101</v>
          </cell>
          <cell r="C174" t="str">
            <v>Муниципальные образования Республики Саха (Якутия)</v>
          </cell>
          <cell r="D174">
            <v>98600000</v>
          </cell>
          <cell r="E174" t="str">
            <v>Муниципальные образования Республики Саха (Якутия)</v>
          </cell>
          <cell r="F174">
            <v>98000000</v>
          </cell>
          <cell r="G174" t="str">
            <v>Вилюйский муниципальный район</v>
          </cell>
          <cell r="H174">
            <v>98618000</v>
          </cell>
          <cell r="I174" t="str">
            <v>Сельские поселения Вилюйского муниципального района</v>
          </cell>
          <cell r="J174" t="str">
            <v>Кюлетский 1-й наслег</v>
          </cell>
          <cell r="K174" t="str">
            <v>с</v>
          </cell>
          <cell r="L174" t="str">
            <v>село</v>
          </cell>
          <cell r="M174" t="str">
            <v>Усун</v>
          </cell>
        </row>
        <row r="175">
          <cell r="B175">
            <v>98618431101</v>
          </cell>
          <cell r="C175" t="str">
            <v>Муниципальные образования Республики Саха (Якутия)</v>
          </cell>
          <cell r="D175">
            <v>98600000</v>
          </cell>
          <cell r="E175" t="str">
            <v>Муниципальные образования Республики Саха (Якутия)</v>
          </cell>
          <cell r="F175">
            <v>98000000</v>
          </cell>
          <cell r="G175" t="str">
            <v>Вилюйский муниципальный район</v>
          </cell>
          <cell r="H175">
            <v>98618000</v>
          </cell>
          <cell r="I175" t="str">
            <v>Сельские поселения Вилюйского муниципального района</v>
          </cell>
          <cell r="J175" t="str">
            <v>Кюлетский 2-й наслег</v>
          </cell>
          <cell r="K175" t="str">
            <v>с</v>
          </cell>
          <cell r="L175" t="str">
            <v>село</v>
          </cell>
          <cell r="M175" t="str">
            <v>Кюлекянь</v>
          </cell>
        </row>
        <row r="176">
          <cell r="B176">
            <v>98618433101</v>
          </cell>
          <cell r="C176" t="str">
            <v>Муниципальные образования Республики Саха (Якутия)</v>
          </cell>
          <cell r="D176">
            <v>98600000</v>
          </cell>
          <cell r="E176" t="str">
            <v>Муниципальные образования Республики Саха (Якутия)</v>
          </cell>
          <cell r="F176">
            <v>98000000</v>
          </cell>
          <cell r="G176" t="str">
            <v>Вилюйский муниципальный район</v>
          </cell>
          <cell r="H176">
            <v>98618000</v>
          </cell>
          <cell r="I176" t="str">
            <v>Сельские поселения Вилюйского муниципального района</v>
          </cell>
          <cell r="J176" t="str">
            <v>Лекеченский наслег</v>
          </cell>
          <cell r="K176" t="str">
            <v>с</v>
          </cell>
          <cell r="L176" t="str">
            <v>село</v>
          </cell>
          <cell r="M176" t="str">
            <v>Лёкёчён</v>
          </cell>
        </row>
        <row r="177">
          <cell r="B177">
            <v>98618435101</v>
          </cell>
          <cell r="C177" t="str">
            <v>Муниципальные образования Республики Саха (Якутия)</v>
          </cell>
          <cell r="D177">
            <v>98600000</v>
          </cell>
          <cell r="E177" t="str">
            <v>Муниципальные образования Республики Саха (Якутия)</v>
          </cell>
          <cell r="F177">
            <v>98000000</v>
          </cell>
          <cell r="G177" t="str">
            <v>Вилюйский муниципальный район</v>
          </cell>
          <cell r="H177">
            <v>98618000</v>
          </cell>
          <cell r="I177" t="str">
            <v>Сельские поселения Вилюйского муниципального района</v>
          </cell>
          <cell r="J177" t="str">
            <v>Первый Тогусский наслег</v>
          </cell>
          <cell r="K177" t="str">
            <v>с</v>
          </cell>
          <cell r="L177" t="str">
            <v>село</v>
          </cell>
          <cell r="M177" t="str">
            <v>Тымпы</v>
          </cell>
        </row>
        <row r="178">
          <cell r="B178">
            <v>98618445101</v>
          </cell>
          <cell r="C178" t="str">
            <v>Муниципальные образования Республики Саха (Якутия)</v>
          </cell>
          <cell r="D178">
            <v>98600000</v>
          </cell>
          <cell r="E178" t="str">
            <v>Муниципальные образования Республики Саха (Якутия)</v>
          </cell>
          <cell r="F178">
            <v>98000000</v>
          </cell>
          <cell r="G178" t="str">
            <v>Вилюйский муниципальный район</v>
          </cell>
          <cell r="H178">
            <v>98618000</v>
          </cell>
          <cell r="I178" t="str">
            <v>Сельские поселения Вилюйского муниципального района</v>
          </cell>
          <cell r="J178" t="str">
            <v>Тасагарский наслег</v>
          </cell>
          <cell r="K178" t="str">
            <v>с</v>
          </cell>
          <cell r="L178" t="str">
            <v>село</v>
          </cell>
          <cell r="M178" t="str">
            <v>Тасагар</v>
          </cell>
        </row>
        <row r="179">
          <cell r="B179">
            <v>98618449101</v>
          </cell>
          <cell r="C179" t="str">
            <v>Муниципальные образования Республики Саха (Якутия)</v>
          </cell>
          <cell r="D179">
            <v>98600000</v>
          </cell>
          <cell r="E179" t="str">
            <v>Муниципальные образования Республики Саха (Якутия)</v>
          </cell>
          <cell r="F179">
            <v>98000000</v>
          </cell>
          <cell r="G179" t="str">
            <v>Вилюйский муниципальный район</v>
          </cell>
          <cell r="H179">
            <v>98618000</v>
          </cell>
          <cell r="I179" t="str">
            <v>Сельские поселения Вилюйского муниципального района</v>
          </cell>
          <cell r="J179" t="str">
            <v>Тогусский наслег</v>
          </cell>
          <cell r="K179" t="str">
            <v>с</v>
          </cell>
          <cell r="L179" t="str">
            <v>село</v>
          </cell>
          <cell r="M179" t="str">
            <v>Балагаччы</v>
          </cell>
        </row>
        <row r="180">
          <cell r="B180">
            <v>98618449106</v>
          </cell>
          <cell r="C180" t="str">
            <v>Муниципальные образования Республики Саха (Якутия)</v>
          </cell>
          <cell r="D180">
            <v>98600000</v>
          </cell>
          <cell r="E180" t="str">
            <v>Муниципальные образования Республики Саха (Якутия)</v>
          </cell>
          <cell r="F180">
            <v>98000000</v>
          </cell>
          <cell r="G180" t="str">
            <v>Вилюйский муниципальный район</v>
          </cell>
          <cell r="H180">
            <v>98618000</v>
          </cell>
          <cell r="I180" t="str">
            <v>Сельские поселения Вилюйского муниципального района</v>
          </cell>
          <cell r="J180" t="str">
            <v>Тогусский наслег</v>
          </cell>
          <cell r="K180" t="str">
            <v>с</v>
          </cell>
          <cell r="L180" t="str">
            <v>село</v>
          </cell>
          <cell r="M180" t="str">
            <v>Сеят</v>
          </cell>
        </row>
        <row r="181">
          <cell r="B181">
            <v>98618453101</v>
          </cell>
          <cell r="C181" t="str">
            <v>Муниципальные образования Республики Саха (Якутия)</v>
          </cell>
          <cell r="D181">
            <v>98600000</v>
          </cell>
          <cell r="E181" t="str">
            <v>Муниципальные образования Республики Саха (Якутия)</v>
          </cell>
          <cell r="F181">
            <v>98000000</v>
          </cell>
          <cell r="G181" t="str">
            <v>Вилюйский муниципальный район</v>
          </cell>
          <cell r="H181">
            <v>98618000</v>
          </cell>
          <cell r="I181" t="str">
            <v>Сельские поселения Вилюйского муниципального района</v>
          </cell>
          <cell r="J181" t="str">
            <v>Тылгынинский наслег</v>
          </cell>
          <cell r="K181" t="str">
            <v>с</v>
          </cell>
          <cell r="L181" t="str">
            <v>село</v>
          </cell>
          <cell r="M181" t="str">
            <v>Тербяс</v>
          </cell>
        </row>
        <row r="182">
          <cell r="B182">
            <v>98618458101</v>
          </cell>
          <cell r="C182" t="str">
            <v>Муниципальные образования Республики Саха (Якутия)</v>
          </cell>
          <cell r="D182">
            <v>98600000</v>
          </cell>
          <cell r="E182" t="str">
            <v>Муниципальные образования Республики Саха (Якутия)</v>
          </cell>
          <cell r="F182">
            <v>98000000</v>
          </cell>
          <cell r="G182" t="str">
            <v>Вилюйский муниципальный район</v>
          </cell>
          <cell r="H182">
            <v>98618000</v>
          </cell>
          <cell r="I182" t="str">
            <v>Сельские поселения Вилюйского муниципального района</v>
          </cell>
          <cell r="J182" t="str">
            <v>Хагынский наслег</v>
          </cell>
          <cell r="K182" t="str">
            <v>с</v>
          </cell>
          <cell r="L182" t="str">
            <v>село</v>
          </cell>
          <cell r="M182" t="str">
            <v>Кирово</v>
          </cell>
        </row>
        <row r="183">
          <cell r="B183">
            <v>98618462101</v>
          </cell>
          <cell r="C183" t="str">
            <v>Муниципальные образования Республики Саха (Якутия)</v>
          </cell>
          <cell r="D183">
            <v>98600000</v>
          </cell>
          <cell r="E183" t="str">
            <v>Муниципальные образования Республики Саха (Якутия)</v>
          </cell>
          <cell r="F183">
            <v>98000000</v>
          </cell>
          <cell r="G183" t="str">
            <v>Вилюйский муниципальный район</v>
          </cell>
          <cell r="H183">
            <v>98618000</v>
          </cell>
          <cell r="I183" t="str">
            <v>Сельские поселения Вилюйского муниципального района</v>
          </cell>
          <cell r="J183" t="str">
            <v>Халбакинский наслег</v>
          </cell>
          <cell r="K183" t="str">
            <v>с</v>
          </cell>
          <cell r="L183" t="str">
            <v>село</v>
          </cell>
          <cell r="M183" t="str">
            <v>Тосу</v>
          </cell>
        </row>
        <row r="184">
          <cell r="B184">
            <v>98618462106</v>
          </cell>
          <cell r="C184" t="str">
            <v>Муниципальные образования Республики Саха (Якутия)</v>
          </cell>
          <cell r="D184">
            <v>98600000</v>
          </cell>
          <cell r="E184" t="str">
            <v>Муниципальные образования Республики Саха (Якутия)</v>
          </cell>
          <cell r="F184">
            <v>98000000</v>
          </cell>
          <cell r="G184" t="str">
            <v>Вилюйский муниципальный район</v>
          </cell>
          <cell r="H184">
            <v>98618000</v>
          </cell>
          <cell r="I184" t="str">
            <v>Сельские поселения Вилюйского муниципального района</v>
          </cell>
          <cell r="J184" t="str">
            <v>Халбакинский наслег</v>
          </cell>
          <cell r="K184" t="str">
            <v>с</v>
          </cell>
          <cell r="L184" t="str">
            <v>село</v>
          </cell>
          <cell r="M184" t="str">
            <v>Староватово</v>
          </cell>
        </row>
        <row r="185">
          <cell r="B185">
            <v>98618466101</v>
          </cell>
          <cell r="C185" t="str">
            <v>Муниципальные образования Республики Саха (Якутия)</v>
          </cell>
          <cell r="D185">
            <v>98600000</v>
          </cell>
          <cell r="E185" t="str">
            <v>Муниципальные образования Республики Саха (Якутия)</v>
          </cell>
          <cell r="F185">
            <v>98000000</v>
          </cell>
          <cell r="G185" t="str">
            <v>Вилюйский муниципальный район</v>
          </cell>
          <cell r="H185">
            <v>98618000</v>
          </cell>
          <cell r="I185" t="str">
            <v>Сельские поселения Вилюйского муниципального района</v>
          </cell>
          <cell r="J185" t="str">
            <v>Чернышевский наслег</v>
          </cell>
          <cell r="K185" t="str">
            <v>с</v>
          </cell>
          <cell r="L185" t="str">
            <v>село</v>
          </cell>
          <cell r="M185" t="str">
            <v>Чинеке</v>
          </cell>
        </row>
        <row r="186">
          <cell r="B186">
            <v>98618470101</v>
          </cell>
          <cell r="C186" t="str">
            <v>Муниципальные образования Республики Саха (Якутия)</v>
          </cell>
          <cell r="D186">
            <v>98600000</v>
          </cell>
          <cell r="E186" t="str">
            <v>Муниципальные образования Республики Саха (Якутия)</v>
          </cell>
          <cell r="F186">
            <v>98000000</v>
          </cell>
          <cell r="G186" t="str">
            <v>Вилюйский муниципальный район</v>
          </cell>
          <cell r="H186">
            <v>98618000</v>
          </cell>
          <cell r="I186" t="str">
            <v>Сельские поселения Вилюйского муниципального района</v>
          </cell>
          <cell r="J186" t="str">
            <v>Чочунский наслег</v>
          </cell>
          <cell r="K186" t="str">
            <v>с</v>
          </cell>
          <cell r="L186" t="str">
            <v>село</v>
          </cell>
          <cell r="M186" t="str">
            <v>Сыдыбыл</v>
          </cell>
        </row>
        <row r="187">
          <cell r="B187">
            <v>98618470106</v>
          </cell>
          <cell r="C187" t="str">
            <v>Муниципальные образования Республики Саха (Якутия)</v>
          </cell>
          <cell r="D187">
            <v>98600000</v>
          </cell>
          <cell r="E187" t="str">
            <v>Муниципальные образования Республики Саха (Якутия)</v>
          </cell>
          <cell r="F187">
            <v>98000000</v>
          </cell>
          <cell r="G187" t="str">
            <v>Вилюйский муниципальный район</v>
          </cell>
          <cell r="H187">
            <v>98618000</v>
          </cell>
          <cell r="I187" t="str">
            <v>Сельские поселения Вилюйского муниципального района</v>
          </cell>
          <cell r="J187" t="str">
            <v>Чочунский наслег</v>
          </cell>
          <cell r="K187" t="str">
            <v>с</v>
          </cell>
          <cell r="L187" t="str">
            <v>село</v>
          </cell>
          <cell r="M187" t="str">
            <v>Кюнде</v>
          </cell>
        </row>
        <row r="188">
          <cell r="B188">
            <v>98618474101</v>
          </cell>
          <cell r="C188" t="str">
            <v>Муниципальные образования Республики Саха (Якутия)</v>
          </cell>
          <cell r="D188">
            <v>98600000</v>
          </cell>
          <cell r="E188" t="str">
            <v>Муниципальные образования Республики Саха (Якутия)</v>
          </cell>
          <cell r="F188">
            <v>98000000</v>
          </cell>
          <cell r="G188" t="str">
            <v>Вилюйский муниципальный район</v>
          </cell>
          <cell r="H188">
            <v>98618000</v>
          </cell>
          <cell r="I188" t="str">
            <v>Сельские поселения Вилюйского муниципального района</v>
          </cell>
          <cell r="J188" t="str">
            <v>Югюлятский наслег</v>
          </cell>
          <cell r="K188" t="str">
            <v>с</v>
          </cell>
          <cell r="L188" t="str">
            <v>село</v>
          </cell>
          <cell r="M188" t="str">
            <v>Кюбяинде</v>
          </cell>
        </row>
        <row r="189">
          <cell r="B189">
            <v>98620405101</v>
          </cell>
          <cell r="C189" t="str">
            <v>Муниципальные образования Республики Саха (Якутия)</v>
          </cell>
          <cell r="D189">
            <v>98600000</v>
          </cell>
          <cell r="E189" t="str">
            <v>Муниципальные образования Республики Саха (Якутия)</v>
          </cell>
          <cell r="F189">
            <v>98000000</v>
          </cell>
          <cell r="G189" t="str">
            <v>Горный муниципальный район</v>
          </cell>
          <cell r="H189">
            <v>98620000</v>
          </cell>
          <cell r="I189" t="str">
            <v>Сельские поселения Горного муниципального района</v>
          </cell>
          <cell r="J189" t="str">
            <v>Атамайский наслег</v>
          </cell>
          <cell r="K189" t="str">
            <v>с</v>
          </cell>
          <cell r="L189" t="str">
            <v>село</v>
          </cell>
          <cell r="M189" t="str">
            <v>Бясь-Кюель</v>
          </cell>
        </row>
        <row r="190">
          <cell r="B190">
            <v>98620410101</v>
          </cell>
          <cell r="C190" t="str">
            <v>Муниципальные образования Республики Саха (Якутия)</v>
          </cell>
          <cell r="D190">
            <v>98600000</v>
          </cell>
          <cell r="E190" t="str">
            <v>Муниципальные образования Республики Саха (Якутия)</v>
          </cell>
          <cell r="F190">
            <v>98000000</v>
          </cell>
          <cell r="G190" t="str">
            <v>Горный муниципальный район</v>
          </cell>
          <cell r="H190">
            <v>98620000</v>
          </cell>
          <cell r="I190" t="str">
            <v>Сельские поселения Горного муниципального района</v>
          </cell>
          <cell r="J190" t="str">
            <v>Бердигестяхский наслег</v>
          </cell>
          <cell r="K190" t="str">
            <v>с</v>
          </cell>
          <cell r="L190" t="str">
            <v>село</v>
          </cell>
          <cell r="M190" t="str">
            <v>Бердигестях</v>
          </cell>
        </row>
        <row r="191">
          <cell r="B191">
            <v>98620410106</v>
          </cell>
          <cell r="C191" t="str">
            <v>Муниципальные образования Республики Саха (Якутия)</v>
          </cell>
          <cell r="D191">
            <v>98600000</v>
          </cell>
          <cell r="E191" t="str">
            <v>Муниципальные образования Республики Саха (Якутия)</v>
          </cell>
          <cell r="F191">
            <v>98000000</v>
          </cell>
          <cell r="G191" t="str">
            <v>Горный муниципальный район</v>
          </cell>
          <cell r="H191">
            <v>98620000</v>
          </cell>
          <cell r="I191" t="str">
            <v>Сельские поселения Горного муниципального района</v>
          </cell>
          <cell r="J191" t="str">
            <v>Бердигестяхский наслег</v>
          </cell>
          <cell r="K191" t="str">
            <v>с</v>
          </cell>
          <cell r="L191" t="str">
            <v>село</v>
          </cell>
          <cell r="M191" t="str">
            <v>Май</v>
          </cell>
        </row>
        <row r="192">
          <cell r="B192">
            <v>98620417101</v>
          </cell>
          <cell r="C192" t="str">
            <v>Муниципальные образования Республики Саха (Якутия)</v>
          </cell>
          <cell r="D192">
            <v>98600000</v>
          </cell>
          <cell r="E192" t="str">
            <v>Муниципальные образования Республики Саха (Якутия)</v>
          </cell>
          <cell r="F192">
            <v>98000000</v>
          </cell>
          <cell r="G192" t="str">
            <v>Горный муниципальный район</v>
          </cell>
          <cell r="H192">
            <v>98620000</v>
          </cell>
          <cell r="I192" t="str">
            <v>Сельские поселения Горного муниципального района</v>
          </cell>
          <cell r="J192" t="str">
            <v>Кировский наслег</v>
          </cell>
          <cell r="K192" t="str">
            <v>с</v>
          </cell>
          <cell r="L192" t="str">
            <v>село</v>
          </cell>
          <cell r="M192" t="str">
            <v>Асыма</v>
          </cell>
        </row>
        <row r="193">
          <cell r="B193">
            <v>98620417106</v>
          </cell>
          <cell r="C193" t="str">
            <v>Муниципальные образования Республики Саха (Якутия)</v>
          </cell>
          <cell r="D193">
            <v>98600000</v>
          </cell>
          <cell r="E193" t="str">
            <v>Муниципальные образования Республики Саха (Якутия)</v>
          </cell>
          <cell r="F193">
            <v>98000000</v>
          </cell>
          <cell r="G193" t="str">
            <v>Горный муниципальный район</v>
          </cell>
          <cell r="H193">
            <v>98620000</v>
          </cell>
          <cell r="I193" t="str">
            <v>Сельские поселения Горного муниципального района</v>
          </cell>
          <cell r="J193" t="str">
            <v>Кировский наслег</v>
          </cell>
          <cell r="K193" t="str">
            <v>с</v>
          </cell>
          <cell r="L193" t="str">
            <v>село</v>
          </cell>
          <cell r="M193" t="str">
            <v>Чекя-Бясь</v>
          </cell>
        </row>
        <row r="194">
          <cell r="B194">
            <v>98620426101</v>
          </cell>
          <cell r="C194" t="str">
            <v>Муниципальные образования Республики Саха (Якутия)</v>
          </cell>
          <cell r="D194">
            <v>98600000</v>
          </cell>
          <cell r="E194" t="str">
            <v>Муниципальные образования Республики Саха (Якутия)</v>
          </cell>
          <cell r="F194">
            <v>98000000</v>
          </cell>
          <cell r="G194" t="str">
            <v>Горный муниципальный район</v>
          </cell>
          <cell r="H194">
            <v>98620000</v>
          </cell>
          <cell r="I194" t="str">
            <v>Сельские поселения Горного муниципального района</v>
          </cell>
          <cell r="J194" t="str">
            <v>Маганинский наслег</v>
          </cell>
          <cell r="K194" t="str">
            <v>с</v>
          </cell>
          <cell r="L194" t="str">
            <v>село</v>
          </cell>
          <cell r="M194" t="str">
            <v>Орто-Сурт</v>
          </cell>
        </row>
        <row r="195">
          <cell r="B195">
            <v>98620433101</v>
          </cell>
          <cell r="C195" t="str">
            <v>Муниципальные образования Республики Саха (Якутия)</v>
          </cell>
          <cell r="D195">
            <v>98600000</v>
          </cell>
          <cell r="E195" t="str">
            <v>Муниципальные образования Республики Саха (Якутия)</v>
          </cell>
          <cell r="F195">
            <v>98000000</v>
          </cell>
          <cell r="G195" t="str">
            <v>Горный муниципальный район</v>
          </cell>
          <cell r="H195">
            <v>98620000</v>
          </cell>
          <cell r="I195" t="str">
            <v>Сельские поселения Горного муниципального района</v>
          </cell>
          <cell r="J195" t="str">
            <v>Малтанинский наслег</v>
          </cell>
          <cell r="K195" t="str">
            <v>с</v>
          </cell>
          <cell r="L195" t="str">
            <v>село</v>
          </cell>
          <cell r="M195" t="str">
            <v>Кептин</v>
          </cell>
        </row>
        <row r="196">
          <cell r="B196">
            <v>98620433106</v>
          </cell>
          <cell r="C196" t="str">
            <v>Муниципальные образования Республики Саха (Якутия)</v>
          </cell>
          <cell r="D196">
            <v>98600000</v>
          </cell>
          <cell r="E196" t="str">
            <v>Муниципальные образования Республики Саха (Якутия)</v>
          </cell>
          <cell r="F196">
            <v>98000000</v>
          </cell>
          <cell r="G196" t="str">
            <v>Горный муниципальный район</v>
          </cell>
          <cell r="H196">
            <v>98620000</v>
          </cell>
          <cell r="I196" t="str">
            <v>Сельские поселения Горного муниципального района</v>
          </cell>
          <cell r="J196" t="str">
            <v>Малтанинский наслег</v>
          </cell>
          <cell r="K196" t="str">
            <v>с</v>
          </cell>
          <cell r="L196" t="str">
            <v>село</v>
          </cell>
          <cell r="M196" t="str">
            <v>Тонгулах</v>
          </cell>
        </row>
        <row r="197">
          <cell r="B197">
            <v>98620433111</v>
          </cell>
          <cell r="C197" t="str">
            <v>Муниципальные образования Республики Саха (Якутия)</v>
          </cell>
          <cell r="D197">
            <v>98600000</v>
          </cell>
          <cell r="E197" t="str">
            <v>Муниципальные образования Республики Саха (Якутия)</v>
          </cell>
          <cell r="F197">
            <v>98000000</v>
          </cell>
          <cell r="G197" t="str">
            <v>Горный муниципальный район</v>
          </cell>
          <cell r="H197">
            <v>98620000</v>
          </cell>
          <cell r="I197" t="str">
            <v>Сельские поселения Горного муниципального района</v>
          </cell>
          <cell r="J197" t="str">
            <v>Малтанинский наслег</v>
          </cell>
          <cell r="K197" t="str">
            <v>с</v>
          </cell>
          <cell r="L197" t="str">
            <v>село</v>
          </cell>
          <cell r="M197" t="str">
            <v>Тысагаччы</v>
          </cell>
        </row>
        <row r="198">
          <cell r="B198">
            <v>98620440101</v>
          </cell>
          <cell r="C198" t="str">
            <v>Муниципальные образования Республики Саха (Якутия)</v>
          </cell>
          <cell r="D198">
            <v>98600000</v>
          </cell>
          <cell r="E198" t="str">
            <v>Муниципальные образования Республики Саха (Якутия)</v>
          </cell>
          <cell r="F198">
            <v>98000000</v>
          </cell>
          <cell r="G198" t="str">
            <v>Горный муниципальный район</v>
          </cell>
          <cell r="H198">
            <v>98620000</v>
          </cell>
          <cell r="I198" t="str">
            <v>Сельские поселения Горного муниципального района</v>
          </cell>
          <cell r="J198" t="str">
            <v>Мытахский наслег</v>
          </cell>
          <cell r="K198" t="str">
            <v>с</v>
          </cell>
          <cell r="L198" t="str">
            <v>село</v>
          </cell>
          <cell r="M198" t="str">
            <v>Дикимдя</v>
          </cell>
        </row>
        <row r="199">
          <cell r="B199">
            <v>98620440106</v>
          </cell>
          <cell r="C199" t="str">
            <v>Муниципальные образования Республики Саха (Якутия)</v>
          </cell>
          <cell r="D199">
            <v>98600000</v>
          </cell>
          <cell r="E199" t="str">
            <v>Муниципальные образования Республики Саха (Якутия)</v>
          </cell>
          <cell r="F199">
            <v>98000000</v>
          </cell>
          <cell r="G199" t="str">
            <v>Горный муниципальный район</v>
          </cell>
          <cell r="H199">
            <v>98620000</v>
          </cell>
          <cell r="I199" t="str">
            <v>Сельские поселения Горного муниципального района</v>
          </cell>
          <cell r="J199" t="str">
            <v>Мытахский наслег</v>
          </cell>
          <cell r="K199" t="str">
            <v>с</v>
          </cell>
          <cell r="L199" t="str">
            <v>село</v>
          </cell>
          <cell r="M199" t="str">
            <v>Эбя</v>
          </cell>
        </row>
        <row r="200">
          <cell r="B200">
            <v>98620449101</v>
          </cell>
          <cell r="C200" t="str">
            <v>Муниципальные образования Республики Саха (Якутия)</v>
          </cell>
          <cell r="D200">
            <v>98600000</v>
          </cell>
          <cell r="E200" t="str">
            <v>Муниципальные образования Республики Саха (Якутия)</v>
          </cell>
          <cell r="F200">
            <v>98000000</v>
          </cell>
          <cell r="G200" t="str">
            <v>Горный муниципальный район</v>
          </cell>
          <cell r="H200">
            <v>98620000</v>
          </cell>
          <cell r="I200" t="str">
            <v>Сельские поселения Горного муниципального района</v>
          </cell>
          <cell r="J200" t="str">
            <v>Одунунский наслег</v>
          </cell>
          <cell r="K200" t="str">
            <v>с</v>
          </cell>
          <cell r="L200" t="str">
            <v>село</v>
          </cell>
          <cell r="M200" t="str">
            <v>Магарас</v>
          </cell>
        </row>
        <row r="201">
          <cell r="B201">
            <v>98620449106</v>
          </cell>
          <cell r="C201" t="str">
            <v>Муниципальные образования Республики Саха (Якутия)</v>
          </cell>
          <cell r="D201">
            <v>98600000</v>
          </cell>
          <cell r="E201" t="str">
            <v>Муниципальные образования Республики Саха (Якутия)</v>
          </cell>
          <cell r="F201">
            <v>98000000</v>
          </cell>
          <cell r="G201" t="str">
            <v>Горный муниципальный район</v>
          </cell>
          <cell r="H201">
            <v>98620000</v>
          </cell>
          <cell r="I201" t="str">
            <v>Сельские поселения Горного муниципального района</v>
          </cell>
          <cell r="J201" t="str">
            <v>Одунунский наслег</v>
          </cell>
          <cell r="K201" t="str">
            <v>с</v>
          </cell>
          <cell r="L201" t="str">
            <v>село</v>
          </cell>
          <cell r="M201" t="str">
            <v>Улу-Сысы</v>
          </cell>
        </row>
        <row r="202">
          <cell r="B202">
            <v>98620449111</v>
          </cell>
          <cell r="C202" t="str">
            <v>Муниципальные образования Республики Саха (Якутия)</v>
          </cell>
          <cell r="D202">
            <v>98600000</v>
          </cell>
          <cell r="E202" t="str">
            <v>Муниципальные образования Республики Саха (Якутия)</v>
          </cell>
          <cell r="F202">
            <v>98000000</v>
          </cell>
          <cell r="G202" t="str">
            <v>Горный муниципальный район</v>
          </cell>
          <cell r="H202">
            <v>98620000</v>
          </cell>
          <cell r="I202" t="str">
            <v>Сельские поселения Горного муниципального района</v>
          </cell>
          <cell r="J202" t="str">
            <v>Одунунский наслег</v>
          </cell>
          <cell r="K202" t="str">
            <v>с</v>
          </cell>
          <cell r="L202" t="str">
            <v>село</v>
          </cell>
          <cell r="M202" t="str">
            <v>Харыялах</v>
          </cell>
        </row>
        <row r="203">
          <cell r="B203">
            <v>98620452101</v>
          </cell>
          <cell r="C203" t="str">
            <v>Муниципальные образования Республики Саха (Якутия)</v>
          </cell>
          <cell r="D203">
            <v>98600000</v>
          </cell>
          <cell r="E203" t="str">
            <v>Муниципальные образования Республики Саха (Якутия)</v>
          </cell>
          <cell r="F203">
            <v>98000000</v>
          </cell>
          <cell r="G203" t="str">
            <v>Горный муниципальный район</v>
          </cell>
          <cell r="H203">
            <v>98620000</v>
          </cell>
          <cell r="I203" t="str">
            <v>Сельские поселения Горного муниципального района</v>
          </cell>
          <cell r="J203" t="str">
            <v>Октябрьский наслег</v>
          </cell>
          <cell r="K203" t="str">
            <v>с</v>
          </cell>
          <cell r="L203" t="str">
            <v>село</v>
          </cell>
          <cell r="M203" t="str">
            <v>Кюёрелях</v>
          </cell>
        </row>
        <row r="204">
          <cell r="B204">
            <v>98620465101</v>
          </cell>
          <cell r="C204" t="str">
            <v>Муниципальные образования Республики Саха (Якутия)</v>
          </cell>
          <cell r="D204">
            <v>98600000</v>
          </cell>
          <cell r="E204" t="str">
            <v>Муниципальные образования Республики Саха (Якутия)</v>
          </cell>
          <cell r="F204">
            <v>98000000</v>
          </cell>
          <cell r="G204" t="str">
            <v>Горный муниципальный район</v>
          </cell>
          <cell r="H204">
            <v>98620000</v>
          </cell>
          <cell r="I204" t="str">
            <v>Сельские поселения Горного муниципального района</v>
          </cell>
          <cell r="J204" t="str">
            <v>Шологонский наслег</v>
          </cell>
          <cell r="K204" t="str">
            <v>с</v>
          </cell>
          <cell r="L204" t="str">
            <v>село</v>
          </cell>
          <cell r="M204" t="str">
            <v>Ерт</v>
          </cell>
        </row>
        <row r="205">
          <cell r="B205">
            <v>98622405101</v>
          </cell>
          <cell r="C205" t="str">
            <v>Муниципальные образования Республики Саха (Якутия)</v>
          </cell>
          <cell r="D205">
            <v>98600000</v>
          </cell>
          <cell r="E205" t="str">
            <v>Муниципальные образования Республики Саха (Якутия)</v>
          </cell>
          <cell r="F205">
            <v>98000000</v>
          </cell>
          <cell r="G205" t="str">
            <v>Жиганский национальный эвенкийский муниципальный район</v>
          </cell>
          <cell r="H205">
            <v>98622000</v>
          </cell>
          <cell r="I205" t="str">
            <v>Сельские поселения Жиганского национального эвенкийского муниципального района</v>
          </cell>
          <cell r="J205" t="str">
            <v>Бестяхский наслег</v>
          </cell>
          <cell r="K205" t="str">
            <v>с</v>
          </cell>
          <cell r="L205" t="str">
            <v>село</v>
          </cell>
          <cell r="M205" t="str">
            <v>Бестях</v>
          </cell>
        </row>
        <row r="206">
          <cell r="B206">
            <v>98622410101</v>
          </cell>
          <cell r="C206" t="str">
            <v>Муниципальные образования Республики Саха (Якутия)</v>
          </cell>
          <cell r="D206">
            <v>98600000</v>
          </cell>
          <cell r="E206" t="str">
            <v>Муниципальные образования Республики Саха (Якутия)</v>
          </cell>
          <cell r="F206">
            <v>98000000</v>
          </cell>
          <cell r="G206" t="str">
            <v>Жиганский национальный эвенкийский муниципальный район</v>
          </cell>
          <cell r="H206">
            <v>98622000</v>
          </cell>
          <cell r="I206" t="str">
            <v>Сельские поселения Жиганского национального эвенкийского муниципального района</v>
          </cell>
          <cell r="J206" t="str">
            <v>Жиганский эвенкийский национальный наслег</v>
          </cell>
          <cell r="K206" t="str">
            <v>с</v>
          </cell>
          <cell r="L206" t="str">
            <v>село</v>
          </cell>
          <cell r="M206" t="str">
            <v>Жиганск</v>
          </cell>
        </row>
        <row r="207">
          <cell r="B207">
            <v>98622417101</v>
          </cell>
          <cell r="C207" t="str">
            <v>Муниципальные образования Республики Саха (Якутия)</v>
          </cell>
          <cell r="D207">
            <v>98600000</v>
          </cell>
          <cell r="E207" t="str">
            <v>Муниципальные образования Республики Саха (Якутия)</v>
          </cell>
          <cell r="F207">
            <v>98000000</v>
          </cell>
          <cell r="G207" t="str">
            <v>Жиганский национальный эвенкийский муниципальный район</v>
          </cell>
          <cell r="H207">
            <v>98622000</v>
          </cell>
          <cell r="I207" t="str">
            <v>Сельские поселения Жиганского национального эвенкийского муниципального района</v>
          </cell>
          <cell r="J207" t="str">
            <v>Эвенкийское сельское поселение “Кыстатыам”</v>
          </cell>
          <cell r="K207" t="str">
            <v>с</v>
          </cell>
          <cell r="L207" t="str">
            <v>село</v>
          </cell>
          <cell r="M207" t="str">
            <v>Кыстатыам</v>
          </cell>
        </row>
        <row r="208">
          <cell r="B208">
            <v>98622422101</v>
          </cell>
          <cell r="C208" t="str">
            <v>Муниципальные образования Республики Саха (Якутия)</v>
          </cell>
          <cell r="D208">
            <v>98600000</v>
          </cell>
          <cell r="E208" t="str">
            <v>Муниципальные образования Республики Саха (Якутия)</v>
          </cell>
          <cell r="F208">
            <v>98000000</v>
          </cell>
          <cell r="G208" t="str">
            <v>Жиганский национальный эвенкийский муниципальный район</v>
          </cell>
          <cell r="H208">
            <v>98622000</v>
          </cell>
          <cell r="I208" t="str">
            <v>Сельские поселения Жиганского национального эвенкийского муниципального района</v>
          </cell>
          <cell r="J208" t="str">
            <v>Линдинский эвенкийский национальный наслег</v>
          </cell>
          <cell r="K208" t="str">
            <v>с</v>
          </cell>
          <cell r="L208" t="str">
            <v>село</v>
          </cell>
          <cell r="M208" t="str">
            <v>Баханай</v>
          </cell>
        </row>
        <row r="209">
          <cell r="B209">
            <v>0</v>
          </cell>
          <cell r="C209" t="str">
            <v>Муниципальные образования Республики Саха (Якутия)</v>
          </cell>
          <cell r="D209">
            <v>98600000</v>
          </cell>
          <cell r="E209" t="str">
            <v>Муниципальные образования Республики Саха (Якутия)</v>
          </cell>
          <cell r="F209">
            <v>98000000</v>
          </cell>
          <cell r="G209" t="str">
            <v>Жиганский национальный эвенкийский муниципальный район</v>
          </cell>
          <cell r="H209">
            <v>98622000</v>
          </cell>
          <cell r="I209" t="str">
            <v>Межселенные территории Жиганского национального эвенкийского муниципального района</v>
          </cell>
          <cell r="J209" t="str">
            <v>Межселенная территория Жиганского национального эвенкийского муниципального района, включая территорию участка Джарджан</v>
          </cell>
          <cell r="K209">
            <v>0</v>
          </cell>
          <cell r="L209">
            <v>0</v>
          </cell>
          <cell r="M209">
            <v>0</v>
          </cell>
        </row>
        <row r="210">
          <cell r="B210">
            <v>98624151051</v>
          </cell>
          <cell r="C210" t="str">
            <v>Муниципальные образования Республики Саха (Якутия)</v>
          </cell>
          <cell r="D210">
            <v>98600000</v>
          </cell>
          <cell r="E210" t="str">
            <v>Муниципальные образования Республики Саха (Якутия)</v>
          </cell>
          <cell r="F210">
            <v>98000000</v>
          </cell>
          <cell r="G210" t="str">
            <v>Кобяйский муниципальный район</v>
          </cell>
          <cell r="H210">
            <v>98624000</v>
          </cell>
          <cell r="I210" t="str">
            <v>Городские поселения Кобяйского муниципального района</v>
          </cell>
          <cell r="J210" t="str">
            <v>поселок Сангар</v>
          </cell>
          <cell r="K210" t="str">
            <v>п</v>
          </cell>
          <cell r="L210" t="str">
            <v>поселок</v>
          </cell>
          <cell r="M210" t="str">
            <v>Сангар</v>
          </cell>
        </row>
        <row r="211">
          <cell r="B211">
            <v>98624151106</v>
          </cell>
          <cell r="C211" t="str">
            <v>Муниципальные образования Республики Саха (Якутия)</v>
          </cell>
          <cell r="D211">
            <v>98600000</v>
          </cell>
          <cell r="E211" t="str">
            <v>Муниципальные образования Республики Саха (Якутия)</v>
          </cell>
          <cell r="F211">
            <v>98000000</v>
          </cell>
          <cell r="G211" t="str">
            <v>Кобяйский муниципальный район</v>
          </cell>
          <cell r="H211">
            <v>98624000</v>
          </cell>
          <cell r="I211" t="str">
            <v>Городские поселения Кобяйского муниципального района</v>
          </cell>
          <cell r="J211" t="str">
            <v>поселок Сангар</v>
          </cell>
          <cell r="K211" t="str">
            <v>с</v>
          </cell>
          <cell r="L211" t="str">
            <v>село</v>
          </cell>
          <cell r="M211" t="str">
            <v>Авиапорт</v>
          </cell>
        </row>
        <row r="212">
          <cell r="B212">
            <v>98624151111</v>
          </cell>
          <cell r="C212" t="str">
            <v>Муниципальные образования Республики Саха (Якутия)</v>
          </cell>
          <cell r="D212">
            <v>98600000</v>
          </cell>
          <cell r="E212" t="str">
            <v>Муниципальные образования Республики Саха (Якутия)</v>
          </cell>
          <cell r="F212">
            <v>98000000</v>
          </cell>
          <cell r="G212" t="str">
            <v>Кобяйский муниципальный район</v>
          </cell>
          <cell r="H212">
            <v>98624000</v>
          </cell>
          <cell r="I212" t="str">
            <v>Городские поселения Кобяйского муниципального района</v>
          </cell>
          <cell r="J212" t="str">
            <v>поселок Сангар</v>
          </cell>
          <cell r="K212" t="str">
            <v>с</v>
          </cell>
          <cell r="L212" t="str">
            <v>село</v>
          </cell>
          <cell r="M212" t="str">
            <v>Смородичный</v>
          </cell>
        </row>
        <row r="213">
          <cell r="B213">
            <v>98624405101</v>
          </cell>
          <cell r="C213" t="str">
            <v>Муниципальные образования Республики Саха (Якутия)</v>
          </cell>
          <cell r="D213">
            <v>98600000</v>
          </cell>
          <cell r="E213" t="str">
            <v>Муниципальные образования Республики Саха (Якутия)</v>
          </cell>
          <cell r="F213">
            <v>98000000</v>
          </cell>
          <cell r="G213" t="str">
            <v>Кобяйский муниципальный район</v>
          </cell>
          <cell r="H213">
            <v>98624000</v>
          </cell>
          <cell r="I213" t="str">
            <v>Сельские поселения Кобяйского муниципального района</v>
          </cell>
          <cell r="J213" t="str">
            <v>Арыктахский наслег</v>
          </cell>
          <cell r="K213" t="str">
            <v>с</v>
          </cell>
          <cell r="L213" t="str">
            <v>село</v>
          </cell>
          <cell r="M213" t="str">
            <v>Арыктах</v>
          </cell>
        </row>
        <row r="214">
          <cell r="B214">
            <v>98624405106</v>
          </cell>
          <cell r="C214" t="str">
            <v>Муниципальные образования Республики Саха (Якутия)</v>
          </cell>
          <cell r="D214">
            <v>98600000</v>
          </cell>
          <cell r="E214" t="str">
            <v>Муниципальные образования Республики Саха (Якутия)</v>
          </cell>
          <cell r="F214">
            <v>98000000</v>
          </cell>
          <cell r="G214" t="str">
            <v>Кобяйский муниципальный район</v>
          </cell>
          <cell r="H214">
            <v>98624000</v>
          </cell>
          <cell r="I214" t="str">
            <v>Сельские поселения Кобяйского муниципального района</v>
          </cell>
          <cell r="J214" t="str">
            <v>Арыктахский наслег</v>
          </cell>
          <cell r="K214" t="str">
            <v>с</v>
          </cell>
          <cell r="L214" t="str">
            <v>село</v>
          </cell>
          <cell r="M214" t="str">
            <v>Люксюгюн</v>
          </cell>
        </row>
        <row r="215">
          <cell r="B215">
            <v>98624405111</v>
          </cell>
          <cell r="C215" t="str">
            <v>Муниципальные образования Республики Саха (Якутия)</v>
          </cell>
          <cell r="D215">
            <v>98600000</v>
          </cell>
          <cell r="E215" t="str">
            <v>Муниципальные образования Республики Саха (Якутия)</v>
          </cell>
          <cell r="F215">
            <v>98000000</v>
          </cell>
          <cell r="G215" t="str">
            <v>Кобяйский муниципальный район</v>
          </cell>
          <cell r="H215">
            <v>98624000</v>
          </cell>
          <cell r="I215" t="str">
            <v>Сельские поселения Кобяйского муниципального района</v>
          </cell>
          <cell r="J215" t="str">
            <v>Арыктахский наслег</v>
          </cell>
          <cell r="K215" t="str">
            <v>с</v>
          </cell>
          <cell r="L215" t="str">
            <v>село</v>
          </cell>
          <cell r="M215" t="str">
            <v>Хатырык-Хомо</v>
          </cell>
        </row>
        <row r="216">
          <cell r="B216">
            <v>98624414101</v>
          </cell>
          <cell r="C216" t="str">
            <v>Муниципальные образования Республики Саха (Якутия)</v>
          </cell>
          <cell r="D216">
            <v>98600000</v>
          </cell>
          <cell r="E216" t="str">
            <v>Муниципальные образования Республики Саха (Якутия)</v>
          </cell>
          <cell r="F216">
            <v>98000000</v>
          </cell>
          <cell r="G216" t="str">
            <v>Кобяйский муниципальный район</v>
          </cell>
          <cell r="H216">
            <v>98624000</v>
          </cell>
          <cell r="I216" t="str">
            <v>Сельские поселения Кобяйского муниципального района</v>
          </cell>
          <cell r="J216" t="str">
            <v>Кировский эвенский национальный наслег</v>
          </cell>
          <cell r="K216" t="str">
            <v>с</v>
          </cell>
          <cell r="L216" t="str">
            <v>село</v>
          </cell>
          <cell r="M216" t="str">
            <v>Сегян-Кюёль</v>
          </cell>
        </row>
        <row r="217">
          <cell r="B217">
            <v>98624414106</v>
          </cell>
          <cell r="C217" t="str">
            <v>Муниципальные образования Республики Саха (Якутия)</v>
          </cell>
          <cell r="D217">
            <v>98600000</v>
          </cell>
          <cell r="E217" t="str">
            <v>Муниципальные образования Республики Саха (Якутия)</v>
          </cell>
          <cell r="F217">
            <v>98000000</v>
          </cell>
          <cell r="G217" t="str">
            <v>Кобяйский муниципальный район</v>
          </cell>
          <cell r="H217">
            <v>98624000</v>
          </cell>
          <cell r="I217" t="str">
            <v>Сельские поселения Кобяйского муниципального района</v>
          </cell>
          <cell r="J217" t="str">
            <v>Кировский эвенский национальный наслег</v>
          </cell>
          <cell r="K217" t="str">
            <v>с</v>
          </cell>
          <cell r="L217" t="str">
            <v>село</v>
          </cell>
          <cell r="M217" t="str">
            <v>Батамай</v>
          </cell>
        </row>
        <row r="218">
          <cell r="B218">
            <v>98624419101</v>
          </cell>
          <cell r="C218" t="str">
            <v>Муниципальные образования Республики Саха (Якутия)</v>
          </cell>
          <cell r="D218">
            <v>98600000</v>
          </cell>
          <cell r="E218" t="str">
            <v>Муниципальные образования Республики Саха (Якутия)</v>
          </cell>
          <cell r="F218">
            <v>98000000</v>
          </cell>
          <cell r="G218" t="str">
            <v>Кобяйский муниципальный район</v>
          </cell>
          <cell r="H218">
            <v>98624000</v>
          </cell>
          <cell r="I218" t="str">
            <v>Сельские поселения Кобяйского муниципального района</v>
          </cell>
          <cell r="J218" t="str">
            <v>Кобяйский наслег</v>
          </cell>
          <cell r="K218" t="str">
            <v>с</v>
          </cell>
          <cell r="L218" t="str">
            <v>село</v>
          </cell>
          <cell r="M218" t="str">
            <v>Кобяй</v>
          </cell>
        </row>
        <row r="219">
          <cell r="B219">
            <v>98624419106</v>
          </cell>
          <cell r="C219" t="str">
            <v>Муниципальные образования Республики Саха (Якутия)</v>
          </cell>
          <cell r="D219">
            <v>98600000</v>
          </cell>
          <cell r="E219" t="str">
            <v>Муниципальные образования Республики Саха (Якутия)</v>
          </cell>
          <cell r="F219">
            <v>98000000</v>
          </cell>
          <cell r="G219" t="str">
            <v>Кобяйский муниципальный район</v>
          </cell>
          <cell r="H219">
            <v>98624000</v>
          </cell>
          <cell r="I219" t="str">
            <v>Сельские поселения Кобяйского муниципального района</v>
          </cell>
          <cell r="J219" t="str">
            <v>Кобяйский наслег</v>
          </cell>
          <cell r="K219" t="str">
            <v>с</v>
          </cell>
          <cell r="L219" t="str">
            <v>село</v>
          </cell>
          <cell r="M219" t="str">
            <v>Ойун-Унгуохтах</v>
          </cell>
        </row>
        <row r="220">
          <cell r="B220">
            <v>98624419111</v>
          </cell>
          <cell r="C220" t="str">
            <v>Муниципальные образования Республики Саха (Якутия)</v>
          </cell>
          <cell r="D220">
            <v>98600000</v>
          </cell>
          <cell r="E220" t="str">
            <v>Муниципальные образования Республики Саха (Якутия)</v>
          </cell>
          <cell r="F220">
            <v>98000000</v>
          </cell>
          <cell r="G220" t="str">
            <v>Кобяйский муниципальный район</v>
          </cell>
          <cell r="H220">
            <v>98624000</v>
          </cell>
          <cell r="I220" t="str">
            <v>Сельские поселения Кобяйского муниципального района</v>
          </cell>
          <cell r="J220" t="str">
            <v>Кобяйский наслег</v>
          </cell>
          <cell r="K220" t="str">
            <v>с</v>
          </cell>
          <cell r="L220" t="str">
            <v>село</v>
          </cell>
          <cell r="M220" t="str">
            <v>Сага</v>
          </cell>
        </row>
        <row r="221">
          <cell r="B221">
            <v>98624424101</v>
          </cell>
          <cell r="C221" t="str">
            <v>Муниципальные образования Республики Саха (Якутия)</v>
          </cell>
          <cell r="D221">
            <v>98600000</v>
          </cell>
          <cell r="E221" t="str">
            <v>Муниципальные образования Республики Саха (Якутия)</v>
          </cell>
          <cell r="F221">
            <v>98000000</v>
          </cell>
          <cell r="G221" t="str">
            <v>Кобяйский муниципальный район</v>
          </cell>
          <cell r="H221">
            <v>98624000</v>
          </cell>
          <cell r="I221" t="str">
            <v>Сельские поселения Кобяйского муниципального района</v>
          </cell>
          <cell r="J221" t="str">
            <v>Куокуйский наслег</v>
          </cell>
          <cell r="K221" t="str">
            <v>с</v>
          </cell>
          <cell r="L221" t="str">
            <v>село</v>
          </cell>
          <cell r="M221" t="str">
            <v>Аргас</v>
          </cell>
        </row>
        <row r="222">
          <cell r="B222">
            <v>98624424106</v>
          </cell>
          <cell r="C222" t="str">
            <v>Муниципальные образования Республики Саха (Якутия)</v>
          </cell>
          <cell r="D222">
            <v>98600000</v>
          </cell>
          <cell r="E222" t="str">
            <v>Муниципальные образования Республики Саха (Якутия)</v>
          </cell>
          <cell r="F222">
            <v>98000000</v>
          </cell>
          <cell r="G222" t="str">
            <v>Кобяйский муниципальный район</v>
          </cell>
          <cell r="H222">
            <v>98624000</v>
          </cell>
          <cell r="I222" t="str">
            <v>Сельские поселения Кобяйского муниципального района</v>
          </cell>
          <cell r="J222" t="str">
            <v>Куокуйский наслег</v>
          </cell>
          <cell r="K222" t="str">
            <v>с</v>
          </cell>
          <cell r="L222" t="str">
            <v>село</v>
          </cell>
          <cell r="M222" t="str">
            <v>Кальвица</v>
          </cell>
        </row>
        <row r="223">
          <cell r="B223">
            <v>98624429101</v>
          </cell>
          <cell r="C223" t="str">
            <v>Муниципальные образования Республики Саха (Якутия)</v>
          </cell>
          <cell r="D223">
            <v>98600000</v>
          </cell>
          <cell r="E223" t="str">
            <v>Муниципальные образования Республики Саха (Якутия)</v>
          </cell>
          <cell r="F223">
            <v>98000000</v>
          </cell>
          <cell r="G223" t="str">
            <v>Кобяйский муниципальный район</v>
          </cell>
          <cell r="H223">
            <v>98624000</v>
          </cell>
          <cell r="I223" t="str">
            <v>Сельские поселения Кобяйского муниципального района</v>
          </cell>
          <cell r="J223" t="str">
            <v>Ламынхинский эвенский национальный наслег</v>
          </cell>
          <cell r="K223" t="str">
            <v>с</v>
          </cell>
          <cell r="L223" t="str">
            <v>село</v>
          </cell>
          <cell r="M223" t="str">
            <v>Себян-Кюёль</v>
          </cell>
        </row>
        <row r="224">
          <cell r="B224">
            <v>98624434101</v>
          </cell>
          <cell r="C224" t="str">
            <v>Муниципальные образования Республики Саха (Якутия)</v>
          </cell>
          <cell r="D224">
            <v>98600000</v>
          </cell>
          <cell r="E224" t="str">
            <v>Муниципальные образования Республики Саха (Якутия)</v>
          </cell>
          <cell r="F224">
            <v>98000000</v>
          </cell>
          <cell r="G224" t="str">
            <v>Кобяйский муниципальный район</v>
          </cell>
          <cell r="H224">
            <v>98624000</v>
          </cell>
          <cell r="I224" t="str">
            <v>Сельские поселения Кобяйского муниципального района</v>
          </cell>
          <cell r="J224" t="str">
            <v>Люччегинский 1-й наслег</v>
          </cell>
          <cell r="K224" t="str">
            <v>с</v>
          </cell>
          <cell r="L224" t="str">
            <v>село</v>
          </cell>
          <cell r="M224" t="str">
            <v>Багадя</v>
          </cell>
        </row>
        <row r="225">
          <cell r="B225">
            <v>98624434106</v>
          </cell>
          <cell r="C225" t="str">
            <v>Муниципальные образования Республики Саха (Якутия)</v>
          </cell>
          <cell r="D225">
            <v>98600000</v>
          </cell>
          <cell r="E225" t="str">
            <v>Муниципальные образования Республики Саха (Якутия)</v>
          </cell>
          <cell r="F225">
            <v>98000000</v>
          </cell>
          <cell r="G225" t="str">
            <v>Кобяйский муниципальный район</v>
          </cell>
          <cell r="H225">
            <v>98624000</v>
          </cell>
          <cell r="I225" t="str">
            <v>Сельские поселения Кобяйского муниципального района</v>
          </cell>
          <cell r="J225" t="str">
            <v>Люччегинский 1-й наслег</v>
          </cell>
          <cell r="K225" t="str">
            <v>с</v>
          </cell>
          <cell r="L225" t="str">
            <v>село</v>
          </cell>
          <cell r="M225" t="str">
            <v>Арылах</v>
          </cell>
        </row>
        <row r="226">
          <cell r="B226">
            <v>98624435101</v>
          </cell>
          <cell r="C226" t="str">
            <v>Муниципальные образования Республики Саха (Якутия)</v>
          </cell>
          <cell r="D226">
            <v>98600000</v>
          </cell>
          <cell r="E226" t="str">
            <v>Муниципальные образования Республики Саха (Якутия)</v>
          </cell>
          <cell r="F226">
            <v>98000000</v>
          </cell>
          <cell r="G226" t="str">
            <v>Кобяйский муниципальный район</v>
          </cell>
          <cell r="H226">
            <v>98624000</v>
          </cell>
          <cell r="I226" t="str">
            <v>Сельские поселения Кобяйского муниципального района</v>
          </cell>
          <cell r="J226" t="str">
            <v>Люччегинский 2-й наслег</v>
          </cell>
          <cell r="K226" t="str">
            <v>с</v>
          </cell>
          <cell r="L226" t="str">
            <v>село</v>
          </cell>
          <cell r="M226" t="str">
            <v>Мастах</v>
          </cell>
        </row>
        <row r="227">
          <cell r="B227">
            <v>98624435106</v>
          </cell>
          <cell r="C227" t="str">
            <v>Муниципальные образования Республики Саха (Якутия)</v>
          </cell>
          <cell r="D227">
            <v>98600000</v>
          </cell>
          <cell r="E227" t="str">
            <v>Муниципальные образования Республики Саха (Якутия)</v>
          </cell>
          <cell r="F227">
            <v>98000000</v>
          </cell>
          <cell r="G227" t="str">
            <v>Кобяйский муниципальный район</v>
          </cell>
          <cell r="H227">
            <v>98624000</v>
          </cell>
          <cell r="I227" t="str">
            <v>Сельские поселения Кобяйского муниципального района</v>
          </cell>
          <cell r="J227" t="str">
            <v>Люччегинский 2-й наслег</v>
          </cell>
          <cell r="K227" t="str">
            <v>с</v>
          </cell>
          <cell r="L227" t="str">
            <v>село</v>
          </cell>
          <cell r="M227" t="str">
            <v>Быранатталах</v>
          </cell>
        </row>
        <row r="228">
          <cell r="B228">
            <v>98624435111</v>
          </cell>
          <cell r="C228" t="str">
            <v>Муниципальные образования Республики Саха (Якутия)</v>
          </cell>
          <cell r="D228">
            <v>98600000</v>
          </cell>
          <cell r="E228" t="str">
            <v>Муниципальные образования Республики Саха (Якутия)</v>
          </cell>
          <cell r="F228">
            <v>98000000</v>
          </cell>
          <cell r="G228" t="str">
            <v>Кобяйский муниципальный район</v>
          </cell>
          <cell r="H228">
            <v>98624000</v>
          </cell>
          <cell r="I228" t="str">
            <v>Сельские поселения Кобяйского муниципального района</v>
          </cell>
          <cell r="J228" t="str">
            <v>Люччегинский 2-й наслег</v>
          </cell>
          <cell r="K228" t="str">
            <v>с</v>
          </cell>
          <cell r="L228" t="str">
            <v>село</v>
          </cell>
          <cell r="M228" t="str">
            <v>Мастах 2-й</v>
          </cell>
        </row>
        <row r="229">
          <cell r="B229">
            <v>98624440101</v>
          </cell>
          <cell r="C229" t="str">
            <v>Муниципальные образования Республики Саха (Якутия)</v>
          </cell>
          <cell r="D229">
            <v>98600000</v>
          </cell>
          <cell r="E229" t="str">
            <v>Муниципальные образования Республики Саха (Якутия)</v>
          </cell>
          <cell r="F229">
            <v>98000000</v>
          </cell>
          <cell r="G229" t="str">
            <v>Кобяйский муниципальный район</v>
          </cell>
          <cell r="H229">
            <v>98624000</v>
          </cell>
          <cell r="I229" t="str">
            <v>Сельские поселения Кобяйского муниципального района</v>
          </cell>
          <cell r="J229" t="str">
            <v>Мукучунский наслег</v>
          </cell>
          <cell r="K229" t="str">
            <v>с</v>
          </cell>
          <cell r="L229" t="str">
            <v>село</v>
          </cell>
          <cell r="M229" t="str">
            <v>Сайылык</v>
          </cell>
        </row>
        <row r="230">
          <cell r="B230">
            <v>98624445101</v>
          </cell>
          <cell r="C230" t="str">
            <v>Муниципальные образования Республики Саха (Якутия)</v>
          </cell>
          <cell r="D230">
            <v>98600000</v>
          </cell>
          <cell r="E230" t="str">
            <v>Муниципальные образования Республики Саха (Якутия)</v>
          </cell>
          <cell r="F230">
            <v>98000000</v>
          </cell>
          <cell r="G230" t="str">
            <v>Кобяйский муниципальный район</v>
          </cell>
          <cell r="H230">
            <v>98624000</v>
          </cell>
          <cell r="I230" t="str">
            <v>Сельские поселения Кобяйского муниципального района</v>
          </cell>
          <cell r="J230" t="str">
            <v>Нижилинский наслег</v>
          </cell>
          <cell r="K230" t="str">
            <v>с</v>
          </cell>
          <cell r="L230" t="str">
            <v>село</v>
          </cell>
          <cell r="M230" t="str">
            <v>Чагда</v>
          </cell>
        </row>
        <row r="231">
          <cell r="B231">
            <v>98624450101</v>
          </cell>
          <cell r="C231" t="str">
            <v>Муниципальные образования Республики Саха (Якутия)</v>
          </cell>
          <cell r="D231">
            <v>98600000</v>
          </cell>
          <cell r="E231" t="str">
            <v>Муниципальные образования Республики Саха (Якутия)</v>
          </cell>
          <cell r="F231">
            <v>98000000</v>
          </cell>
          <cell r="G231" t="str">
            <v>Кобяйский муниципальный район</v>
          </cell>
          <cell r="H231">
            <v>98624000</v>
          </cell>
          <cell r="I231" t="str">
            <v>Сельские поселения Кобяйского муниципального района</v>
          </cell>
          <cell r="J231" t="str">
            <v>Ситтинский наслег</v>
          </cell>
          <cell r="K231" t="str">
            <v>с</v>
          </cell>
          <cell r="L231" t="str">
            <v>село</v>
          </cell>
          <cell r="M231" t="str">
            <v>Ситте</v>
          </cell>
        </row>
        <row r="232">
          <cell r="B232">
            <v>98624455101</v>
          </cell>
          <cell r="C232" t="str">
            <v>Муниципальные образования Республики Саха (Якутия)</v>
          </cell>
          <cell r="D232">
            <v>98600000</v>
          </cell>
          <cell r="E232" t="str">
            <v>Муниципальные образования Республики Саха (Якутия)</v>
          </cell>
          <cell r="F232">
            <v>98000000</v>
          </cell>
          <cell r="G232" t="str">
            <v>Кобяйский муниципальный район</v>
          </cell>
          <cell r="H232">
            <v>98624000</v>
          </cell>
          <cell r="I232" t="str">
            <v>Сельские поселения Кобяйского муниципального района</v>
          </cell>
          <cell r="J232" t="str">
            <v>Тыайинский наслег</v>
          </cell>
          <cell r="K232" t="str">
            <v>с</v>
          </cell>
          <cell r="L232" t="str">
            <v>село</v>
          </cell>
          <cell r="M232" t="str">
            <v>Тыайа</v>
          </cell>
        </row>
        <row r="233">
          <cell r="B233">
            <v>0</v>
          </cell>
          <cell r="C233" t="str">
            <v>Муниципальные образования Республики Саха (Якутия)</v>
          </cell>
          <cell r="D233">
            <v>98600000</v>
          </cell>
          <cell r="E233" t="str">
            <v>Муниципальные образования Республики Саха (Якутия)</v>
          </cell>
          <cell r="F233">
            <v>98000000</v>
          </cell>
          <cell r="G233" t="str">
            <v>Кобяйский муниципальный район</v>
          </cell>
          <cell r="H233">
            <v>98624000</v>
          </cell>
          <cell r="I233" t="str">
            <v>Межселенные территории Кобяйского муниципального района</v>
          </cell>
          <cell r="J233" t="str">
            <v>Межселенная территория Кобяйского муниципального района, находящаяся вне границ городского и сельских поселений</v>
          </cell>
          <cell r="K233">
            <v>0</v>
          </cell>
          <cell r="L233">
            <v>0</v>
          </cell>
          <cell r="M233">
            <v>0</v>
          </cell>
        </row>
        <row r="234">
          <cell r="B234">
            <v>98626101001</v>
          </cell>
          <cell r="C234" t="str">
            <v>Муниципальные образования Республики Саха (Якутия)</v>
          </cell>
          <cell r="D234">
            <v>98600000</v>
          </cell>
          <cell r="E234" t="str">
            <v>Муниципальные образования Республики Саха (Якутия)</v>
          </cell>
          <cell r="F234">
            <v>98000000</v>
          </cell>
          <cell r="G234" t="str">
            <v>Нюрбинский муниципальный район</v>
          </cell>
          <cell r="H234">
            <v>98626000</v>
          </cell>
          <cell r="I234" t="str">
            <v>Городские поселения Нюрбинского муниципального района</v>
          </cell>
          <cell r="J234" t="str">
            <v>город Нюрба</v>
          </cell>
          <cell r="K234" t="str">
            <v>г</v>
          </cell>
          <cell r="L234" t="str">
            <v>город</v>
          </cell>
          <cell r="M234" t="str">
            <v>Нюрба</v>
          </cell>
        </row>
        <row r="235">
          <cell r="B235">
            <v>98626405101</v>
          </cell>
          <cell r="C235" t="str">
            <v>Муниципальные образования Республики Саха (Якутия)</v>
          </cell>
          <cell r="D235">
            <v>98600000</v>
          </cell>
          <cell r="E235" t="str">
            <v>Муниципальные образования Республики Саха (Якутия)</v>
          </cell>
          <cell r="F235">
            <v>98000000</v>
          </cell>
          <cell r="G235" t="str">
            <v>Нюрбинский муниципальный район</v>
          </cell>
          <cell r="H235">
            <v>98626000</v>
          </cell>
          <cell r="I235" t="str">
            <v>Сельские поселения Нюрбинского муниципального района</v>
          </cell>
          <cell r="J235" t="str">
            <v>Аканинский наслег</v>
          </cell>
          <cell r="K235" t="str">
            <v>с</v>
          </cell>
          <cell r="L235" t="str">
            <v>село</v>
          </cell>
          <cell r="M235" t="str">
            <v>Акана</v>
          </cell>
        </row>
        <row r="236">
          <cell r="B236">
            <v>98626405106</v>
          </cell>
          <cell r="C236" t="str">
            <v>Муниципальные образования Республики Саха (Якутия)</v>
          </cell>
          <cell r="D236">
            <v>98600000</v>
          </cell>
          <cell r="E236" t="str">
            <v>Муниципальные образования Республики Саха (Якутия)</v>
          </cell>
          <cell r="F236">
            <v>98000000</v>
          </cell>
          <cell r="G236" t="str">
            <v>Нюрбинский муниципальный район</v>
          </cell>
          <cell r="H236">
            <v>98626000</v>
          </cell>
          <cell r="I236" t="str">
            <v>Сельские поселения Нюрбинского муниципального района</v>
          </cell>
          <cell r="J236" t="str">
            <v>Аканинский наслег</v>
          </cell>
          <cell r="K236" t="str">
            <v>с</v>
          </cell>
          <cell r="L236" t="str">
            <v>село</v>
          </cell>
          <cell r="M236" t="str">
            <v>Чкалов</v>
          </cell>
        </row>
        <row r="237">
          <cell r="B237">
            <v>98626410101</v>
          </cell>
          <cell r="C237" t="str">
            <v>Муниципальные образования Республики Саха (Якутия)</v>
          </cell>
          <cell r="D237">
            <v>98600000</v>
          </cell>
          <cell r="E237" t="str">
            <v>Муниципальные образования Республики Саха (Якутия)</v>
          </cell>
          <cell r="F237">
            <v>98000000</v>
          </cell>
          <cell r="G237" t="str">
            <v>Нюрбинский муниципальный район</v>
          </cell>
          <cell r="H237">
            <v>98626000</v>
          </cell>
          <cell r="I237" t="str">
            <v>Сельские поселения Нюрбинского муниципального района</v>
          </cell>
          <cell r="J237" t="str">
            <v>Бордонский наслег</v>
          </cell>
          <cell r="K237" t="str">
            <v>с</v>
          </cell>
          <cell r="L237" t="str">
            <v>село</v>
          </cell>
          <cell r="M237" t="str">
            <v>Малыкай</v>
          </cell>
        </row>
        <row r="238">
          <cell r="B238">
            <v>98626413101</v>
          </cell>
          <cell r="C238" t="str">
            <v>Муниципальные образования Республики Саха (Якутия)</v>
          </cell>
          <cell r="D238">
            <v>98600000</v>
          </cell>
          <cell r="E238" t="str">
            <v>Муниципальные образования Республики Саха (Якутия)</v>
          </cell>
          <cell r="F238">
            <v>98000000</v>
          </cell>
          <cell r="G238" t="str">
            <v>Нюрбинский муниципальный район</v>
          </cell>
          <cell r="H238">
            <v>98626000</v>
          </cell>
          <cell r="I238" t="str">
            <v>Сельские поселения Нюрбинского муниципального района</v>
          </cell>
          <cell r="J238" t="str">
            <v>Дикимдинский наслег</v>
          </cell>
          <cell r="K238" t="str">
            <v>с</v>
          </cell>
          <cell r="L238" t="str">
            <v>село</v>
          </cell>
          <cell r="M238" t="str">
            <v>Дикимдя</v>
          </cell>
        </row>
        <row r="239">
          <cell r="B239">
            <v>98626414101</v>
          </cell>
          <cell r="C239" t="str">
            <v>Муниципальные образования Республики Саха (Якутия)</v>
          </cell>
          <cell r="D239">
            <v>98600000</v>
          </cell>
          <cell r="E239" t="str">
            <v>Муниципальные образования Республики Саха (Якутия)</v>
          </cell>
          <cell r="F239">
            <v>98000000</v>
          </cell>
          <cell r="G239" t="str">
            <v>Нюрбинский муниципальный район</v>
          </cell>
          <cell r="H239">
            <v>98626000</v>
          </cell>
          <cell r="I239" t="str">
            <v>Сельские поселения Нюрбинского муниципального района</v>
          </cell>
          <cell r="J239" t="str">
            <v>Едейский наслег</v>
          </cell>
          <cell r="K239" t="str">
            <v>с</v>
          </cell>
          <cell r="L239" t="str">
            <v>село</v>
          </cell>
          <cell r="M239" t="str">
            <v>Едей</v>
          </cell>
        </row>
        <row r="240">
          <cell r="B240">
            <v>98626415101</v>
          </cell>
          <cell r="C240" t="str">
            <v>Муниципальные образования Республики Саха (Якутия)</v>
          </cell>
          <cell r="D240">
            <v>98600000</v>
          </cell>
          <cell r="E240" t="str">
            <v>Муниципальные образования Республики Саха (Якутия)</v>
          </cell>
          <cell r="F240">
            <v>98000000</v>
          </cell>
          <cell r="G240" t="str">
            <v>Нюрбинский муниципальный район</v>
          </cell>
          <cell r="H240">
            <v>98626000</v>
          </cell>
          <cell r="I240" t="str">
            <v>Сельские поселения Нюрбинского муниципального района</v>
          </cell>
          <cell r="J240" t="str">
            <v>Жарханский наслег</v>
          </cell>
          <cell r="K240" t="str">
            <v>с</v>
          </cell>
          <cell r="L240" t="str">
            <v>село</v>
          </cell>
          <cell r="M240" t="str">
            <v>Жархан</v>
          </cell>
        </row>
        <row r="241">
          <cell r="B241">
            <v>98626420101</v>
          </cell>
          <cell r="C241" t="str">
            <v>Муниципальные образования Республики Саха (Якутия)</v>
          </cell>
          <cell r="D241">
            <v>98600000</v>
          </cell>
          <cell r="E241" t="str">
            <v>Муниципальные образования Республики Саха (Якутия)</v>
          </cell>
          <cell r="F241">
            <v>98000000</v>
          </cell>
          <cell r="G241" t="str">
            <v>Нюрбинский муниципальный район</v>
          </cell>
          <cell r="H241">
            <v>98626000</v>
          </cell>
          <cell r="I241" t="str">
            <v>Сельские поселения Нюрбинского муниципального района</v>
          </cell>
          <cell r="J241" t="str">
            <v>Кангаласский наслег</v>
          </cell>
          <cell r="K241" t="str">
            <v>с</v>
          </cell>
          <cell r="L241" t="str">
            <v>село</v>
          </cell>
          <cell r="M241" t="str">
            <v>Ынахсыт</v>
          </cell>
        </row>
        <row r="242">
          <cell r="B242">
            <v>98626425101</v>
          </cell>
          <cell r="C242" t="str">
            <v>Муниципальные образования Республики Саха (Якутия)</v>
          </cell>
          <cell r="D242">
            <v>98600000</v>
          </cell>
          <cell r="E242" t="str">
            <v>Муниципальные образования Республики Саха (Якутия)</v>
          </cell>
          <cell r="F242">
            <v>98000000</v>
          </cell>
          <cell r="G242" t="str">
            <v>Нюрбинский муниципальный район</v>
          </cell>
          <cell r="H242">
            <v>98626000</v>
          </cell>
          <cell r="I242" t="str">
            <v>Сельские поселения Нюрбинского муниципального района</v>
          </cell>
          <cell r="J242" t="str">
            <v>Кюндядинский наслег</v>
          </cell>
          <cell r="K242" t="str">
            <v>с</v>
          </cell>
          <cell r="L242" t="str">
            <v>село</v>
          </cell>
          <cell r="M242" t="str">
            <v>Кюндяде</v>
          </cell>
        </row>
        <row r="243">
          <cell r="B243">
            <v>98626425106</v>
          </cell>
          <cell r="C243" t="str">
            <v>Муниципальные образования Республики Саха (Якутия)</v>
          </cell>
          <cell r="D243">
            <v>98600000</v>
          </cell>
          <cell r="E243" t="str">
            <v>Муниципальные образования Республики Саха (Якутия)</v>
          </cell>
          <cell r="F243">
            <v>98000000</v>
          </cell>
          <cell r="G243" t="str">
            <v>Нюрбинский муниципальный район</v>
          </cell>
          <cell r="H243">
            <v>98626000</v>
          </cell>
          <cell r="I243" t="str">
            <v>Сельские поселения Нюрбинского муниципального района</v>
          </cell>
          <cell r="J243" t="str">
            <v>Кюндядинский наслег</v>
          </cell>
          <cell r="K243" t="str">
            <v>с</v>
          </cell>
          <cell r="L243" t="str">
            <v>село</v>
          </cell>
          <cell r="M243" t="str">
            <v>Арангастах</v>
          </cell>
        </row>
        <row r="244">
          <cell r="B244">
            <v>98626430101</v>
          </cell>
          <cell r="C244" t="str">
            <v>Муниципальные образования Республики Саха (Якутия)</v>
          </cell>
          <cell r="D244">
            <v>98600000</v>
          </cell>
          <cell r="E244" t="str">
            <v>Муниципальные образования Республики Саха (Якутия)</v>
          </cell>
          <cell r="F244">
            <v>98000000</v>
          </cell>
          <cell r="G244" t="str">
            <v>Нюрбинский муниципальный район</v>
          </cell>
          <cell r="H244">
            <v>98626000</v>
          </cell>
          <cell r="I244" t="str">
            <v>Сельские поселения Нюрбинского муниципального района</v>
          </cell>
          <cell r="J244" t="str">
            <v>Мальжагарский наслег</v>
          </cell>
          <cell r="K244" t="str">
            <v>с</v>
          </cell>
          <cell r="L244" t="str">
            <v>село</v>
          </cell>
          <cell r="M244" t="str">
            <v>Бысыттах</v>
          </cell>
        </row>
        <row r="245">
          <cell r="B245">
            <v>98626435101</v>
          </cell>
          <cell r="C245" t="str">
            <v>Муниципальные образования Республики Саха (Якутия)</v>
          </cell>
          <cell r="D245">
            <v>98600000</v>
          </cell>
          <cell r="E245" t="str">
            <v>Муниципальные образования Республики Саха (Якутия)</v>
          </cell>
          <cell r="F245">
            <v>98000000</v>
          </cell>
          <cell r="G245" t="str">
            <v>Нюрбинский муниципальный район</v>
          </cell>
          <cell r="H245">
            <v>98626000</v>
          </cell>
          <cell r="I245" t="str">
            <v>Сельские поселения Нюрбинского муниципального района</v>
          </cell>
          <cell r="J245" t="str">
            <v>Мархинский наслег</v>
          </cell>
          <cell r="K245" t="str">
            <v>с</v>
          </cell>
          <cell r="L245" t="str">
            <v>село</v>
          </cell>
          <cell r="M245" t="str">
            <v>Энгольжа</v>
          </cell>
        </row>
        <row r="246">
          <cell r="B246">
            <v>98626440101</v>
          </cell>
          <cell r="C246" t="str">
            <v>Муниципальные образования Республики Саха (Якутия)</v>
          </cell>
          <cell r="D246">
            <v>98600000</v>
          </cell>
          <cell r="E246" t="str">
            <v>Муниципальные образования Республики Саха (Якутия)</v>
          </cell>
          <cell r="F246">
            <v>98000000</v>
          </cell>
          <cell r="G246" t="str">
            <v>Нюрбинский муниципальный район</v>
          </cell>
          <cell r="H246">
            <v>98626000</v>
          </cell>
          <cell r="I246" t="str">
            <v>Сельские поселения Нюрбинского муниципального района</v>
          </cell>
          <cell r="J246" t="str">
            <v>Мегежекский наслег</v>
          </cell>
          <cell r="K246" t="str">
            <v>с</v>
          </cell>
          <cell r="L246" t="str">
            <v>село</v>
          </cell>
          <cell r="M246" t="str">
            <v>Хаты</v>
          </cell>
        </row>
        <row r="247">
          <cell r="B247">
            <v>98626445101</v>
          </cell>
          <cell r="C247" t="str">
            <v>Муниципальные образования Республики Саха (Якутия)</v>
          </cell>
          <cell r="D247">
            <v>98600000</v>
          </cell>
          <cell r="E247" t="str">
            <v>Муниципальные образования Республики Саха (Якутия)</v>
          </cell>
          <cell r="F247">
            <v>98000000</v>
          </cell>
          <cell r="G247" t="str">
            <v>Нюрбинский муниципальный район</v>
          </cell>
          <cell r="H247">
            <v>98626000</v>
          </cell>
          <cell r="I247" t="str">
            <v>Сельские поселения Нюрбинского муниципального района</v>
          </cell>
          <cell r="J247" t="str">
            <v>Октябрьский наслег</v>
          </cell>
          <cell r="K247" t="str">
            <v>с</v>
          </cell>
          <cell r="L247" t="str">
            <v>село</v>
          </cell>
          <cell r="M247" t="str">
            <v>Антоновка</v>
          </cell>
        </row>
        <row r="248">
          <cell r="B248">
            <v>98626445106</v>
          </cell>
          <cell r="C248" t="str">
            <v>Муниципальные образования Республики Саха (Якутия)</v>
          </cell>
          <cell r="D248">
            <v>98600000</v>
          </cell>
          <cell r="E248" t="str">
            <v>Муниципальные образования Республики Саха (Якутия)</v>
          </cell>
          <cell r="F248">
            <v>98000000</v>
          </cell>
          <cell r="G248" t="str">
            <v>Нюрбинский муниципальный район</v>
          </cell>
          <cell r="H248">
            <v>98626000</v>
          </cell>
          <cell r="I248" t="str">
            <v>Сельские поселения Нюрбинского муниципального района</v>
          </cell>
          <cell r="J248" t="str">
            <v>Октябрьский наслег</v>
          </cell>
          <cell r="K248" t="str">
            <v>с</v>
          </cell>
          <cell r="L248" t="str">
            <v>село</v>
          </cell>
          <cell r="M248" t="str">
            <v>Нефтебаза</v>
          </cell>
        </row>
        <row r="249">
          <cell r="B249">
            <v>98626450101</v>
          </cell>
          <cell r="C249" t="str">
            <v>Муниципальные образования Республики Саха (Якутия)</v>
          </cell>
          <cell r="D249">
            <v>98600000</v>
          </cell>
          <cell r="E249" t="str">
            <v>Муниципальные образования Республики Саха (Якутия)</v>
          </cell>
          <cell r="F249">
            <v>98000000</v>
          </cell>
          <cell r="G249" t="str">
            <v>Нюрбинский муниципальный район</v>
          </cell>
          <cell r="H249">
            <v>98626000</v>
          </cell>
          <cell r="I249" t="str">
            <v>Сельские поселения Нюрбинского муниципального района</v>
          </cell>
          <cell r="J249" t="str">
            <v>Нюрбачанский наслег</v>
          </cell>
          <cell r="K249" t="str">
            <v>с</v>
          </cell>
          <cell r="L249" t="str">
            <v>село</v>
          </cell>
          <cell r="M249" t="str">
            <v>Нюрбачан</v>
          </cell>
        </row>
        <row r="250">
          <cell r="B250">
            <v>98626452101</v>
          </cell>
          <cell r="C250" t="str">
            <v>Муниципальные образования Республики Саха (Якутия)</v>
          </cell>
          <cell r="D250">
            <v>98600000</v>
          </cell>
          <cell r="E250" t="str">
            <v>Муниципальные образования Республики Саха (Якутия)</v>
          </cell>
          <cell r="F250">
            <v>98000000</v>
          </cell>
          <cell r="G250" t="str">
            <v>Нюрбинский муниципальный район</v>
          </cell>
          <cell r="H250">
            <v>98626000</v>
          </cell>
          <cell r="I250" t="str">
            <v>Сельские поселения Нюрбинского муниципального района</v>
          </cell>
          <cell r="J250" t="str">
            <v>Сюлинский наслег</v>
          </cell>
          <cell r="K250" t="str">
            <v>с</v>
          </cell>
          <cell r="L250" t="str">
            <v>село</v>
          </cell>
          <cell r="M250" t="str">
            <v>Сюля</v>
          </cell>
        </row>
        <row r="251">
          <cell r="B251">
            <v>98626455101</v>
          </cell>
          <cell r="C251" t="str">
            <v>Муниципальные образования Республики Саха (Якутия)</v>
          </cell>
          <cell r="D251">
            <v>98600000</v>
          </cell>
          <cell r="E251" t="str">
            <v>Муниципальные образования Республики Саха (Якутия)</v>
          </cell>
          <cell r="F251">
            <v>98000000</v>
          </cell>
          <cell r="G251" t="str">
            <v>Нюрбинский муниципальный район</v>
          </cell>
          <cell r="H251">
            <v>98626000</v>
          </cell>
          <cell r="I251" t="str">
            <v>Сельские поселения Нюрбинского муниципального района</v>
          </cell>
          <cell r="J251" t="str">
            <v>Таркайинский наслег</v>
          </cell>
          <cell r="K251" t="str">
            <v>с</v>
          </cell>
          <cell r="L251" t="str">
            <v>село</v>
          </cell>
          <cell r="M251" t="str">
            <v>Хатын-Сысы</v>
          </cell>
        </row>
        <row r="252">
          <cell r="B252">
            <v>98626455106</v>
          </cell>
          <cell r="C252" t="str">
            <v>Муниципальные образования Республики Саха (Якутия)</v>
          </cell>
          <cell r="D252">
            <v>98600000</v>
          </cell>
          <cell r="E252" t="str">
            <v>Муниципальные образования Республики Саха (Якутия)</v>
          </cell>
          <cell r="F252">
            <v>98000000</v>
          </cell>
          <cell r="G252" t="str">
            <v>Нюрбинский муниципальный район</v>
          </cell>
          <cell r="H252">
            <v>98626000</v>
          </cell>
          <cell r="I252" t="str">
            <v>Сельские поселения Нюрбинского муниципального района</v>
          </cell>
          <cell r="J252" t="str">
            <v>Таркайинский наслег</v>
          </cell>
          <cell r="K252" t="str">
            <v>с</v>
          </cell>
          <cell r="L252" t="str">
            <v>село</v>
          </cell>
          <cell r="M252" t="str">
            <v>Киров</v>
          </cell>
        </row>
        <row r="253">
          <cell r="B253">
            <v>98626460101</v>
          </cell>
          <cell r="C253" t="str">
            <v>Муниципальные образования Республики Саха (Якутия)</v>
          </cell>
          <cell r="D253">
            <v>98600000</v>
          </cell>
          <cell r="E253" t="str">
            <v>Муниципальные образования Республики Саха (Якутия)</v>
          </cell>
          <cell r="F253">
            <v>98000000</v>
          </cell>
          <cell r="G253" t="str">
            <v>Нюрбинский муниципальный район</v>
          </cell>
          <cell r="H253">
            <v>98626000</v>
          </cell>
          <cell r="I253" t="str">
            <v>Сельские поселения Нюрбинского муниципального района</v>
          </cell>
          <cell r="J253" t="str">
            <v>Тюмюкский наслег</v>
          </cell>
          <cell r="K253" t="str">
            <v>с</v>
          </cell>
          <cell r="L253" t="str">
            <v>село</v>
          </cell>
          <cell r="M253" t="str">
            <v>Мар</v>
          </cell>
        </row>
        <row r="254">
          <cell r="B254">
            <v>98626465101</v>
          </cell>
          <cell r="C254" t="str">
            <v>Муниципальные образования Республики Саха (Якутия)</v>
          </cell>
          <cell r="D254">
            <v>98600000</v>
          </cell>
          <cell r="E254" t="str">
            <v>Муниципальные образования Республики Саха (Якутия)</v>
          </cell>
          <cell r="F254">
            <v>98000000</v>
          </cell>
          <cell r="G254" t="str">
            <v>Нюрбинский муниципальный район</v>
          </cell>
          <cell r="H254">
            <v>98626000</v>
          </cell>
          <cell r="I254" t="str">
            <v>Сельские поселения Нюрбинского муниципального района</v>
          </cell>
          <cell r="J254" t="str">
            <v>Хорулинский наслег</v>
          </cell>
          <cell r="K254" t="str">
            <v>с</v>
          </cell>
          <cell r="L254" t="str">
            <v>село</v>
          </cell>
          <cell r="M254" t="str">
            <v>Сайылык</v>
          </cell>
        </row>
        <row r="255">
          <cell r="B255">
            <v>98626470101</v>
          </cell>
          <cell r="C255" t="str">
            <v>Муниципальные образования Республики Саха (Якутия)</v>
          </cell>
          <cell r="D255">
            <v>98600000</v>
          </cell>
          <cell r="E255" t="str">
            <v>Муниципальные образования Республики Саха (Якутия)</v>
          </cell>
          <cell r="F255">
            <v>98000000</v>
          </cell>
          <cell r="G255" t="str">
            <v>Нюрбинский муниципальный район</v>
          </cell>
          <cell r="H255">
            <v>98626000</v>
          </cell>
          <cell r="I255" t="str">
            <v>Сельские поселения Нюрбинского муниципального района</v>
          </cell>
          <cell r="J255" t="str">
            <v>Чаппандинский наслег</v>
          </cell>
          <cell r="K255" t="str">
            <v>с</v>
          </cell>
          <cell r="L255" t="str">
            <v>село</v>
          </cell>
          <cell r="M255" t="str">
            <v>Чаппанда</v>
          </cell>
        </row>
        <row r="256">
          <cell r="B256">
            <v>98626470106</v>
          </cell>
          <cell r="C256" t="str">
            <v>Муниципальные образования Республики Саха (Якутия)</v>
          </cell>
          <cell r="D256">
            <v>98600000</v>
          </cell>
          <cell r="E256" t="str">
            <v>Муниципальные образования Республики Саха (Якутия)</v>
          </cell>
          <cell r="F256">
            <v>98000000</v>
          </cell>
          <cell r="G256" t="str">
            <v>Нюрбинский муниципальный район</v>
          </cell>
          <cell r="H256">
            <v>98626000</v>
          </cell>
          <cell r="I256" t="str">
            <v>Сельские поселения Нюрбинского муниципального района</v>
          </cell>
          <cell r="J256" t="str">
            <v>Чаппандинский наслег</v>
          </cell>
          <cell r="K256" t="str">
            <v>с</v>
          </cell>
          <cell r="L256" t="str">
            <v>село</v>
          </cell>
          <cell r="M256" t="str">
            <v>Салтаны</v>
          </cell>
        </row>
        <row r="257">
          <cell r="B257">
            <v>98626475101</v>
          </cell>
          <cell r="C257" t="str">
            <v>Муниципальные образования Республики Саха (Якутия)</v>
          </cell>
          <cell r="D257">
            <v>98600000</v>
          </cell>
          <cell r="E257" t="str">
            <v>Муниципальные образования Республики Саха (Якутия)</v>
          </cell>
          <cell r="F257">
            <v>98000000</v>
          </cell>
          <cell r="G257" t="str">
            <v>Нюрбинский муниципальный район</v>
          </cell>
          <cell r="H257">
            <v>98626000</v>
          </cell>
          <cell r="I257" t="str">
            <v>Сельские поселения Нюрбинского муниципального района</v>
          </cell>
          <cell r="J257" t="str">
            <v>Чукарский наслег</v>
          </cell>
          <cell r="K257" t="str">
            <v>с</v>
          </cell>
          <cell r="L257" t="str">
            <v>село</v>
          </cell>
          <cell r="M257" t="str">
            <v>Чукар</v>
          </cell>
        </row>
        <row r="258">
          <cell r="B258">
            <v>98627101001</v>
          </cell>
          <cell r="C258" t="str">
            <v>Муниципальные образования Республики Саха (Якутия)</v>
          </cell>
          <cell r="D258">
            <v>98600000</v>
          </cell>
          <cell r="E258" t="str">
            <v>Муниципальные образования Республики Саха (Якутия)</v>
          </cell>
          <cell r="F258">
            <v>98000000</v>
          </cell>
          <cell r="G258" t="str">
            <v>Ленский муниципальный район</v>
          </cell>
          <cell r="H258">
            <v>98627000</v>
          </cell>
          <cell r="I258" t="str">
            <v>Городские поселения Ленского муниципального района</v>
          </cell>
          <cell r="J258" t="str">
            <v>город Ленск</v>
          </cell>
          <cell r="K258" t="str">
            <v>г</v>
          </cell>
          <cell r="L258" t="str">
            <v>город</v>
          </cell>
          <cell r="M258" t="str">
            <v>Ленск</v>
          </cell>
        </row>
        <row r="259">
          <cell r="B259">
            <v>98627153051</v>
          </cell>
          <cell r="C259" t="str">
            <v>Муниципальные образования Республики Саха (Якутия)</v>
          </cell>
          <cell r="D259">
            <v>98600000</v>
          </cell>
          <cell r="E259" t="str">
            <v>Муниципальные образования Республики Саха (Якутия)</v>
          </cell>
          <cell r="F259">
            <v>98000000</v>
          </cell>
          <cell r="G259" t="str">
            <v>Ленский муниципальный район</v>
          </cell>
          <cell r="H259">
            <v>98627000</v>
          </cell>
          <cell r="I259" t="str">
            <v>Городские поселения Ленского муниципального района</v>
          </cell>
          <cell r="J259" t="str">
            <v>поселок Витим</v>
          </cell>
          <cell r="K259" t="str">
            <v>п</v>
          </cell>
          <cell r="L259" t="str">
            <v>поселок</v>
          </cell>
          <cell r="M259" t="str">
            <v>Витим</v>
          </cell>
        </row>
        <row r="260">
          <cell r="B260">
            <v>98627157051</v>
          </cell>
          <cell r="C260" t="str">
            <v>Муниципальные образования Республики Саха (Якутия)</v>
          </cell>
          <cell r="D260">
            <v>98600000</v>
          </cell>
          <cell r="E260" t="str">
            <v>Муниципальные образования Республики Саха (Якутия)</v>
          </cell>
          <cell r="F260">
            <v>98000000</v>
          </cell>
          <cell r="G260" t="str">
            <v>Ленский муниципальный район</v>
          </cell>
          <cell r="H260">
            <v>98627000</v>
          </cell>
          <cell r="I260" t="str">
            <v>Городские поселения Ленского муниципального района</v>
          </cell>
          <cell r="J260" t="str">
            <v>поселок Пеледуй</v>
          </cell>
          <cell r="K260" t="str">
            <v>п</v>
          </cell>
          <cell r="L260" t="str">
            <v>поселок</v>
          </cell>
          <cell r="M260" t="str">
            <v>Пеледуй</v>
          </cell>
        </row>
        <row r="261">
          <cell r="B261">
            <v>98627157106</v>
          </cell>
          <cell r="C261" t="str">
            <v>Муниципальные образования Республики Саха (Якутия)</v>
          </cell>
          <cell r="D261">
            <v>98600000</v>
          </cell>
          <cell r="E261" t="str">
            <v>Муниципальные образования Республики Саха (Якутия)</v>
          </cell>
          <cell r="F261">
            <v>98000000</v>
          </cell>
          <cell r="G261" t="str">
            <v>Ленский муниципальный район</v>
          </cell>
          <cell r="H261">
            <v>98627000</v>
          </cell>
          <cell r="I261" t="str">
            <v>Городские поселения Ленского муниципального района</v>
          </cell>
          <cell r="J261" t="str">
            <v>поселок Пеледуй</v>
          </cell>
          <cell r="K261" t="str">
            <v>с</v>
          </cell>
          <cell r="L261" t="str">
            <v>село</v>
          </cell>
          <cell r="M261" t="str">
            <v>Крестовский лесоучасток</v>
          </cell>
        </row>
        <row r="262">
          <cell r="B262">
            <v>98627405101</v>
          </cell>
          <cell r="C262" t="str">
            <v>Муниципальные образования Республики Саха (Якутия)</v>
          </cell>
          <cell r="D262">
            <v>98600000</v>
          </cell>
          <cell r="E262" t="str">
            <v>Муниципальные образования Республики Саха (Якутия)</v>
          </cell>
          <cell r="F262">
            <v>98000000</v>
          </cell>
          <cell r="G262" t="str">
            <v>Ленский муниципальный район</v>
          </cell>
          <cell r="H262">
            <v>98627000</v>
          </cell>
          <cell r="I262" t="str">
            <v>Сельские поселения Ленского муниципального района</v>
          </cell>
          <cell r="J262" t="str">
            <v>Беченчинский наслег</v>
          </cell>
          <cell r="K262" t="str">
            <v>с</v>
          </cell>
          <cell r="L262" t="str">
            <v>село</v>
          </cell>
          <cell r="M262" t="str">
            <v>Беченча</v>
          </cell>
        </row>
        <row r="263">
          <cell r="B263">
            <v>98627420101</v>
          </cell>
          <cell r="C263" t="str">
            <v>Муниципальные образования Республики Саха (Якутия)</v>
          </cell>
          <cell r="D263">
            <v>98600000</v>
          </cell>
          <cell r="E263" t="str">
            <v>Муниципальные образования Республики Саха (Якутия)</v>
          </cell>
          <cell r="F263">
            <v>98000000</v>
          </cell>
          <cell r="G263" t="str">
            <v>Ленский муниципальный район</v>
          </cell>
          <cell r="H263">
            <v>98627000</v>
          </cell>
          <cell r="I263" t="str">
            <v>Сельские поселения Ленского муниципального района</v>
          </cell>
          <cell r="J263" t="str">
            <v>Мурбайский наслег</v>
          </cell>
          <cell r="K263" t="str">
            <v>с</v>
          </cell>
          <cell r="L263" t="str">
            <v>село</v>
          </cell>
          <cell r="M263" t="str">
            <v>Нюя Северная</v>
          </cell>
        </row>
        <row r="264">
          <cell r="B264">
            <v>98627420106</v>
          </cell>
          <cell r="C264" t="str">
            <v>Муниципальные образования Республики Саха (Якутия)</v>
          </cell>
          <cell r="D264">
            <v>98600000</v>
          </cell>
          <cell r="E264" t="str">
            <v>Муниципальные образования Республики Саха (Якутия)</v>
          </cell>
          <cell r="F264">
            <v>98000000</v>
          </cell>
          <cell r="G264" t="str">
            <v>Ленский муниципальный район</v>
          </cell>
          <cell r="H264">
            <v>98627000</v>
          </cell>
          <cell r="I264" t="str">
            <v>Сельские поселения Ленского муниципального района</v>
          </cell>
          <cell r="J264" t="str">
            <v>Мурбайский наслег</v>
          </cell>
          <cell r="K264" t="str">
            <v>с</v>
          </cell>
          <cell r="L264" t="str">
            <v>село</v>
          </cell>
          <cell r="M264" t="str">
            <v>Дорожный</v>
          </cell>
        </row>
        <row r="265">
          <cell r="B265">
            <v>98627428101</v>
          </cell>
          <cell r="C265" t="str">
            <v>Муниципальные образования Республики Саха (Якутия)</v>
          </cell>
          <cell r="D265">
            <v>98600000</v>
          </cell>
          <cell r="E265" t="str">
            <v>Муниципальные образования Республики Саха (Якутия)</v>
          </cell>
          <cell r="F265">
            <v>98000000</v>
          </cell>
          <cell r="G265" t="str">
            <v>Ленский муниципальный район</v>
          </cell>
          <cell r="H265">
            <v>98627000</v>
          </cell>
          <cell r="I265" t="str">
            <v>Сельские поселения Ленского муниципального района</v>
          </cell>
          <cell r="J265" t="str">
            <v>Наторинский наслег</v>
          </cell>
          <cell r="K265" t="str">
            <v>с</v>
          </cell>
          <cell r="L265" t="str">
            <v>село</v>
          </cell>
          <cell r="M265" t="str">
            <v>Натора</v>
          </cell>
        </row>
        <row r="266">
          <cell r="B266">
            <v>98627430101</v>
          </cell>
          <cell r="C266" t="str">
            <v>Муниципальные образования Республики Саха (Якутия)</v>
          </cell>
          <cell r="D266">
            <v>98600000</v>
          </cell>
          <cell r="E266" t="str">
            <v>Муниципальные образования Республики Саха (Якутия)</v>
          </cell>
          <cell r="F266">
            <v>98000000</v>
          </cell>
          <cell r="G266" t="str">
            <v>Ленский муниципальный район</v>
          </cell>
          <cell r="H266">
            <v>98627000</v>
          </cell>
          <cell r="I266" t="str">
            <v>Сельские поселения Ленского муниципального района</v>
          </cell>
          <cell r="J266" t="str">
            <v>Нюйский наслег</v>
          </cell>
          <cell r="K266" t="str">
            <v>с</v>
          </cell>
          <cell r="L266" t="str">
            <v>село</v>
          </cell>
          <cell r="M266" t="str">
            <v>Нюя</v>
          </cell>
        </row>
        <row r="267">
          <cell r="B267">
            <v>98627430106</v>
          </cell>
          <cell r="C267" t="str">
            <v>Муниципальные образования Республики Саха (Якутия)</v>
          </cell>
          <cell r="D267">
            <v>98600000</v>
          </cell>
          <cell r="E267" t="str">
            <v>Муниципальные образования Республики Саха (Якутия)</v>
          </cell>
          <cell r="F267">
            <v>98000000</v>
          </cell>
          <cell r="G267" t="str">
            <v>Ленский муниципальный район</v>
          </cell>
          <cell r="H267">
            <v>98627000</v>
          </cell>
          <cell r="I267" t="str">
            <v>Сельские поселения Ленского муниципального района</v>
          </cell>
          <cell r="J267" t="str">
            <v>Нюйский наслег</v>
          </cell>
          <cell r="K267" t="str">
            <v>с</v>
          </cell>
          <cell r="L267" t="str">
            <v>село</v>
          </cell>
          <cell r="M267" t="str">
            <v>Турукта</v>
          </cell>
        </row>
        <row r="268">
          <cell r="B268">
            <v>98627433101</v>
          </cell>
          <cell r="C268" t="str">
            <v>Муниципальные образования Республики Саха (Якутия)</v>
          </cell>
          <cell r="D268">
            <v>98600000</v>
          </cell>
          <cell r="E268" t="str">
            <v>Муниципальные образования Республики Саха (Якутия)</v>
          </cell>
          <cell r="F268">
            <v>98000000</v>
          </cell>
          <cell r="G268" t="str">
            <v>Ленский муниципальный район</v>
          </cell>
          <cell r="H268">
            <v>98627000</v>
          </cell>
          <cell r="I268" t="str">
            <v>Сельские поселения Ленского муниципального района</v>
          </cell>
          <cell r="J268" t="str">
            <v>Орто-Нахаринский наслег</v>
          </cell>
          <cell r="K268" t="str">
            <v>с</v>
          </cell>
          <cell r="L268" t="str">
            <v>село</v>
          </cell>
          <cell r="M268" t="str">
            <v>Орто-Нахара</v>
          </cell>
        </row>
        <row r="269">
          <cell r="B269">
            <v>98627433106</v>
          </cell>
          <cell r="C269" t="str">
            <v>Муниципальные образования Республики Саха (Якутия)</v>
          </cell>
          <cell r="D269">
            <v>98600000</v>
          </cell>
          <cell r="E269" t="str">
            <v>Муниципальные образования Республики Саха (Якутия)</v>
          </cell>
          <cell r="F269">
            <v>98000000</v>
          </cell>
          <cell r="G269" t="str">
            <v>Ленский муниципальный район</v>
          </cell>
          <cell r="H269">
            <v>98627000</v>
          </cell>
          <cell r="I269" t="str">
            <v>Сельские поселения Ленского муниципального района</v>
          </cell>
          <cell r="J269" t="str">
            <v>Орто-Нахаринский наслег</v>
          </cell>
          <cell r="K269" t="str">
            <v>с</v>
          </cell>
          <cell r="L269" t="str">
            <v>село</v>
          </cell>
          <cell r="M269" t="str">
            <v>Чамча</v>
          </cell>
        </row>
        <row r="270">
          <cell r="B270">
            <v>98627436101</v>
          </cell>
          <cell r="C270" t="str">
            <v>Муниципальные образования Республики Саха (Якутия)</v>
          </cell>
          <cell r="D270">
            <v>98600000</v>
          </cell>
          <cell r="E270" t="str">
            <v>Муниципальные образования Республики Саха (Якутия)</v>
          </cell>
          <cell r="F270">
            <v>98000000</v>
          </cell>
          <cell r="G270" t="str">
            <v>Ленский муниципальный район</v>
          </cell>
          <cell r="H270">
            <v>98627000</v>
          </cell>
          <cell r="I270" t="str">
            <v>Сельские поселения Ленского муниципального района</v>
          </cell>
          <cell r="J270" t="str">
            <v>Салдыкельский наслег</v>
          </cell>
          <cell r="K270" t="str">
            <v>с</v>
          </cell>
          <cell r="L270" t="str">
            <v>село</v>
          </cell>
          <cell r="M270" t="str">
            <v>Мурья</v>
          </cell>
        </row>
        <row r="271">
          <cell r="B271">
            <v>98627436106</v>
          </cell>
          <cell r="C271" t="str">
            <v>Муниципальные образования Республики Саха (Якутия)</v>
          </cell>
          <cell r="D271">
            <v>98600000</v>
          </cell>
          <cell r="E271" t="str">
            <v>Муниципальные образования Республики Саха (Якутия)</v>
          </cell>
          <cell r="F271">
            <v>98000000</v>
          </cell>
          <cell r="G271" t="str">
            <v>Ленский муниципальный район</v>
          </cell>
          <cell r="H271">
            <v>98627000</v>
          </cell>
          <cell r="I271" t="str">
            <v>Сельские поселения Ленского муниципального района</v>
          </cell>
          <cell r="J271" t="str">
            <v>Салдыкельский наслег</v>
          </cell>
          <cell r="K271" t="str">
            <v>с</v>
          </cell>
          <cell r="L271" t="str">
            <v>село</v>
          </cell>
          <cell r="M271" t="str">
            <v>Батамай</v>
          </cell>
        </row>
        <row r="272">
          <cell r="B272">
            <v>98627440101</v>
          </cell>
          <cell r="C272" t="str">
            <v>Муниципальные образования Республики Саха (Якутия)</v>
          </cell>
          <cell r="D272">
            <v>98600000</v>
          </cell>
          <cell r="E272" t="str">
            <v>Муниципальные образования Республики Саха (Якутия)</v>
          </cell>
          <cell r="F272">
            <v>98000000</v>
          </cell>
          <cell r="G272" t="str">
            <v>Ленский муниципальный район</v>
          </cell>
          <cell r="H272">
            <v>98627000</v>
          </cell>
          <cell r="I272" t="str">
            <v>Сельские поселения Ленского муниципального района</v>
          </cell>
          <cell r="J272" t="str">
            <v>Толонский наслег</v>
          </cell>
          <cell r="K272" t="str">
            <v>с</v>
          </cell>
          <cell r="L272" t="str">
            <v>село</v>
          </cell>
          <cell r="M272" t="str">
            <v>Толон</v>
          </cell>
        </row>
        <row r="273">
          <cell r="B273">
            <v>98627440106</v>
          </cell>
          <cell r="C273" t="str">
            <v>Муниципальные образования Республики Саха (Якутия)</v>
          </cell>
          <cell r="D273">
            <v>98600000</v>
          </cell>
          <cell r="E273" t="str">
            <v>Муниципальные образования Республики Саха (Якутия)</v>
          </cell>
          <cell r="F273">
            <v>98000000</v>
          </cell>
          <cell r="G273" t="str">
            <v>Ленский муниципальный район</v>
          </cell>
          <cell r="H273">
            <v>98627000</v>
          </cell>
          <cell r="I273" t="str">
            <v>Сельские поселения Ленского муниципального района</v>
          </cell>
          <cell r="J273" t="str">
            <v>Толонский наслег</v>
          </cell>
          <cell r="K273" t="str">
            <v>с</v>
          </cell>
          <cell r="L273" t="str">
            <v>село</v>
          </cell>
          <cell r="M273" t="str">
            <v>Алысардах</v>
          </cell>
        </row>
        <row r="274">
          <cell r="B274">
            <v>98627440111</v>
          </cell>
          <cell r="C274" t="str">
            <v>Муниципальные образования Республики Саха (Якутия)</v>
          </cell>
          <cell r="D274">
            <v>98600000</v>
          </cell>
          <cell r="E274" t="str">
            <v>Муниципальные образования Республики Саха (Якутия)</v>
          </cell>
          <cell r="F274">
            <v>98000000</v>
          </cell>
          <cell r="G274" t="str">
            <v>Ленский муниципальный район</v>
          </cell>
          <cell r="H274">
            <v>98627000</v>
          </cell>
          <cell r="I274" t="str">
            <v>Сельские поселения Ленского муниципального района</v>
          </cell>
          <cell r="J274" t="str">
            <v>Толонский наслег</v>
          </cell>
          <cell r="K274" t="str">
            <v>с</v>
          </cell>
          <cell r="L274" t="str">
            <v>село</v>
          </cell>
          <cell r="M274" t="str">
            <v>Иннялы</v>
          </cell>
        </row>
        <row r="275">
          <cell r="B275">
            <v>98627449101</v>
          </cell>
          <cell r="C275" t="str">
            <v>Муниципальные образования Республики Саха (Якутия)</v>
          </cell>
          <cell r="D275">
            <v>98600000</v>
          </cell>
          <cell r="E275" t="str">
            <v>Муниципальные образования Республики Саха (Якутия)</v>
          </cell>
          <cell r="F275">
            <v>98000000</v>
          </cell>
          <cell r="G275" t="str">
            <v>Ленский муниципальный район</v>
          </cell>
          <cell r="H275">
            <v>98627000</v>
          </cell>
          <cell r="I275" t="str">
            <v>Сельские поселения Ленского муниципального района</v>
          </cell>
          <cell r="J275" t="str">
            <v>Ярославский наслег</v>
          </cell>
          <cell r="K275" t="str">
            <v>с</v>
          </cell>
          <cell r="L275" t="str">
            <v>село</v>
          </cell>
          <cell r="M275" t="str">
            <v>Ярославский</v>
          </cell>
        </row>
        <row r="276">
          <cell r="B276">
            <v>98627449106</v>
          </cell>
          <cell r="C276" t="str">
            <v>Муниципальные образования Республики Саха (Якутия)</v>
          </cell>
          <cell r="D276">
            <v>98600000</v>
          </cell>
          <cell r="E276" t="str">
            <v>Муниципальные образования Республики Саха (Якутия)</v>
          </cell>
          <cell r="F276">
            <v>98000000</v>
          </cell>
          <cell r="G276" t="str">
            <v>Ленский муниципальный район</v>
          </cell>
          <cell r="H276">
            <v>98627000</v>
          </cell>
          <cell r="I276" t="str">
            <v>Сельские поселения Ленского муниципального района</v>
          </cell>
          <cell r="J276" t="str">
            <v>Ярославский наслег</v>
          </cell>
          <cell r="K276" t="str">
            <v>с</v>
          </cell>
          <cell r="L276" t="str">
            <v>село</v>
          </cell>
          <cell r="M276" t="str">
            <v>Хамра</v>
          </cell>
        </row>
        <row r="277">
          <cell r="B277">
            <v>0</v>
          </cell>
          <cell r="C277" t="str">
            <v>Муниципальные образования Республики Саха (Якутия)</v>
          </cell>
          <cell r="D277">
            <v>98600000</v>
          </cell>
          <cell r="E277" t="str">
            <v>Муниципальные образования Республики Саха (Якутия)</v>
          </cell>
          <cell r="F277">
            <v>98000000</v>
          </cell>
          <cell r="G277" t="str">
            <v>Ленский муниципальный район</v>
          </cell>
          <cell r="H277">
            <v>98627000</v>
          </cell>
          <cell r="I277" t="str">
            <v>Межселенные территории Ленского муниципального района</v>
          </cell>
          <cell r="J277" t="str">
            <v>Межселенная территория Ленского муниципального района, находящаяся вне границ городских и сельских поселений</v>
          </cell>
          <cell r="K277">
            <v>0</v>
          </cell>
          <cell r="L277">
            <v>0</v>
          </cell>
          <cell r="M277">
            <v>0</v>
          </cell>
        </row>
        <row r="278">
          <cell r="B278">
            <v>98629155051</v>
          </cell>
          <cell r="C278" t="str">
            <v>Муниципальные образования Республики Саха (Якутия)</v>
          </cell>
          <cell r="D278">
            <v>98600000</v>
          </cell>
          <cell r="E278" t="str">
            <v>Муниципальные образования Республики Саха (Якутия)</v>
          </cell>
          <cell r="F278">
            <v>98000000</v>
          </cell>
          <cell r="G278" t="str">
            <v>Мегино-Кангаласский муниципальный район</v>
          </cell>
          <cell r="H278">
            <v>98629000</v>
          </cell>
          <cell r="I278" t="str">
            <v>Городские поселения Мегино-Кангаласского муниципального района</v>
          </cell>
          <cell r="J278" t="str">
            <v>поселок Нижний Бестях</v>
          </cell>
          <cell r="K278" t="str">
            <v>п</v>
          </cell>
          <cell r="L278" t="str">
            <v>поселок</v>
          </cell>
          <cell r="M278" t="str">
            <v>Нижний Бестях</v>
          </cell>
        </row>
        <row r="279">
          <cell r="B279">
            <v>98629402101</v>
          </cell>
          <cell r="C279" t="str">
            <v>Муниципальные образования Республики Саха (Якутия)</v>
          </cell>
          <cell r="D279">
            <v>98600000</v>
          </cell>
          <cell r="E279" t="str">
            <v>Муниципальные образования Республики Саха (Якутия)</v>
          </cell>
          <cell r="F279">
            <v>98000000</v>
          </cell>
          <cell r="G279" t="str">
            <v>Мегино-Кангаласский муниципальный район</v>
          </cell>
          <cell r="H279">
            <v>98629000</v>
          </cell>
          <cell r="I279" t="str">
            <v>Сельские поселения Мегино-Кангаласского муниципального района</v>
          </cell>
          <cell r="J279" t="str">
            <v>Алтанский наслег</v>
          </cell>
          <cell r="K279" t="str">
            <v>с</v>
          </cell>
          <cell r="L279" t="str">
            <v>село</v>
          </cell>
          <cell r="M279" t="str">
            <v>Елечёй</v>
          </cell>
        </row>
        <row r="280">
          <cell r="B280">
            <v>98629403101</v>
          </cell>
          <cell r="C280" t="str">
            <v>Муниципальные образования Республики Саха (Якутия)</v>
          </cell>
          <cell r="D280">
            <v>98600000</v>
          </cell>
          <cell r="E280" t="str">
            <v>Муниципальные образования Республики Саха (Якутия)</v>
          </cell>
          <cell r="F280">
            <v>98000000</v>
          </cell>
          <cell r="G280" t="str">
            <v>Мегино-Кангаласский муниципальный район</v>
          </cell>
          <cell r="H280">
            <v>98629000</v>
          </cell>
          <cell r="I280" t="str">
            <v>Сельские поселения Мегино-Кангаласского муниципального района</v>
          </cell>
          <cell r="J280" t="str">
            <v>Арангасский наслег</v>
          </cell>
          <cell r="K280" t="str">
            <v>с</v>
          </cell>
          <cell r="L280" t="str">
            <v>село</v>
          </cell>
          <cell r="M280" t="str">
            <v>Тарат</v>
          </cell>
        </row>
        <row r="281">
          <cell r="B281">
            <v>98629405101</v>
          </cell>
          <cell r="C281" t="str">
            <v>Муниципальные образования Республики Саха (Якутия)</v>
          </cell>
          <cell r="D281">
            <v>98600000</v>
          </cell>
          <cell r="E281" t="str">
            <v>Муниципальные образования Республики Саха (Якутия)</v>
          </cell>
          <cell r="F281">
            <v>98000000</v>
          </cell>
          <cell r="G281" t="str">
            <v>Мегино-Кангаласский муниципальный район</v>
          </cell>
          <cell r="H281">
            <v>98629000</v>
          </cell>
          <cell r="I281" t="str">
            <v>Сельские поселения Мегино-Кангаласского муниципального района</v>
          </cell>
          <cell r="J281" t="str">
            <v>Батаринский наслег</v>
          </cell>
          <cell r="K281" t="str">
            <v>с</v>
          </cell>
          <cell r="L281" t="str">
            <v>село</v>
          </cell>
          <cell r="M281" t="str">
            <v>Сымах</v>
          </cell>
        </row>
        <row r="282">
          <cell r="B282">
            <v>98629406101</v>
          </cell>
          <cell r="C282" t="str">
            <v>Муниципальные образования Республики Саха (Якутия)</v>
          </cell>
          <cell r="D282">
            <v>98600000</v>
          </cell>
          <cell r="E282" t="str">
            <v>Муниципальные образования Республики Саха (Якутия)</v>
          </cell>
          <cell r="F282">
            <v>98000000</v>
          </cell>
          <cell r="G282" t="str">
            <v>Мегино-Кангаласский муниципальный район</v>
          </cell>
          <cell r="H282">
            <v>98629000</v>
          </cell>
          <cell r="I282" t="str">
            <v>Сельские поселения Мегино-Кангаласского муниципального района</v>
          </cell>
          <cell r="J282" t="str">
            <v>Батаринский 1-й наслег</v>
          </cell>
          <cell r="K282" t="str">
            <v>с</v>
          </cell>
          <cell r="L282" t="str">
            <v>село</v>
          </cell>
          <cell r="M282" t="str">
            <v>Бедемё</v>
          </cell>
        </row>
        <row r="283">
          <cell r="B283">
            <v>98629407101</v>
          </cell>
          <cell r="C283" t="str">
            <v>Муниципальные образования Республики Саха (Якутия)</v>
          </cell>
          <cell r="D283">
            <v>98600000</v>
          </cell>
          <cell r="E283" t="str">
            <v>Муниципальные образования Республики Саха (Якутия)</v>
          </cell>
          <cell r="F283">
            <v>98000000</v>
          </cell>
          <cell r="G283" t="str">
            <v>Мегино-Кангаласский муниципальный район</v>
          </cell>
          <cell r="H283">
            <v>98629000</v>
          </cell>
          <cell r="I283" t="str">
            <v>Сельские поселения Мегино-Кангаласского муниципального района</v>
          </cell>
          <cell r="J283" t="str">
            <v>Мегюрёнский наслег</v>
          </cell>
          <cell r="K283" t="str">
            <v>с</v>
          </cell>
          <cell r="L283" t="str">
            <v>село</v>
          </cell>
          <cell r="M283" t="str">
            <v>Матта</v>
          </cell>
        </row>
        <row r="284">
          <cell r="B284">
            <v>98629408101</v>
          </cell>
          <cell r="C284" t="str">
            <v>Муниципальные образования Республики Саха (Якутия)</v>
          </cell>
          <cell r="D284">
            <v>98600000</v>
          </cell>
          <cell r="E284" t="str">
            <v>Муниципальные образования Республики Саха (Якутия)</v>
          </cell>
          <cell r="F284">
            <v>98000000</v>
          </cell>
          <cell r="G284" t="str">
            <v>Мегино-Кангаласский муниципальный район</v>
          </cell>
          <cell r="H284">
            <v>98629000</v>
          </cell>
          <cell r="I284" t="str">
            <v>Сельские поселения Мегино-Кангаласского муниципального района</v>
          </cell>
          <cell r="J284" t="str">
            <v>Жабыльский наслег</v>
          </cell>
          <cell r="K284" t="str">
            <v>с</v>
          </cell>
          <cell r="L284" t="str">
            <v>село</v>
          </cell>
          <cell r="M284" t="str">
            <v>Нуорагана</v>
          </cell>
        </row>
        <row r="285">
          <cell r="B285">
            <v>98629409101</v>
          </cell>
          <cell r="C285" t="str">
            <v>Муниципальные образования Республики Саха (Якутия)</v>
          </cell>
          <cell r="D285">
            <v>98600000</v>
          </cell>
          <cell r="E285" t="str">
            <v>Муниципальные образования Республики Саха (Якутия)</v>
          </cell>
          <cell r="F285">
            <v>98000000</v>
          </cell>
          <cell r="G285" t="str">
            <v>Мегино-Кангаласский муниципальный район</v>
          </cell>
          <cell r="H285">
            <v>98629000</v>
          </cell>
          <cell r="I285" t="str">
            <v>Сельские поселения Мегино-Кангаласского муниципального района</v>
          </cell>
          <cell r="J285" t="str">
            <v>Бютейдяхский наслег</v>
          </cell>
          <cell r="K285" t="str">
            <v>с</v>
          </cell>
          <cell r="L285" t="str">
            <v>село</v>
          </cell>
          <cell r="M285" t="str">
            <v>Бютейдях</v>
          </cell>
        </row>
        <row r="286">
          <cell r="B286">
            <v>98629410101</v>
          </cell>
          <cell r="C286" t="str">
            <v>Муниципальные образования Республики Саха (Якутия)</v>
          </cell>
          <cell r="D286">
            <v>98600000</v>
          </cell>
          <cell r="E286" t="str">
            <v>Муниципальные образования Республики Саха (Якутия)</v>
          </cell>
          <cell r="F286">
            <v>98000000</v>
          </cell>
          <cell r="G286" t="str">
            <v>Мегино-Кангаласский муниципальный район</v>
          </cell>
          <cell r="H286">
            <v>98629000</v>
          </cell>
          <cell r="I286" t="str">
            <v>Сельские поселения Мегино-Кангаласского муниципального района</v>
          </cell>
          <cell r="J286" t="str">
            <v>Жанхадинский наслег</v>
          </cell>
          <cell r="K286" t="str">
            <v>с</v>
          </cell>
          <cell r="L286" t="str">
            <v>село</v>
          </cell>
          <cell r="M286" t="str">
            <v>Тектюр</v>
          </cell>
        </row>
        <row r="287">
          <cell r="B287">
            <v>98629410106</v>
          </cell>
          <cell r="C287" t="str">
            <v>Муниципальные образования Республики Саха (Якутия)</v>
          </cell>
          <cell r="D287">
            <v>98600000</v>
          </cell>
          <cell r="E287" t="str">
            <v>Муниципальные образования Республики Саха (Якутия)</v>
          </cell>
          <cell r="F287">
            <v>98000000</v>
          </cell>
          <cell r="G287" t="str">
            <v>Мегино-Кангаласский муниципальный район</v>
          </cell>
          <cell r="H287">
            <v>98629000</v>
          </cell>
          <cell r="I287" t="str">
            <v>Сельские поселения Мегино-Кангаласского муниципального района</v>
          </cell>
          <cell r="J287" t="str">
            <v>Жанхадинский наслег</v>
          </cell>
          <cell r="K287" t="str">
            <v>с</v>
          </cell>
          <cell r="L287" t="str">
            <v>село</v>
          </cell>
          <cell r="M287" t="str">
            <v>Беджелек</v>
          </cell>
        </row>
        <row r="288">
          <cell r="B288">
            <v>98629411101</v>
          </cell>
          <cell r="C288" t="str">
            <v>Муниципальные образования Республики Саха (Якутия)</v>
          </cell>
          <cell r="D288">
            <v>98600000</v>
          </cell>
          <cell r="E288" t="str">
            <v>Муниципальные образования Республики Саха (Якутия)</v>
          </cell>
          <cell r="F288">
            <v>98000000</v>
          </cell>
          <cell r="G288" t="str">
            <v>Мегино-Кангаласский муниципальный район</v>
          </cell>
          <cell r="H288">
            <v>98629000</v>
          </cell>
          <cell r="I288" t="str">
            <v>Сельские поселения Мегино-Кангаласского муниципального района</v>
          </cell>
          <cell r="J288" t="str">
            <v>Доллунский наслег</v>
          </cell>
          <cell r="K288" t="str">
            <v>с</v>
          </cell>
          <cell r="L288" t="str">
            <v>село</v>
          </cell>
          <cell r="M288" t="str">
            <v>Тумул</v>
          </cell>
        </row>
        <row r="289">
          <cell r="B289">
            <v>98629413101</v>
          </cell>
          <cell r="C289" t="str">
            <v>Муниципальные образования Республики Саха (Якутия)</v>
          </cell>
          <cell r="D289">
            <v>98600000</v>
          </cell>
          <cell r="E289" t="str">
            <v>Муниципальные образования Республики Саха (Якутия)</v>
          </cell>
          <cell r="F289">
            <v>98000000</v>
          </cell>
          <cell r="G289" t="str">
            <v>Мегино-Кангаласский муниципальный район</v>
          </cell>
          <cell r="H289">
            <v>98629000</v>
          </cell>
          <cell r="I289" t="str">
            <v>Сельские поселения Мегино-Кангаласского муниципального района</v>
          </cell>
          <cell r="J289" t="str">
            <v>Дойдунский наслег</v>
          </cell>
          <cell r="K289" t="str">
            <v>с</v>
          </cell>
          <cell r="L289" t="str">
            <v>село</v>
          </cell>
          <cell r="M289" t="str">
            <v>Хапчагай</v>
          </cell>
        </row>
        <row r="290">
          <cell r="B290">
            <v>98629413106</v>
          </cell>
          <cell r="C290" t="str">
            <v>Муниципальные образования Республики Саха (Якутия)</v>
          </cell>
          <cell r="D290">
            <v>98600000</v>
          </cell>
          <cell r="E290" t="str">
            <v>Муниципальные образования Республики Саха (Якутия)</v>
          </cell>
          <cell r="F290">
            <v>98000000</v>
          </cell>
          <cell r="G290" t="str">
            <v>Мегино-Кангаласский муниципальный район</v>
          </cell>
          <cell r="H290">
            <v>98629000</v>
          </cell>
          <cell r="I290" t="str">
            <v>Сельские поселения Мегино-Кангаласского муниципального района</v>
          </cell>
          <cell r="J290" t="str">
            <v>Дойдунский наслег</v>
          </cell>
          <cell r="K290" t="str">
            <v>с</v>
          </cell>
          <cell r="L290" t="str">
            <v>село</v>
          </cell>
          <cell r="M290" t="str">
            <v>Кердюген</v>
          </cell>
        </row>
        <row r="291">
          <cell r="B291">
            <v>98629415101</v>
          </cell>
          <cell r="C291" t="str">
            <v>Муниципальные образования Республики Саха (Якутия)</v>
          </cell>
          <cell r="D291">
            <v>98600000</v>
          </cell>
          <cell r="E291" t="str">
            <v>Муниципальные образования Республики Саха (Якутия)</v>
          </cell>
          <cell r="F291">
            <v>98000000</v>
          </cell>
          <cell r="G291" t="str">
            <v>Мегино-Кангаласский муниципальный район</v>
          </cell>
          <cell r="H291">
            <v>98629000</v>
          </cell>
          <cell r="I291" t="str">
            <v>Сельские поселения Мегино-Кангаласского муниципального района</v>
          </cell>
          <cell r="J291" t="str">
            <v>село Майя</v>
          </cell>
          <cell r="K291" t="str">
            <v>с</v>
          </cell>
          <cell r="L291" t="str">
            <v>село</v>
          </cell>
          <cell r="M291" t="str">
            <v>Майя</v>
          </cell>
        </row>
        <row r="292">
          <cell r="B292">
            <v>98629420101</v>
          </cell>
          <cell r="C292" t="str">
            <v>Муниципальные образования Республики Саха (Якутия)</v>
          </cell>
          <cell r="D292">
            <v>98600000</v>
          </cell>
          <cell r="E292" t="str">
            <v>Муниципальные образования Республики Саха (Якутия)</v>
          </cell>
          <cell r="F292">
            <v>98000000</v>
          </cell>
          <cell r="G292" t="str">
            <v>Мегино-Кангаласский муниципальный район</v>
          </cell>
          <cell r="H292">
            <v>98629000</v>
          </cell>
          <cell r="I292" t="str">
            <v>Сельские поселения Мегино-Кангаласского муниципального района</v>
          </cell>
          <cell r="J292" t="str">
            <v>Мегинский наслег</v>
          </cell>
          <cell r="K292" t="str">
            <v>с</v>
          </cell>
          <cell r="L292" t="str">
            <v>село</v>
          </cell>
          <cell r="M292" t="str">
            <v>Балыктах</v>
          </cell>
        </row>
        <row r="293">
          <cell r="B293">
            <v>98629425101</v>
          </cell>
          <cell r="C293" t="str">
            <v>Муниципальные образования Республики Саха (Якутия)</v>
          </cell>
          <cell r="D293">
            <v>98600000</v>
          </cell>
          <cell r="E293" t="str">
            <v>Муниципальные образования Республики Саха (Якутия)</v>
          </cell>
          <cell r="F293">
            <v>98000000</v>
          </cell>
          <cell r="G293" t="str">
            <v>Мегино-Кангаласский муниципальный район</v>
          </cell>
          <cell r="H293">
            <v>98629000</v>
          </cell>
          <cell r="I293" t="str">
            <v>Сельские поселения Мегино-Кангаласского муниципального района</v>
          </cell>
          <cell r="J293" t="str">
            <v>Догдогинский наслег</v>
          </cell>
          <cell r="K293" t="str">
            <v>с</v>
          </cell>
          <cell r="L293" t="str">
            <v>село</v>
          </cell>
          <cell r="M293" t="str">
            <v>Бёкё</v>
          </cell>
        </row>
        <row r="294">
          <cell r="B294">
            <v>98629425106</v>
          </cell>
          <cell r="C294" t="str">
            <v>Муниципальные образования Республики Саха (Якутия)</v>
          </cell>
          <cell r="D294">
            <v>98600000</v>
          </cell>
          <cell r="E294" t="str">
            <v>Муниципальные образования Республики Саха (Якутия)</v>
          </cell>
          <cell r="F294">
            <v>98000000</v>
          </cell>
          <cell r="G294" t="str">
            <v>Мегино-Кангаласский муниципальный район</v>
          </cell>
          <cell r="H294">
            <v>98629000</v>
          </cell>
          <cell r="I294" t="str">
            <v>Сельские поселения Мегино-Кангаласского муниципального района</v>
          </cell>
          <cell r="J294" t="str">
            <v>Догдогинский наслег</v>
          </cell>
          <cell r="K294" t="str">
            <v>с</v>
          </cell>
          <cell r="L294" t="str">
            <v>село</v>
          </cell>
          <cell r="M294" t="str">
            <v>Сото</v>
          </cell>
        </row>
        <row r="295">
          <cell r="B295">
            <v>98629429101</v>
          </cell>
          <cell r="C295" t="str">
            <v>Муниципальные образования Республики Саха (Якутия)</v>
          </cell>
          <cell r="D295">
            <v>98600000</v>
          </cell>
          <cell r="E295" t="str">
            <v>Муниципальные образования Республики Саха (Якутия)</v>
          </cell>
          <cell r="F295">
            <v>98000000</v>
          </cell>
          <cell r="G295" t="str">
            <v>Мегино-Кангаласский муниципальный район</v>
          </cell>
          <cell r="H295">
            <v>98629000</v>
          </cell>
          <cell r="I295" t="str">
            <v>Сельские поселения Мегино-Кангаласского муниципального района</v>
          </cell>
          <cell r="J295" t="str">
            <v>Мельжехсинский наслег</v>
          </cell>
          <cell r="K295" t="str">
            <v>с</v>
          </cell>
          <cell r="L295" t="str">
            <v>село</v>
          </cell>
          <cell r="M295" t="str">
            <v>Суола</v>
          </cell>
        </row>
        <row r="296">
          <cell r="B296">
            <v>98629430101</v>
          </cell>
          <cell r="C296" t="str">
            <v>Муниципальные образования Республики Саха (Якутия)</v>
          </cell>
          <cell r="D296">
            <v>98600000</v>
          </cell>
          <cell r="E296" t="str">
            <v>Муниципальные образования Республики Саха (Якутия)</v>
          </cell>
          <cell r="F296">
            <v>98000000</v>
          </cell>
          <cell r="G296" t="str">
            <v>Мегино-Кангаласский муниципальный район</v>
          </cell>
          <cell r="H296">
            <v>98629000</v>
          </cell>
          <cell r="I296" t="str">
            <v>Сельские поселения Мегино-Кангаласского муниципального района</v>
          </cell>
          <cell r="J296" t="str">
            <v>Хоробутский наслег</v>
          </cell>
          <cell r="K296" t="str">
            <v>с</v>
          </cell>
          <cell r="L296" t="str">
            <v>село</v>
          </cell>
          <cell r="M296" t="str">
            <v>Хоробут</v>
          </cell>
        </row>
        <row r="297">
          <cell r="B297">
            <v>98629430106</v>
          </cell>
          <cell r="C297" t="str">
            <v>Муниципальные образования Республики Саха (Якутия)</v>
          </cell>
          <cell r="D297">
            <v>98600000</v>
          </cell>
          <cell r="E297" t="str">
            <v>Муниципальные образования Республики Саха (Якутия)</v>
          </cell>
          <cell r="F297">
            <v>98000000</v>
          </cell>
          <cell r="G297" t="str">
            <v>Мегино-Кангаласский муниципальный район</v>
          </cell>
          <cell r="H297">
            <v>98629000</v>
          </cell>
          <cell r="I297" t="str">
            <v>Сельские поселения Мегино-Кангаласского муниципального района</v>
          </cell>
          <cell r="J297" t="str">
            <v>Хоробутский наслег</v>
          </cell>
          <cell r="K297" t="str">
            <v>с</v>
          </cell>
          <cell r="L297" t="str">
            <v>село</v>
          </cell>
          <cell r="M297" t="str">
            <v>Харба-Атах</v>
          </cell>
        </row>
        <row r="298">
          <cell r="B298">
            <v>98629436101</v>
          </cell>
          <cell r="C298" t="str">
            <v>Муниципальные образования Республики Саха (Якутия)</v>
          </cell>
          <cell r="D298">
            <v>98600000</v>
          </cell>
          <cell r="E298" t="str">
            <v>Муниципальные образования Республики Саха (Якутия)</v>
          </cell>
          <cell r="F298">
            <v>98000000</v>
          </cell>
          <cell r="G298" t="str">
            <v>Мегино-Кангаласский муниципальный район</v>
          </cell>
          <cell r="H298">
            <v>98629000</v>
          </cell>
          <cell r="I298" t="str">
            <v>Сельские поселения Мегино-Кангаласского муниципального района</v>
          </cell>
          <cell r="J298" t="str">
            <v>Морукский наслег</v>
          </cell>
          <cell r="K298" t="str">
            <v>с</v>
          </cell>
          <cell r="L298" t="str">
            <v>село</v>
          </cell>
          <cell r="M298" t="str">
            <v>Суола</v>
          </cell>
        </row>
        <row r="299">
          <cell r="B299">
            <v>98629440101</v>
          </cell>
          <cell r="C299" t="str">
            <v>Муниципальные образования Республики Саха (Якутия)</v>
          </cell>
          <cell r="D299">
            <v>98600000</v>
          </cell>
          <cell r="E299" t="str">
            <v>Муниципальные образования Республики Саха (Якутия)</v>
          </cell>
          <cell r="F299">
            <v>98000000</v>
          </cell>
          <cell r="G299" t="str">
            <v>Мегино-Кангаласский муниципальный район</v>
          </cell>
          <cell r="H299">
            <v>98629000</v>
          </cell>
          <cell r="I299" t="str">
            <v>Сельские поселения Мегино-Кангаласского муниципального района</v>
          </cell>
          <cell r="J299" t="str">
            <v>Нахаринский 2-й наслег</v>
          </cell>
          <cell r="K299" t="str">
            <v>с</v>
          </cell>
          <cell r="L299" t="str">
            <v>село</v>
          </cell>
          <cell r="M299" t="str">
            <v>Хочо</v>
          </cell>
        </row>
        <row r="300">
          <cell r="B300">
            <v>98629445101</v>
          </cell>
          <cell r="C300" t="str">
            <v>Муниципальные образования Республики Саха (Якутия)</v>
          </cell>
          <cell r="D300">
            <v>98600000</v>
          </cell>
          <cell r="E300" t="str">
            <v>Муниципальные образования Республики Саха (Якутия)</v>
          </cell>
          <cell r="F300">
            <v>98000000</v>
          </cell>
          <cell r="G300" t="str">
            <v>Мегино-Кангаласский муниципальный район</v>
          </cell>
          <cell r="H300">
            <v>98629000</v>
          </cell>
          <cell r="I300" t="str">
            <v>Сельские поселения Мегино-Кангаласского муниципального района</v>
          </cell>
          <cell r="J300" t="str">
            <v>Нерюктяйинский наслег</v>
          </cell>
          <cell r="K300" t="str">
            <v>с</v>
          </cell>
          <cell r="L300" t="str">
            <v>село</v>
          </cell>
          <cell r="M300" t="str">
            <v>Павловск</v>
          </cell>
        </row>
        <row r="301">
          <cell r="B301">
            <v>98629445106</v>
          </cell>
          <cell r="C301" t="str">
            <v>Муниципальные образования Республики Саха (Якутия)</v>
          </cell>
          <cell r="D301">
            <v>98600000</v>
          </cell>
          <cell r="E301" t="str">
            <v>Муниципальные образования Республики Саха (Якутия)</v>
          </cell>
          <cell r="F301">
            <v>98000000</v>
          </cell>
          <cell r="G301" t="str">
            <v>Мегино-Кангаласский муниципальный район</v>
          </cell>
          <cell r="H301">
            <v>98629000</v>
          </cell>
          <cell r="I301" t="str">
            <v>Сельские поселения Мегино-Кангаласского муниципального района</v>
          </cell>
          <cell r="J301" t="str">
            <v>Нерюктяйинский наслег</v>
          </cell>
          <cell r="K301" t="str">
            <v>с</v>
          </cell>
          <cell r="L301" t="str">
            <v>село</v>
          </cell>
          <cell r="M301" t="str">
            <v>Хомустах</v>
          </cell>
        </row>
        <row r="302">
          <cell r="B302">
            <v>98629447101</v>
          </cell>
          <cell r="C302" t="str">
            <v>Муниципальные образования Республики Саха (Якутия)</v>
          </cell>
          <cell r="D302">
            <v>98600000</v>
          </cell>
          <cell r="E302" t="str">
            <v>Муниципальные образования Республики Саха (Якутия)</v>
          </cell>
          <cell r="F302">
            <v>98000000</v>
          </cell>
          <cell r="G302" t="str">
            <v>Мегино-Кангаласский муниципальный район</v>
          </cell>
          <cell r="H302">
            <v>98629000</v>
          </cell>
          <cell r="I302" t="str">
            <v>Сельские поселения Мегино-Кангаласского муниципального района</v>
          </cell>
          <cell r="J302" t="str">
            <v>Рассолодинский наслег</v>
          </cell>
          <cell r="K302" t="str">
            <v>с</v>
          </cell>
          <cell r="L302" t="str">
            <v>село</v>
          </cell>
          <cell r="M302" t="str">
            <v>Рассолода</v>
          </cell>
        </row>
        <row r="303">
          <cell r="B303">
            <v>98629448101</v>
          </cell>
          <cell r="C303" t="str">
            <v>Муниципальные образования Республики Саха (Якутия)</v>
          </cell>
          <cell r="D303">
            <v>98600000</v>
          </cell>
          <cell r="E303" t="str">
            <v>Муниципальные образования Республики Саха (Якутия)</v>
          </cell>
          <cell r="F303">
            <v>98000000</v>
          </cell>
          <cell r="G303" t="str">
            <v>Мегино-Кангаласский муниципальный район</v>
          </cell>
          <cell r="H303">
            <v>98629000</v>
          </cell>
          <cell r="I303" t="str">
            <v>Сельские поселения Мегино-Кангаласского муниципального района</v>
          </cell>
          <cell r="J303" t="str">
            <v>Тарагайский наслег</v>
          </cell>
          <cell r="K303" t="str">
            <v>с</v>
          </cell>
          <cell r="L303" t="str">
            <v>село</v>
          </cell>
          <cell r="M303" t="str">
            <v>Табага</v>
          </cell>
        </row>
        <row r="304">
          <cell r="B304">
            <v>98629449101</v>
          </cell>
          <cell r="C304" t="str">
            <v>Муниципальные образования Республики Саха (Якутия)</v>
          </cell>
          <cell r="D304">
            <v>98600000</v>
          </cell>
          <cell r="E304" t="str">
            <v>Муниципальные образования Республики Саха (Якутия)</v>
          </cell>
          <cell r="F304">
            <v>98000000</v>
          </cell>
          <cell r="G304" t="str">
            <v>Мегино-Кангаласский муниципальный район</v>
          </cell>
          <cell r="H304">
            <v>98629000</v>
          </cell>
          <cell r="I304" t="str">
            <v>Сельские поселения Мегино-Кангаласского муниципального района</v>
          </cell>
          <cell r="J304" t="str">
            <v>Нахаринский 1-й наслег</v>
          </cell>
          <cell r="K304" t="str">
            <v>с</v>
          </cell>
          <cell r="L304" t="str">
            <v>село</v>
          </cell>
          <cell r="M304" t="str">
            <v>Телиги</v>
          </cell>
        </row>
        <row r="305">
          <cell r="B305">
            <v>98629450101</v>
          </cell>
          <cell r="C305" t="str">
            <v>Муниципальные образования Республики Саха (Якутия)</v>
          </cell>
          <cell r="D305">
            <v>98600000</v>
          </cell>
          <cell r="E305" t="str">
            <v>Муниципальные образования Республики Саха (Якутия)</v>
          </cell>
          <cell r="F305">
            <v>98000000</v>
          </cell>
          <cell r="G305" t="str">
            <v>Мегино-Кангаласский муниципальный район</v>
          </cell>
          <cell r="H305">
            <v>98629000</v>
          </cell>
          <cell r="I305" t="str">
            <v>Сельские поселения Мегино-Кангаласского муниципального района</v>
          </cell>
          <cell r="J305" t="str">
            <v>Тыллыминский 1-й наслег</v>
          </cell>
          <cell r="K305" t="str">
            <v>с</v>
          </cell>
          <cell r="L305" t="str">
            <v>село</v>
          </cell>
          <cell r="M305" t="str">
            <v>Ломтука</v>
          </cell>
        </row>
        <row r="306">
          <cell r="B306">
            <v>98629451101</v>
          </cell>
          <cell r="C306" t="str">
            <v>Муниципальные образования Республики Саха (Якутия)</v>
          </cell>
          <cell r="D306">
            <v>98600000</v>
          </cell>
          <cell r="E306" t="str">
            <v>Муниципальные образования Республики Саха (Якутия)</v>
          </cell>
          <cell r="F306">
            <v>98000000</v>
          </cell>
          <cell r="G306" t="str">
            <v>Мегино-Кангаласский муниципальный район</v>
          </cell>
          <cell r="H306">
            <v>98629000</v>
          </cell>
          <cell r="I306" t="str">
            <v>Сельские поселения Мегино-Кангаласского муниципального района</v>
          </cell>
          <cell r="J306" t="str">
            <v>Мельжехсинский 3-й наслег</v>
          </cell>
          <cell r="K306" t="str">
            <v>с</v>
          </cell>
          <cell r="L306" t="str">
            <v>село</v>
          </cell>
          <cell r="M306" t="str">
            <v>Томтор</v>
          </cell>
        </row>
        <row r="307">
          <cell r="B307">
            <v>98629452101</v>
          </cell>
          <cell r="C307" t="str">
            <v>Муниципальные образования Республики Саха (Якутия)</v>
          </cell>
          <cell r="D307">
            <v>98600000</v>
          </cell>
          <cell r="E307" t="str">
            <v>Муниципальные образования Республики Саха (Якутия)</v>
          </cell>
          <cell r="F307">
            <v>98000000</v>
          </cell>
          <cell r="G307" t="str">
            <v>Мегино-Кангаласский муниципальный район</v>
          </cell>
          <cell r="H307">
            <v>98629000</v>
          </cell>
          <cell r="I307" t="str">
            <v>Сельские поселения Мегино-Кангаласского муниципального района</v>
          </cell>
          <cell r="J307" t="str">
            <v>Тыллыминский 2-й наслег</v>
          </cell>
          <cell r="K307" t="str">
            <v>с</v>
          </cell>
          <cell r="L307" t="str">
            <v>село</v>
          </cell>
          <cell r="M307" t="str">
            <v>Хатылыма</v>
          </cell>
        </row>
        <row r="308">
          <cell r="B308">
            <v>98629455101</v>
          </cell>
          <cell r="C308" t="str">
            <v>Муниципальные образования Республики Саха (Якутия)</v>
          </cell>
          <cell r="D308">
            <v>98600000</v>
          </cell>
          <cell r="E308" t="str">
            <v>Муниципальные образования Республики Саха (Якутия)</v>
          </cell>
          <cell r="F308">
            <v>98000000</v>
          </cell>
          <cell r="G308" t="str">
            <v>Мегино-Кангаласский муниципальный район</v>
          </cell>
          <cell r="H308">
            <v>98629000</v>
          </cell>
          <cell r="I308" t="str">
            <v>Сельские поселения Мегино-Кангаласского муниципального района</v>
          </cell>
          <cell r="J308" t="str">
            <v>Тюнгюлюнский наслег</v>
          </cell>
          <cell r="K308" t="str">
            <v>с</v>
          </cell>
          <cell r="L308" t="str">
            <v>село</v>
          </cell>
          <cell r="M308" t="str">
            <v>Тюнгюлю</v>
          </cell>
        </row>
        <row r="309">
          <cell r="B309">
            <v>98629460101</v>
          </cell>
          <cell r="C309" t="str">
            <v>Муниципальные образования Республики Саха (Якутия)</v>
          </cell>
          <cell r="D309">
            <v>98600000</v>
          </cell>
          <cell r="E309" t="str">
            <v>Муниципальные образования Республики Саха (Якутия)</v>
          </cell>
          <cell r="F309">
            <v>98000000</v>
          </cell>
          <cell r="G309" t="str">
            <v>Мегино-Кангаласский муниципальный район</v>
          </cell>
          <cell r="H309">
            <v>98629000</v>
          </cell>
          <cell r="I309" t="str">
            <v>Сельские поселения Мегино-Кангаласского муниципального района</v>
          </cell>
          <cell r="J309" t="str">
            <v>Хаптагайский наслег</v>
          </cell>
          <cell r="K309" t="str">
            <v>с</v>
          </cell>
          <cell r="L309" t="str">
            <v>село</v>
          </cell>
          <cell r="M309" t="str">
            <v>Хаптагай</v>
          </cell>
        </row>
        <row r="310">
          <cell r="B310">
            <v>98629462101</v>
          </cell>
          <cell r="C310" t="str">
            <v>Муниципальные образования Республики Саха (Якутия)</v>
          </cell>
          <cell r="D310">
            <v>98600000</v>
          </cell>
          <cell r="E310" t="str">
            <v>Муниципальные образования Республики Саха (Якутия)</v>
          </cell>
          <cell r="F310">
            <v>98000000</v>
          </cell>
          <cell r="G310" t="str">
            <v>Мегино-Кангаласский муниципальный район</v>
          </cell>
          <cell r="H310">
            <v>98629000</v>
          </cell>
          <cell r="I310" t="str">
            <v>Сельские поселения Мегино-Кангаласского муниципального района</v>
          </cell>
          <cell r="J310" t="str">
            <v>Харанский наслег</v>
          </cell>
          <cell r="K310" t="str">
            <v>с</v>
          </cell>
          <cell r="L310" t="str">
            <v>село</v>
          </cell>
          <cell r="M310" t="str">
            <v>Петровка</v>
          </cell>
        </row>
        <row r="311">
          <cell r="B311">
            <v>98629463101</v>
          </cell>
          <cell r="C311" t="str">
            <v>Муниципальные образования Республики Саха (Якутия)</v>
          </cell>
          <cell r="D311">
            <v>98600000</v>
          </cell>
          <cell r="E311" t="str">
            <v>Муниципальные образования Республики Саха (Якутия)</v>
          </cell>
          <cell r="F311">
            <v>98000000</v>
          </cell>
          <cell r="G311" t="str">
            <v>Мегино-Кангаласский муниципальный район</v>
          </cell>
          <cell r="H311">
            <v>98629000</v>
          </cell>
          <cell r="I311" t="str">
            <v>Сельские поселения Мегино-Кангаласского муниципального района</v>
          </cell>
          <cell r="J311" t="str">
            <v>Ходоринский наслег</v>
          </cell>
          <cell r="K311" t="str">
            <v>с</v>
          </cell>
          <cell r="L311" t="str">
            <v>село</v>
          </cell>
          <cell r="M311" t="str">
            <v>Чюйя</v>
          </cell>
        </row>
        <row r="312">
          <cell r="B312">
            <v>98629464101</v>
          </cell>
          <cell r="C312" t="str">
            <v>Муниципальные образования Республики Саха (Якутия)</v>
          </cell>
          <cell r="D312">
            <v>98600000</v>
          </cell>
          <cell r="E312" t="str">
            <v>Муниципальные образования Республики Саха (Якутия)</v>
          </cell>
          <cell r="F312">
            <v>98000000</v>
          </cell>
          <cell r="G312" t="str">
            <v>Мегино-Кангаласский муниципальный район</v>
          </cell>
          <cell r="H312">
            <v>98629000</v>
          </cell>
          <cell r="I312" t="str">
            <v>Сельские поселения Мегино-Кангаласского муниципального района</v>
          </cell>
          <cell r="J312" t="str">
            <v>Холгуминский наслег</v>
          </cell>
          <cell r="K312" t="str">
            <v>с</v>
          </cell>
          <cell r="L312" t="str">
            <v>село</v>
          </cell>
          <cell r="M312" t="str">
            <v>Бырама</v>
          </cell>
        </row>
        <row r="313">
          <cell r="B313">
            <v>98629465101</v>
          </cell>
          <cell r="C313" t="str">
            <v>Муниципальные образования Республики Саха (Якутия)</v>
          </cell>
          <cell r="D313">
            <v>98600000</v>
          </cell>
          <cell r="E313" t="str">
            <v>Муниципальные образования Республики Саха (Якутия)</v>
          </cell>
          <cell r="F313">
            <v>98000000</v>
          </cell>
          <cell r="G313" t="str">
            <v>Мегино-Кангаласский муниципальный район</v>
          </cell>
          <cell r="H313">
            <v>98629000</v>
          </cell>
          <cell r="I313" t="str">
            <v>Сельские поселения Мегино-Кангаласского муниципального района</v>
          </cell>
          <cell r="J313" t="str">
            <v>Чыамайыкинский наслег</v>
          </cell>
          <cell r="K313" t="str">
            <v>с</v>
          </cell>
          <cell r="L313" t="str">
            <v>село</v>
          </cell>
          <cell r="M313" t="str">
            <v>Даркылах</v>
          </cell>
        </row>
        <row r="314">
          <cell r="B314">
            <v>98631101001</v>
          </cell>
          <cell r="C314" t="str">
            <v>Муниципальные образования Республики Саха (Якутия)</v>
          </cell>
          <cell r="D314">
            <v>98600000</v>
          </cell>
          <cell r="E314" t="str">
            <v>Муниципальные образования Республики Саха (Якутия)</v>
          </cell>
          <cell r="F314">
            <v>98000000</v>
          </cell>
          <cell r="G314" t="str">
            <v>Мирнинский муниципальный район</v>
          </cell>
          <cell r="H314">
            <v>98631000</v>
          </cell>
          <cell r="I314" t="str">
            <v>Городские поселения Мирнинского муниципального района</v>
          </cell>
          <cell r="J314" t="str">
            <v>город Мирный</v>
          </cell>
          <cell r="K314" t="str">
            <v>г</v>
          </cell>
          <cell r="L314" t="str">
            <v>город</v>
          </cell>
          <cell r="M314" t="str">
            <v>Мирный</v>
          </cell>
        </row>
        <row r="315">
          <cell r="B315">
            <v>98631101106</v>
          </cell>
          <cell r="C315" t="str">
            <v>Муниципальные образования Республики Саха (Якутия)</v>
          </cell>
          <cell r="D315">
            <v>98600000</v>
          </cell>
          <cell r="E315" t="str">
            <v>Муниципальные образования Республики Саха (Якутия)</v>
          </cell>
          <cell r="F315">
            <v>98000000</v>
          </cell>
          <cell r="G315" t="str">
            <v>Мирнинский муниципальный район</v>
          </cell>
          <cell r="H315">
            <v>98631000</v>
          </cell>
          <cell r="I315" t="str">
            <v>Городские поселения Мирнинского муниципального района</v>
          </cell>
          <cell r="J315" t="str">
            <v>город Мирный</v>
          </cell>
          <cell r="K315" t="str">
            <v>с</v>
          </cell>
          <cell r="L315" t="str">
            <v>село</v>
          </cell>
          <cell r="M315" t="str">
            <v>Березовка</v>
          </cell>
        </row>
        <row r="316">
          <cell r="B316">
            <v>98631109001</v>
          </cell>
          <cell r="C316" t="str">
            <v>Муниципальные образования Республики Саха (Якутия)</v>
          </cell>
          <cell r="D316">
            <v>98600000</v>
          </cell>
          <cell r="E316" t="str">
            <v>Муниципальные образования Республики Саха (Якутия)</v>
          </cell>
          <cell r="F316">
            <v>98000000</v>
          </cell>
          <cell r="G316" t="str">
            <v>Мирнинский муниципальный район</v>
          </cell>
          <cell r="H316">
            <v>98631000</v>
          </cell>
          <cell r="I316" t="str">
            <v>Городские поселения Мирнинского муниципального района</v>
          </cell>
          <cell r="J316" t="str">
            <v>город Удачный</v>
          </cell>
          <cell r="K316" t="str">
            <v>г</v>
          </cell>
          <cell r="L316" t="str">
            <v>город</v>
          </cell>
          <cell r="M316" t="str">
            <v>Удачный</v>
          </cell>
        </row>
        <row r="317">
          <cell r="B317">
            <v>98631109106</v>
          </cell>
          <cell r="C317" t="str">
            <v>Муниципальные образования Республики Саха (Якутия)</v>
          </cell>
          <cell r="D317">
            <v>98600000</v>
          </cell>
          <cell r="E317" t="str">
            <v>Муниципальные образования Республики Саха (Якутия)</v>
          </cell>
          <cell r="F317">
            <v>98000000</v>
          </cell>
          <cell r="G317" t="str">
            <v>Мирнинский муниципальный район</v>
          </cell>
          <cell r="H317">
            <v>98631000</v>
          </cell>
          <cell r="I317" t="str">
            <v>Городские поселения Мирнинского муниципального района</v>
          </cell>
          <cell r="J317" t="str">
            <v>город Удачный</v>
          </cell>
          <cell r="K317" t="str">
            <v>с</v>
          </cell>
          <cell r="L317" t="str">
            <v>село</v>
          </cell>
          <cell r="M317" t="str">
            <v>Полярный</v>
          </cell>
        </row>
        <row r="318">
          <cell r="B318">
            <v>98631152051</v>
          </cell>
          <cell r="C318" t="str">
            <v>Муниципальные образования Республики Саха (Якутия)</v>
          </cell>
          <cell r="D318">
            <v>98600000</v>
          </cell>
          <cell r="E318" t="str">
            <v>Муниципальные образования Республики Саха (Якутия)</v>
          </cell>
          <cell r="F318">
            <v>98000000</v>
          </cell>
          <cell r="G318" t="str">
            <v>Мирнинский муниципальный район</v>
          </cell>
          <cell r="H318">
            <v>98631000</v>
          </cell>
          <cell r="I318" t="str">
            <v>Городские поселения Мирнинского муниципального района</v>
          </cell>
          <cell r="J318" t="str">
            <v>поселок Айхал</v>
          </cell>
          <cell r="K318" t="str">
            <v>п</v>
          </cell>
          <cell r="L318" t="str">
            <v>поселок</v>
          </cell>
          <cell r="M318" t="str">
            <v>Айхал</v>
          </cell>
        </row>
        <row r="319">
          <cell r="B319">
            <v>98631152106</v>
          </cell>
          <cell r="C319" t="str">
            <v>Муниципальные образования Республики Саха (Якутия)</v>
          </cell>
          <cell r="D319">
            <v>98600000</v>
          </cell>
          <cell r="E319" t="str">
            <v>Муниципальные образования Республики Саха (Якутия)</v>
          </cell>
          <cell r="F319">
            <v>98000000</v>
          </cell>
          <cell r="G319" t="str">
            <v>Мирнинский муниципальный район</v>
          </cell>
          <cell r="H319">
            <v>98631000</v>
          </cell>
          <cell r="I319" t="str">
            <v>Городские поселения Мирнинского муниципального района</v>
          </cell>
          <cell r="J319" t="str">
            <v>поселок Айхал</v>
          </cell>
          <cell r="K319" t="str">
            <v>с</v>
          </cell>
          <cell r="L319" t="str">
            <v>село</v>
          </cell>
          <cell r="M319" t="str">
            <v>Моркока</v>
          </cell>
        </row>
        <row r="320">
          <cell r="B320">
            <v>98631155051</v>
          </cell>
          <cell r="C320" t="str">
            <v>Муниципальные образования Республики Саха (Якутия)</v>
          </cell>
          <cell r="D320">
            <v>98600000</v>
          </cell>
          <cell r="E320" t="str">
            <v>Муниципальные образования Республики Саха (Якутия)</v>
          </cell>
          <cell r="F320">
            <v>98000000</v>
          </cell>
          <cell r="G320" t="str">
            <v>Мирнинский муниципальный район</v>
          </cell>
          <cell r="H320">
            <v>98631000</v>
          </cell>
          <cell r="I320" t="str">
            <v>Городские поселения Мирнинского муниципального района</v>
          </cell>
          <cell r="J320" t="str">
            <v>поселок Алмазный</v>
          </cell>
          <cell r="K320" t="str">
            <v>п</v>
          </cell>
          <cell r="L320" t="str">
            <v>поселок</v>
          </cell>
          <cell r="M320" t="str">
            <v>Алмазный</v>
          </cell>
        </row>
        <row r="321">
          <cell r="B321">
            <v>98631155111</v>
          </cell>
          <cell r="C321" t="str">
            <v>Муниципальные образования Республики Саха (Якутия)</v>
          </cell>
          <cell r="D321">
            <v>98600000</v>
          </cell>
          <cell r="E321" t="str">
            <v>Муниципальные образования Республики Саха (Якутия)</v>
          </cell>
          <cell r="F321">
            <v>98000000</v>
          </cell>
          <cell r="G321" t="str">
            <v>Мирнинский муниципальный район</v>
          </cell>
          <cell r="H321">
            <v>98631000</v>
          </cell>
          <cell r="I321" t="str">
            <v>Городские поселения Мирнинского муниципального района</v>
          </cell>
          <cell r="J321" t="str">
            <v>поселок Алмазный</v>
          </cell>
          <cell r="K321" t="str">
            <v>с</v>
          </cell>
          <cell r="L321" t="str">
            <v>село</v>
          </cell>
          <cell r="M321" t="str">
            <v>Новый</v>
          </cell>
        </row>
        <row r="322">
          <cell r="B322">
            <v>98631157051</v>
          </cell>
          <cell r="C322" t="str">
            <v>Муниципальные образования Республики Саха (Якутия)</v>
          </cell>
          <cell r="D322">
            <v>98600000</v>
          </cell>
          <cell r="E322" t="str">
            <v>Муниципальные образования Республики Саха (Якутия)</v>
          </cell>
          <cell r="F322">
            <v>98000000</v>
          </cell>
          <cell r="G322" t="str">
            <v>Мирнинский муниципальный район</v>
          </cell>
          <cell r="H322">
            <v>98631000</v>
          </cell>
          <cell r="I322" t="str">
            <v>Городские поселения Мирнинского муниципального района</v>
          </cell>
          <cell r="J322" t="str">
            <v>поселок Светлый</v>
          </cell>
          <cell r="K322" t="str">
            <v>п</v>
          </cell>
          <cell r="L322" t="str">
            <v>поселок</v>
          </cell>
          <cell r="M322" t="str">
            <v>Светлый</v>
          </cell>
        </row>
        <row r="323">
          <cell r="B323">
            <v>98631162051</v>
          </cell>
          <cell r="C323" t="str">
            <v>Муниципальные образования Республики Саха (Якутия)</v>
          </cell>
          <cell r="D323">
            <v>98600000</v>
          </cell>
          <cell r="E323" t="str">
            <v>Муниципальные образования Республики Саха (Якутия)</v>
          </cell>
          <cell r="F323">
            <v>98000000</v>
          </cell>
          <cell r="G323" t="str">
            <v>Мирнинский муниципальный район</v>
          </cell>
          <cell r="H323">
            <v>98631000</v>
          </cell>
          <cell r="I323" t="str">
            <v>Городские поселения Мирнинского муниципального района</v>
          </cell>
          <cell r="J323" t="str">
            <v>поселок Чернышевский</v>
          </cell>
          <cell r="K323" t="str">
            <v>п</v>
          </cell>
          <cell r="L323" t="str">
            <v>поселок</v>
          </cell>
          <cell r="M323" t="str">
            <v>Чернышевский</v>
          </cell>
        </row>
        <row r="324">
          <cell r="B324">
            <v>98631404101</v>
          </cell>
          <cell r="C324" t="str">
            <v>Муниципальные образования Республики Саха (Якутия)</v>
          </cell>
          <cell r="D324">
            <v>98600000</v>
          </cell>
          <cell r="E324" t="str">
            <v>Муниципальные образования Республики Саха (Якутия)</v>
          </cell>
          <cell r="F324">
            <v>98000000</v>
          </cell>
          <cell r="G324" t="str">
            <v>Мирнинский муниципальный район</v>
          </cell>
          <cell r="H324">
            <v>98631000</v>
          </cell>
          <cell r="I324" t="str">
            <v>Сельские поселения Мирнинского муниципального района</v>
          </cell>
          <cell r="J324" t="str">
            <v>Ботуобуйинский наслег</v>
          </cell>
          <cell r="K324" t="str">
            <v>с</v>
          </cell>
          <cell r="L324" t="str">
            <v>село</v>
          </cell>
          <cell r="M324" t="str">
            <v>Тас-Юрях</v>
          </cell>
        </row>
        <row r="325">
          <cell r="B325">
            <v>98631428101</v>
          </cell>
          <cell r="C325" t="str">
            <v>Муниципальные образования Республики Саха (Якутия)</v>
          </cell>
          <cell r="D325">
            <v>98600000</v>
          </cell>
          <cell r="E325" t="str">
            <v>Муниципальные образования Республики Саха (Якутия)</v>
          </cell>
          <cell r="F325">
            <v>98000000</v>
          </cell>
          <cell r="G325" t="str">
            <v>Мирнинский муниципальный район</v>
          </cell>
          <cell r="H325">
            <v>98631000</v>
          </cell>
          <cell r="I325" t="str">
            <v>Сельские поселения Мирнинского муниципального района</v>
          </cell>
          <cell r="J325" t="str">
            <v>Садынский национальный эвенкийский наслег</v>
          </cell>
          <cell r="K325" t="str">
            <v>с</v>
          </cell>
          <cell r="L325" t="str">
            <v>село</v>
          </cell>
          <cell r="M325" t="str">
            <v>Сюльдюкар</v>
          </cell>
        </row>
        <row r="326">
          <cell r="B326">
            <v>98631450101</v>
          </cell>
          <cell r="C326" t="str">
            <v>Муниципальные образования Республики Саха (Якутия)</v>
          </cell>
          <cell r="D326">
            <v>98600000</v>
          </cell>
          <cell r="E326" t="str">
            <v>Муниципальные образования Республики Саха (Якутия)</v>
          </cell>
          <cell r="F326">
            <v>98000000</v>
          </cell>
          <cell r="G326" t="str">
            <v>Мирнинский муниципальный район</v>
          </cell>
          <cell r="H326">
            <v>98631000</v>
          </cell>
          <cell r="I326" t="str">
            <v>Сельские поселения Мирнинского муниципального района</v>
          </cell>
          <cell r="J326" t="str">
            <v>Чуонинский наслег</v>
          </cell>
          <cell r="K326" t="str">
            <v>с</v>
          </cell>
          <cell r="L326" t="str">
            <v>село</v>
          </cell>
          <cell r="M326" t="str">
            <v>Арылах</v>
          </cell>
        </row>
        <row r="327">
          <cell r="B327">
            <v>98631450106</v>
          </cell>
          <cell r="C327" t="str">
            <v>Муниципальные образования Республики Саха (Якутия)</v>
          </cell>
          <cell r="D327">
            <v>98600000</v>
          </cell>
          <cell r="E327" t="str">
            <v>Муниципальные образования Республики Саха (Якутия)</v>
          </cell>
          <cell r="F327">
            <v>98000000</v>
          </cell>
          <cell r="G327" t="str">
            <v>Мирнинский муниципальный район</v>
          </cell>
          <cell r="H327">
            <v>98631000</v>
          </cell>
          <cell r="I327" t="str">
            <v>Сельские поселения Мирнинского муниципального района</v>
          </cell>
          <cell r="J327" t="str">
            <v>Чуонинский наслег</v>
          </cell>
          <cell r="K327" t="str">
            <v>с</v>
          </cell>
          <cell r="L327" t="str">
            <v>село</v>
          </cell>
          <cell r="M327" t="str">
            <v>Заря</v>
          </cell>
        </row>
        <row r="328">
          <cell r="B328">
            <v>0</v>
          </cell>
          <cell r="C328" t="str">
            <v>Муниципальные образования Республики Саха (Якутия)</v>
          </cell>
          <cell r="D328">
            <v>98600000</v>
          </cell>
          <cell r="E328" t="str">
            <v>Муниципальные образования Республики Саха (Якутия)</v>
          </cell>
          <cell r="F328">
            <v>98000000</v>
          </cell>
          <cell r="G328" t="str">
            <v>Мирнинский муниципальный район</v>
          </cell>
          <cell r="H328">
            <v>98631000</v>
          </cell>
          <cell r="I328" t="str">
            <v>Межселенные территории Мирнинского муниципального района</v>
          </cell>
          <cell r="J328" t="str">
            <v>Межселенная территория Мирнинского муниципального района, находящаяся вне границ городских и сельских поселений</v>
          </cell>
          <cell r="K328">
            <v>0</v>
          </cell>
          <cell r="L328">
            <v>0</v>
          </cell>
          <cell r="M328">
            <v>0</v>
          </cell>
        </row>
        <row r="329">
          <cell r="B329">
            <v>98633405101</v>
          </cell>
          <cell r="C329" t="str">
            <v>Муниципальные образования Республики Саха (Якутия)</v>
          </cell>
          <cell r="D329">
            <v>98600000</v>
          </cell>
          <cell r="E329" t="str">
            <v>Муниципальные образования Республики Саха (Якутия)</v>
          </cell>
          <cell r="F329">
            <v>98000000</v>
          </cell>
          <cell r="G329" t="str">
            <v>Момский муниципальный район</v>
          </cell>
          <cell r="H329">
            <v>98633000</v>
          </cell>
          <cell r="I329" t="str">
            <v>Сельские поселения Момского муниципального района</v>
          </cell>
          <cell r="J329" t="str">
            <v>Чыбагалахский национальный наслег</v>
          </cell>
          <cell r="K329" t="str">
            <v>с</v>
          </cell>
          <cell r="L329" t="str">
            <v>село</v>
          </cell>
          <cell r="M329" t="str">
            <v>Кулун-Елбют</v>
          </cell>
        </row>
        <row r="330">
          <cell r="B330">
            <v>98633414101</v>
          </cell>
          <cell r="C330" t="str">
            <v>Муниципальные образования Республики Саха (Якутия)</v>
          </cell>
          <cell r="D330">
            <v>98600000</v>
          </cell>
          <cell r="E330" t="str">
            <v>Муниципальные образования Республики Саха (Якутия)</v>
          </cell>
          <cell r="F330">
            <v>98000000</v>
          </cell>
          <cell r="G330" t="str">
            <v>Момский муниципальный район</v>
          </cell>
          <cell r="H330">
            <v>98633000</v>
          </cell>
          <cell r="I330" t="str">
            <v>Сельские поселения Момского муниципального района</v>
          </cell>
          <cell r="J330" t="str">
            <v>Индигирский национальный наслег</v>
          </cell>
          <cell r="K330" t="str">
            <v>с</v>
          </cell>
          <cell r="L330" t="str">
            <v>село</v>
          </cell>
          <cell r="M330" t="str">
            <v>Буор-Сысы</v>
          </cell>
        </row>
        <row r="331">
          <cell r="B331">
            <v>98633423101</v>
          </cell>
          <cell r="C331" t="str">
            <v>Муниципальные образования Республики Саха (Якутия)</v>
          </cell>
          <cell r="D331">
            <v>98600000</v>
          </cell>
          <cell r="E331" t="str">
            <v>Муниципальные образования Республики Саха (Якутия)</v>
          </cell>
          <cell r="F331">
            <v>98000000</v>
          </cell>
          <cell r="G331" t="str">
            <v>Момский муниципальный район</v>
          </cell>
          <cell r="H331">
            <v>98633000</v>
          </cell>
          <cell r="I331" t="str">
            <v>Сельские поселения Момского муниципального района</v>
          </cell>
          <cell r="J331" t="str">
            <v>Момский национальный наслег</v>
          </cell>
          <cell r="K331" t="str">
            <v>с</v>
          </cell>
          <cell r="L331" t="str">
            <v>село</v>
          </cell>
          <cell r="M331" t="str">
            <v>Хонуу</v>
          </cell>
        </row>
        <row r="332">
          <cell r="B332">
            <v>98633423106</v>
          </cell>
          <cell r="C332" t="str">
            <v>Муниципальные образования Республики Саха (Якутия)</v>
          </cell>
          <cell r="D332">
            <v>98600000</v>
          </cell>
          <cell r="E332" t="str">
            <v>Муниципальные образования Республики Саха (Якутия)</v>
          </cell>
          <cell r="F332">
            <v>98000000</v>
          </cell>
          <cell r="G332" t="str">
            <v>Момский муниципальный район</v>
          </cell>
          <cell r="H332">
            <v>98633000</v>
          </cell>
          <cell r="I332" t="str">
            <v>Сельские поселения Момского муниципального района</v>
          </cell>
          <cell r="J332" t="str">
            <v>Момский национальный наслег</v>
          </cell>
          <cell r="K332" t="str">
            <v>с</v>
          </cell>
          <cell r="L332" t="str">
            <v>село</v>
          </cell>
          <cell r="M332" t="str">
            <v>Суон-Тит</v>
          </cell>
        </row>
        <row r="333">
          <cell r="B333">
            <v>98633428101</v>
          </cell>
          <cell r="C333" t="str">
            <v>Муниципальные образования Республики Саха (Якутия)</v>
          </cell>
          <cell r="D333">
            <v>98600000</v>
          </cell>
          <cell r="E333" t="str">
            <v>Муниципальные образования Республики Саха (Якутия)</v>
          </cell>
          <cell r="F333">
            <v>98000000</v>
          </cell>
          <cell r="G333" t="str">
            <v>Момский муниципальный район</v>
          </cell>
          <cell r="H333">
            <v>98633000</v>
          </cell>
          <cell r="I333" t="str">
            <v>Сельские поселения Момского муниципального района</v>
          </cell>
          <cell r="J333" t="str">
            <v>Соболохский национальный наслег</v>
          </cell>
          <cell r="K333" t="str">
            <v>с</v>
          </cell>
          <cell r="L333" t="str">
            <v>село</v>
          </cell>
          <cell r="M333" t="str">
            <v>Соболох</v>
          </cell>
        </row>
        <row r="334">
          <cell r="B334">
            <v>98633430101</v>
          </cell>
          <cell r="C334" t="str">
            <v>Муниципальные образования Республики Саха (Якутия)</v>
          </cell>
          <cell r="D334">
            <v>98600000</v>
          </cell>
          <cell r="E334" t="str">
            <v>Муниципальные образования Республики Саха (Якутия)</v>
          </cell>
          <cell r="F334">
            <v>98000000</v>
          </cell>
          <cell r="G334" t="str">
            <v>Момский муниципальный район</v>
          </cell>
          <cell r="H334">
            <v>98633000</v>
          </cell>
          <cell r="I334" t="str">
            <v>Сельские поселения Момского муниципального района</v>
          </cell>
          <cell r="J334" t="str">
            <v>Тебюляхский национальный наслег</v>
          </cell>
          <cell r="K334" t="str">
            <v>с</v>
          </cell>
          <cell r="L334" t="str">
            <v>село</v>
          </cell>
          <cell r="M334" t="str">
            <v>Чумпу-Кытыл</v>
          </cell>
        </row>
        <row r="335">
          <cell r="B335">
            <v>98633435101</v>
          </cell>
          <cell r="C335" t="str">
            <v>Муниципальные образования Республики Саха (Якутия)</v>
          </cell>
          <cell r="D335">
            <v>98600000</v>
          </cell>
          <cell r="E335" t="str">
            <v>Муниципальные образования Республики Саха (Якутия)</v>
          </cell>
          <cell r="F335">
            <v>98000000</v>
          </cell>
          <cell r="G335" t="str">
            <v>Момский муниципальный район</v>
          </cell>
          <cell r="H335">
            <v>98633000</v>
          </cell>
          <cell r="I335" t="str">
            <v>Сельские поселения Момского муниципального района</v>
          </cell>
          <cell r="J335" t="str">
            <v>Улахан-Чистайский национальный наслег</v>
          </cell>
          <cell r="K335" t="str">
            <v>с</v>
          </cell>
          <cell r="L335" t="str">
            <v>село</v>
          </cell>
          <cell r="M335" t="str">
            <v>Сасыр</v>
          </cell>
        </row>
        <row r="336">
          <cell r="B336">
            <v>98635405101</v>
          </cell>
          <cell r="C336" t="str">
            <v>Муниципальные образования Республики Саха (Якутия)</v>
          </cell>
          <cell r="D336">
            <v>98600000</v>
          </cell>
          <cell r="E336" t="str">
            <v>Муниципальные образования Республики Саха (Якутия)</v>
          </cell>
          <cell r="F336">
            <v>98000000</v>
          </cell>
          <cell r="G336" t="str">
            <v>Намский муниципальный район</v>
          </cell>
          <cell r="H336">
            <v>98635000</v>
          </cell>
          <cell r="I336" t="str">
            <v>Сельские поселения Намского муниципального района</v>
          </cell>
          <cell r="J336" t="str">
            <v>Арбынский наслег</v>
          </cell>
          <cell r="K336" t="str">
            <v>с</v>
          </cell>
          <cell r="L336" t="str">
            <v>село</v>
          </cell>
          <cell r="M336" t="str">
            <v>Сыгыннах</v>
          </cell>
        </row>
        <row r="337">
          <cell r="B337">
            <v>98635410101</v>
          </cell>
          <cell r="C337" t="str">
            <v>Муниципальные образования Республики Саха (Якутия)</v>
          </cell>
          <cell r="D337">
            <v>98600000</v>
          </cell>
          <cell r="E337" t="str">
            <v>Муниципальные образования Республики Саха (Якутия)</v>
          </cell>
          <cell r="F337">
            <v>98000000</v>
          </cell>
          <cell r="G337" t="str">
            <v>Намский муниципальный район</v>
          </cell>
          <cell r="H337">
            <v>98635000</v>
          </cell>
          <cell r="I337" t="str">
            <v>Сельские поселения Намского муниципального района</v>
          </cell>
          <cell r="J337" t="str">
            <v>Бетюнский наслег</v>
          </cell>
          <cell r="K337" t="str">
            <v>с</v>
          </cell>
          <cell r="L337" t="str">
            <v>село</v>
          </cell>
          <cell r="M337" t="str">
            <v>Бютяй-Юрдя</v>
          </cell>
        </row>
        <row r="338">
          <cell r="B338">
            <v>98635415101</v>
          </cell>
          <cell r="C338" t="str">
            <v>Муниципальные образования Республики Саха (Якутия)</v>
          </cell>
          <cell r="D338">
            <v>98600000</v>
          </cell>
          <cell r="E338" t="str">
            <v>Муниципальные образования Республики Саха (Якутия)</v>
          </cell>
          <cell r="F338">
            <v>98000000</v>
          </cell>
          <cell r="G338" t="str">
            <v>Намский муниципальный район</v>
          </cell>
          <cell r="H338">
            <v>98635000</v>
          </cell>
          <cell r="I338" t="str">
            <v>Сельские поселения Намского муниципального района</v>
          </cell>
          <cell r="J338" t="str">
            <v>Едейский наслег</v>
          </cell>
          <cell r="K338" t="str">
            <v>с</v>
          </cell>
          <cell r="L338" t="str">
            <v>село</v>
          </cell>
          <cell r="M338" t="str">
            <v>Ымыяхтах</v>
          </cell>
        </row>
        <row r="339">
          <cell r="B339">
            <v>98635417101</v>
          </cell>
          <cell r="C339" t="str">
            <v>Муниципальные образования Республики Саха (Якутия)</v>
          </cell>
          <cell r="D339">
            <v>98600000</v>
          </cell>
          <cell r="E339" t="str">
            <v>Муниципальные образования Республики Саха (Якутия)</v>
          </cell>
          <cell r="F339">
            <v>98000000</v>
          </cell>
          <cell r="G339" t="str">
            <v>Намский муниципальный район</v>
          </cell>
          <cell r="H339">
            <v>98635000</v>
          </cell>
          <cell r="I339" t="str">
            <v>Сельские поселения Намского муниципального района</v>
          </cell>
          <cell r="J339" t="str">
            <v>Искровский наслег</v>
          </cell>
          <cell r="K339" t="str">
            <v>с</v>
          </cell>
          <cell r="L339" t="str">
            <v>село</v>
          </cell>
          <cell r="M339" t="str">
            <v>Кюренг-Ат</v>
          </cell>
        </row>
        <row r="340">
          <cell r="B340">
            <v>98635420101</v>
          </cell>
          <cell r="C340" t="str">
            <v>Муниципальные образования Республики Саха (Якутия)</v>
          </cell>
          <cell r="D340">
            <v>98600000</v>
          </cell>
          <cell r="E340" t="str">
            <v>Муниципальные образования Республики Саха (Якутия)</v>
          </cell>
          <cell r="F340">
            <v>98000000</v>
          </cell>
          <cell r="G340" t="str">
            <v>Намский муниципальный район</v>
          </cell>
          <cell r="H340">
            <v>98635000</v>
          </cell>
          <cell r="I340" t="str">
            <v>Сельские поселения Намского муниципального района</v>
          </cell>
          <cell r="J340" t="str">
            <v>Кебекенский наслег</v>
          </cell>
          <cell r="K340" t="str">
            <v>с</v>
          </cell>
          <cell r="L340" t="str">
            <v>село</v>
          </cell>
          <cell r="M340" t="str">
            <v>Харыялах</v>
          </cell>
        </row>
        <row r="341">
          <cell r="B341">
            <v>98635425101</v>
          </cell>
          <cell r="C341" t="str">
            <v>Муниципальные образования Республики Саха (Якутия)</v>
          </cell>
          <cell r="D341">
            <v>98600000</v>
          </cell>
          <cell r="E341" t="str">
            <v>Муниципальные образования Республики Саха (Якутия)</v>
          </cell>
          <cell r="F341">
            <v>98000000</v>
          </cell>
          <cell r="G341" t="str">
            <v>Намский муниципальный район</v>
          </cell>
          <cell r="H341">
            <v>98635000</v>
          </cell>
          <cell r="I341" t="str">
            <v>Сельские поселения Намского муниципального района</v>
          </cell>
          <cell r="J341" t="str">
            <v>Ленский наслег</v>
          </cell>
          <cell r="K341" t="str">
            <v>с</v>
          </cell>
          <cell r="L341" t="str">
            <v>село</v>
          </cell>
          <cell r="M341" t="str">
            <v>Намцы</v>
          </cell>
        </row>
        <row r="342">
          <cell r="B342">
            <v>98635430101</v>
          </cell>
          <cell r="C342" t="str">
            <v>Муниципальные образования Республики Саха (Якутия)</v>
          </cell>
          <cell r="D342">
            <v>98600000</v>
          </cell>
          <cell r="E342" t="str">
            <v>Муниципальные образования Республики Саха (Якутия)</v>
          </cell>
          <cell r="F342">
            <v>98000000</v>
          </cell>
          <cell r="G342" t="str">
            <v>Намский муниципальный район</v>
          </cell>
          <cell r="H342">
            <v>98635000</v>
          </cell>
          <cell r="I342" t="str">
            <v>Сельские поселения Намского муниципального района</v>
          </cell>
          <cell r="J342" t="str">
            <v>Модутский наслег</v>
          </cell>
          <cell r="K342" t="str">
            <v>с</v>
          </cell>
          <cell r="L342" t="str">
            <v>село</v>
          </cell>
          <cell r="M342" t="str">
            <v>Тумул</v>
          </cell>
        </row>
        <row r="343">
          <cell r="B343">
            <v>98635432101</v>
          </cell>
          <cell r="C343" t="str">
            <v>Муниципальные образования Республики Саха (Якутия)</v>
          </cell>
          <cell r="D343">
            <v>98600000</v>
          </cell>
          <cell r="E343" t="str">
            <v>Муниципальные образования Республики Саха (Якутия)</v>
          </cell>
          <cell r="F343">
            <v>98000000</v>
          </cell>
          <cell r="G343" t="str">
            <v>Намский муниципальный район</v>
          </cell>
          <cell r="H343">
            <v>98635000</v>
          </cell>
          <cell r="I343" t="str">
            <v>Сельские поселения Намского муниципального района</v>
          </cell>
          <cell r="J343" t="str">
            <v>Никольский наслег</v>
          </cell>
          <cell r="K343" t="str">
            <v>с</v>
          </cell>
          <cell r="L343" t="str">
            <v>село</v>
          </cell>
          <cell r="M343" t="str">
            <v>Никольский</v>
          </cell>
        </row>
        <row r="344">
          <cell r="B344">
            <v>98635435101</v>
          </cell>
          <cell r="C344" t="str">
            <v>Муниципальные образования Республики Саха (Якутия)</v>
          </cell>
          <cell r="D344">
            <v>98600000</v>
          </cell>
          <cell r="E344" t="str">
            <v>Муниципальные образования Республики Саха (Якутия)</v>
          </cell>
          <cell r="F344">
            <v>98000000</v>
          </cell>
          <cell r="G344" t="str">
            <v>Намский муниципальный район</v>
          </cell>
          <cell r="H344">
            <v>98635000</v>
          </cell>
          <cell r="I344" t="str">
            <v>Сельские поселения Намского муниципального района</v>
          </cell>
          <cell r="J344" t="str">
            <v>Партизанский наслег</v>
          </cell>
          <cell r="K344" t="str">
            <v>с</v>
          </cell>
          <cell r="L344" t="str">
            <v>село</v>
          </cell>
          <cell r="M344" t="str">
            <v>Партизан</v>
          </cell>
        </row>
        <row r="345">
          <cell r="B345">
            <v>98635440101</v>
          </cell>
          <cell r="C345" t="str">
            <v>Муниципальные образования Республики Саха (Якутия)</v>
          </cell>
          <cell r="D345">
            <v>98600000</v>
          </cell>
          <cell r="E345" t="str">
            <v>Муниципальные образования Республики Саха (Якутия)</v>
          </cell>
          <cell r="F345">
            <v>98000000</v>
          </cell>
          <cell r="G345" t="str">
            <v>Намский муниципальный район</v>
          </cell>
          <cell r="H345">
            <v>98635000</v>
          </cell>
          <cell r="I345" t="str">
            <v>Сельские поселения Намского муниципального района</v>
          </cell>
          <cell r="J345" t="str">
            <v>Салбанский наслег</v>
          </cell>
          <cell r="K345" t="str">
            <v>с</v>
          </cell>
          <cell r="L345" t="str">
            <v>село</v>
          </cell>
          <cell r="M345" t="str">
            <v>Хонгор-Бие</v>
          </cell>
        </row>
        <row r="346">
          <cell r="B346">
            <v>98635443101</v>
          </cell>
          <cell r="C346" t="str">
            <v>Муниципальные образования Республики Саха (Якутия)</v>
          </cell>
          <cell r="D346">
            <v>98600000</v>
          </cell>
          <cell r="E346" t="str">
            <v>Муниципальные образования Республики Саха (Якутия)</v>
          </cell>
          <cell r="F346">
            <v>98000000</v>
          </cell>
          <cell r="G346" t="str">
            <v>Намский муниципальный район</v>
          </cell>
          <cell r="H346">
            <v>98635000</v>
          </cell>
          <cell r="I346" t="str">
            <v>Сельские поселения Намского муниципального района</v>
          </cell>
          <cell r="J346" t="str">
            <v>Тастахский наслег</v>
          </cell>
          <cell r="K346" t="str">
            <v>с</v>
          </cell>
          <cell r="L346" t="str">
            <v>село</v>
          </cell>
          <cell r="M346" t="str">
            <v>Ергёлёх</v>
          </cell>
        </row>
        <row r="347">
          <cell r="B347">
            <v>98635445101</v>
          </cell>
          <cell r="C347" t="str">
            <v>Муниципальные образования Республики Саха (Якутия)</v>
          </cell>
          <cell r="D347">
            <v>98600000</v>
          </cell>
          <cell r="E347" t="str">
            <v>Муниципальные образования Республики Саха (Якутия)</v>
          </cell>
          <cell r="F347">
            <v>98000000</v>
          </cell>
          <cell r="G347" t="str">
            <v>Намский муниципальный район</v>
          </cell>
          <cell r="H347">
            <v>98635000</v>
          </cell>
          <cell r="I347" t="str">
            <v>Сельские поселения Намского муниципального района</v>
          </cell>
          <cell r="J347" t="str">
            <v>Тюбинский наслег</v>
          </cell>
          <cell r="K347" t="str">
            <v>с</v>
          </cell>
          <cell r="L347" t="str">
            <v>село</v>
          </cell>
          <cell r="M347" t="str">
            <v>Булус</v>
          </cell>
        </row>
        <row r="348">
          <cell r="B348">
            <v>98635447101</v>
          </cell>
          <cell r="C348" t="str">
            <v>Муниципальные образования Республики Саха (Якутия)</v>
          </cell>
          <cell r="D348">
            <v>98600000</v>
          </cell>
          <cell r="E348" t="str">
            <v>Муниципальные образования Республики Саха (Якутия)</v>
          </cell>
          <cell r="F348">
            <v>98000000</v>
          </cell>
          <cell r="G348" t="str">
            <v>Намский муниципальный район</v>
          </cell>
          <cell r="H348">
            <v>98635000</v>
          </cell>
          <cell r="I348" t="str">
            <v>Сельские поселения Намского муниципального района</v>
          </cell>
          <cell r="J348" t="str">
            <v>Фрунзенский наслег</v>
          </cell>
          <cell r="K348" t="str">
            <v>с</v>
          </cell>
          <cell r="L348" t="str">
            <v>село</v>
          </cell>
          <cell r="M348" t="str">
            <v>Фрунзе</v>
          </cell>
        </row>
        <row r="349">
          <cell r="B349">
            <v>98635450101</v>
          </cell>
          <cell r="C349" t="str">
            <v>Муниципальные образования Республики Саха (Якутия)</v>
          </cell>
          <cell r="D349">
            <v>98600000</v>
          </cell>
          <cell r="E349" t="str">
            <v>Муниципальные образования Республики Саха (Якутия)</v>
          </cell>
          <cell r="F349">
            <v>98000000</v>
          </cell>
          <cell r="G349" t="str">
            <v>Намский муниципальный район</v>
          </cell>
          <cell r="H349">
            <v>98635000</v>
          </cell>
          <cell r="I349" t="str">
            <v>Сельские поселения Намского муниципального района</v>
          </cell>
          <cell r="J349" t="str">
            <v>Хамагаттинский наслег</v>
          </cell>
          <cell r="K349" t="str">
            <v>с</v>
          </cell>
          <cell r="L349" t="str">
            <v>село</v>
          </cell>
          <cell r="M349" t="str">
            <v>Крест-Кытыл</v>
          </cell>
        </row>
        <row r="350">
          <cell r="B350">
            <v>98635455101</v>
          </cell>
          <cell r="C350" t="str">
            <v>Муниципальные образования Республики Саха (Якутия)</v>
          </cell>
          <cell r="D350">
            <v>98600000</v>
          </cell>
          <cell r="E350" t="str">
            <v>Муниципальные образования Республики Саха (Якутия)</v>
          </cell>
          <cell r="F350">
            <v>98000000</v>
          </cell>
          <cell r="G350" t="str">
            <v>Намский муниципальный район</v>
          </cell>
          <cell r="H350">
            <v>98635000</v>
          </cell>
          <cell r="I350" t="str">
            <v>Сельские поселения Намского муниципального района</v>
          </cell>
          <cell r="J350" t="str">
            <v>Хатын-Арынский наслег</v>
          </cell>
          <cell r="K350" t="str">
            <v>с</v>
          </cell>
          <cell r="L350" t="str">
            <v>село</v>
          </cell>
          <cell r="M350" t="str">
            <v>Аппаны</v>
          </cell>
        </row>
        <row r="351">
          <cell r="B351">
            <v>98635455106</v>
          </cell>
          <cell r="C351" t="str">
            <v>Муниципальные образования Республики Саха (Якутия)</v>
          </cell>
          <cell r="D351">
            <v>98600000</v>
          </cell>
          <cell r="E351" t="str">
            <v>Муниципальные образования Республики Саха (Якутия)</v>
          </cell>
          <cell r="F351">
            <v>98000000</v>
          </cell>
          <cell r="G351" t="str">
            <v>Намский муниципальный район</v>
          </cell>
          <cell r="H351">
            <v>98635000</v>
          </cell>
          <cell r="I351" t="str">
            <v>Сельские поселения Намского муниципального района</v>
          </cell>
          <cell r="J351" t="str">
            <v>Хатын-Арынский наслег</v>
          </cell>
          <cell r="K351" t="str">
            <v>с</v>
          </cell>
          <cell r="L351" t="str">
            <v>село</v>
          </cell>
          <cell r="M351" t="str">
            <v>Графский Берег</v>
          </cell>
        </row>
        <row r="352">
          <cell r="B352">
            <v>98635455111</v>
          </cell>
          <cell r="C352" t="str">
            <v>Муниципальные образования Республики Саха (Якутия)</v>
          </cell>
          <cell r="D352">
            <v>98600000</v>
          </cell>
          <cell r="E352" t="str">
            <v>Муниципальные образования Республики Саха (Якутия)</v>
          </cell>
          <cell r="F352">
            <v>98000000</v>
          </cell>
          <cell r="G352" t="str">
            <v>Намский муниципальный район</v>
          </cell>
          <cell r="H352">
            <v>98635000</v>
          </cell>
          <cell r="I352" t="str">
            <v>Сельские поселения Намского муниципального района</v>
          </cell>
          <cell r="J352" t="str">
            <v>Хатын-Арынский наслег</v>
          </cell>
          <cell r="K352" t="str">
            <v>с</v>
          </cell>
          <cell r="L352" t="str">
            <v>село</v>
          </cell>
          <cell r="M352" t="str">
            <v>Кысыл-Деревня</v>
          </cell>
        </row>
        <row r="353">
          <cell r="B353">
            <v>98635460101</v>
          </cell>
          <cell r="C353" t="str">
            <v>Муниципальные образования Республики Саха (Якутия)</v>
          </cell>
          <cell r="D353">
            <v>98600000</v>
          </cell>
          <cell r="E353" t="str">
            <v>Муниципальные образования Республики Саха (Якутия)</v>
          </cell>
          <cell r="F353">
            <v>98000000</v>
          </cell>
          <cell r="G353" t="str">
            <v>Намский муниципальный район</v>
          </cell>
          <cell r="H353">
            <v>98635000</v>
          </cell>
          <cell r="I353" t="str">
            <v>Сельские поселения Намского муниципального района</v>
          </cell>
          <cell r="J353" t="str">
            <v>Хатырыкский наслег</v>
          </cell>
          <cell r="K353" t="str">
            <v>с</v>
          </cell>
          <cell r="L353" t="str">
            <v>село</v>
          </cell>
          <cell r="M353" t="str">
            <v>Столбы</v>
          </cell>
        </row>
        <row r="354">
          <cell r="B354">
            <v>98635465101</v>
          </cell>
          <cell r="C354" t="str">
            <v>Муниципальные образования Республики Саха (Якутия)</v>
          </cell>
          <cell r="D354">
            <v>98600000</v>
          </cell>
          <cell r="E354" t="str">
            <v>Муниципальные образования Республики Саха (Якутия)</v>
          </cell>
          <cell r="F354">
            <v>98000000</v>
          </cell>
          <cell r="G354" t="str">
            <v>Намский муниципальный район</v>
          </cell>
          <cell r="H354">
            <v>98635000</v>
          </cell>
          <cell r="I354" t="str">
            <v>Сельские поселения Намского муниципального района</v>
          </cell>
          <cell r="J354" t="str">
            <v>Хомустахский 1-й наслег</v>
          </cell>
          <cell r="K354" t="str">
            <v>с</v>
          </cell>
          <cell r="L354" t="str">
            <v>село</v>
          </cell>
          <cell r="M354" t="str">
            <v>Кысыл-Сыр</v>
          </cell>
        </row>
        <row r="355">
          <cell r="B355">
            <v>98635466101</v>
          </cell>
          <cell r="C355" t="str">
            <v>Муниципальные образования Республики Саха (Якутия)</v>
          </cell>
          <cell r="D355">
            <v>98600000</v>
          </cell>
          <cell r="E355" t="str">
            <v>Муниципальные образования Республики Саха (Якутия)</v>
          </cell>
          <cell r="F355">
            <v>98000000</v>
          </cell>
          <cell r="G355" t="str">
            <v>Намский муниципальный район</v>
          </cell>
          <cell r="H355">
            <v>98635000</v>
          </cell>
          <cell r="I355" t="str">
            <v>Сельские поселения Намского муниципального района</v>
          </cell>
          <cell r="J355" t="str">
            <v>Хомустахский 2-й наслег</v>
          </cell>
          <cell r="K355" t="str">
            <v>с</v>
          </cell>
          <cell r="L355" t="str">
            <v>село</v>
          </cell>
          <cell r="M355" t="str">
            <v>Хатас</v>
          </cell>
        </row>
        <row r="356">
          <cell r="B356">
            <v>98635466106</v>
          </cell>
          <cell r="C356" t="str">
            <v>Муниципальные образования Республики Саха (Якутия)</v>
          </cell>
          <cell r="D356">
            <v>98600000</v>
          </cell>
          <cell r="E356" t="str">
            <v>Муниципальные образования Республики Саха (Якутия)</v>
          </cell>
          <cell r="F356">
            <v>98000000</v>
          </cell>
          <cell r="G356" t="str">
            <v>Намский муниципальный район</v>
          </cell>
          <cell r="H356">
            <v>98635000</v>
          </cell>
          <cell r="I356" t="str">
            <v>Сельские поселения Намского муниципального района</v>
          </cell>
          <cell r="J356" t="str">
            <v>Хомустахский 2-й наслег</v>
          </cell>
          <cell r="K356" t="str">
            <v>с</v>
          </cell>
          <cell r="L356" t="str">
            <v>село</v>
          </cell>
          <cell r="M356" t="str">
            <v>Воин</v>
          </cell>
        </row>
        <row r="357">
          <cell r="B357">
            <v>98635466111</v>
          </cell>
          <cell r="C357" t="str">
            <v>Муниципальные образования Республики Саха (Якутия)</v>
          </cell>
          <cell r="D357">
            <v>98600000</v>
          </cell>
          <cell r="E357" t="str">
            <v>Муниципальные образования Республики Саха (Якутия)</v>
          </cell>
          <cell r="F357">
            <v>98000000</v>
          </cell>
          <cell r="G357" t="str">
            <v>Намский муниципальный район</v>
          </cell>
          <cell r="H357">
            <v>98635000</v>
          </cell>
          <cell r="I357" t="str">
            <v>Сельские поселения Намского муниципального района</v>
          </cell>
          <cell r="J357" t="str">
            <v>Хомустахский 2-й наслег</v>
          </cell>
          <cell r="K357" t="str">
            <v>с</v>
          </cell>
          <cell r="L357" t="str">
            <v>село</v>
          </cell>
          <cell r="M357" t="str">
            <v>Тарагай-Бясь</v>
          </cell>
        </row>
        <row r="358">
          <cell r="B358">
            <v>98635466116</v>
          </cell>
          <cell r="C358" t="str">
            <v>Муниципальные образования Республики Саха (Якутия)</v>
          </cell>
          <cell r="D358">
            <v>98600000</v>
          </cell>
          <cell r="E358" t="str">
            <v>Муниципальные образования Республики Саха (Якутия)</v>
          </cell>
          <cell r="F358">
            <v>98000000</v>
          </cell>
          <cell r="G358" t="str">
            <v>Намский муниципальный район</v>
          </cell>
          <cell r="H358">
            <v>98635000</v>
          </cell>
          <cell r="I358" t="str">
            <v>Сельские поселения Намского муниципального района</v>
          </cell>
          <cell r="J358" t="str">
            <v>Хомустахский 2-й наслег</v>
          </cell>
          <cell r="K358" t="str">
            <v>с</v>
          </cell>
          <cell r="L358" t="str">
            <v>село</v>
          </cell>
          <cell r="M358" t="str">
            <v>Юнер-Олох</v>
          </cell>
        </row>
        <row r="359">
          <cell r="B359">
            <v>98635470101</v>
          </cell>
          <cell r="C359" t="str">
            <v>Муниципальные образования Республики Саха (Якутия)</v>
          </cell>
          <cell r="D359">
            <v>98600000</v>
          </cell>
          <cell r="E359" t="str">
            <v>Муниципальные образования Республики Саха (Якутия)</v>
          </cell>
          <cell r="F359">
            <v>98000000</v>
          </cell>
          <cell r="G359" t="str">
            <v>Намский муниципальный район</v>
          </cell>
          <cell r="H359">
            <v>98635000</v>
          </cell>
          <cell r="I359" t="str">
            <v>Сельские поселения Намского муниципального района</v>
          </cell>
          <cell r="J359" t="str">
            <v>Маймагинский наслег</v>
          </cell>
          <cell r="K359" t="str">
            <v>с</v>
          </cell>
          <cell r="L359" t="str">
            <v>село</v>
          </cell>
          <cell r="M359" t="str">
            <v>Маймага</v>
          </cell>
        </row>
        <row r="360">
          <cell r="B360">
            <v>98637151051</v>
          </cell>
          <cell r="C360" t="str">
            <v>Муниципальные образования Республики Саха (Якутия)</v>
          </cell>
          <cell r="D360">
            <v>98600000</v>
          </cell>
          <cell r="E360" t="str">
            <v>Муниципальные образования Республики Саха (Якутия)</v>
          </cell>
          <cell r="F360">
            <v>98000000</v>
          </cell>
          <cell r="G360" t="str">
            <v>Нижнеколымский муниципальный район</v>
          </cell>
          <cell r="H360">
            <v>98637000</v>
          </cell>
          <cell r="I360" t="str">
            <v>Городские поселения Нижнеколымского муниципального района</v>
          </cell>
          <cell r="J360" t="str">
            <v>поселок Черский</v>
          </cell>
          <cell r="K360" t="str">
            <v>п</v>
          </cell>
          <cell r="L360" t="str">
            <v>поселок</v>
          </cell>
          <cell r="M360" t="str">
            <v>Черский</v>
          </cell>
        </row>
        <row r="361">
          <cell r="B361">
            <v>98637411101</v>
          </cell>
          <cell r="C361" t="str">
            <v>Муниципальные образования Республики Саха (Якутия)</v>
          </cell>
          <cell r="D361">
            <v>98600000</v>
          </cell>
          <cell r="E361" t="str">
            <v>Муниципальные образования Республики Саха (Якутия)</v>
          </cell>
          <cell r="F361">
            <v>98000000</v>
          </cell>
          <cell r="G361" t="str">
            <v>Нижнеколымский муниципальный район</v>
          </cell>
          <cell r="H361">
            <v>98637000</v>
          </cell>
          <cell r="I361" t="str">
            <v>Сельские поселения Нижнеколымского муниципального района</v>
          </cell>
          <cell r="J361" t="str">
            <v>Национальный юкагирский "Олеринский Суктул"</v>
          </cell>
          <cell r="K361" t="str">
            <v>с</v>
          </cell>
          <cell r="L361" t="str">
            <v>село</v>
          </cell>
          <cell r="M361" t="str">
            <v>Андрюшкино</v>
          </cell>
        </row>
        <row r="362">
          <cell r="B362">
            <v>98637424101</v>
          </cell>
          <cell r="C362" t="str">
            <v>Муниципальные образования Республики Саха (Якутия)</v>
          </cell>
          <cell r="D362">
            <v>98600000</v>
          </cell>
          <cell r="E362" t="str">
            <v>Муниципальные образования Республики Саха (Якутия)</v>
          </cell>
          <cell r="F362">
            <v>98000000</v>
          </cell>
          <cell r="G362" t="str">
            <v>Нижнеколымский муниципальный район</v>
          </cell>
          <cell r="H362">
            <v>98637000</v>
          </cell>
          <cell r="I362" t="str">
            <v>Сельские поселения Нижнеколымского муниципального района</v>
          </cell>
          <cell r="J362" t="str">
            <v>Походский наслег</v>
          </cell>
          <cell r="K362" t="str">
            <v>с</v>
          </cell>
          <cell r="L362" t="str">
            <v>село</v>
          </cell>
          <cell r="M362" t="str">
            <v>Походск</v>
          </cell>
        </row>
        <row r="363">
          <cell r="B363">
            <v>98637424106</v>
          </cell>
          <cell r="C363" t="str">
            <v>Муниципальные образования Республики Саха (Якутия)</v>
          </cell>
          <cell r="D363">
            <v>98600000</v>
          </cell>
          <cell r="E363" t="str">
            <v>Муниципальные образования Республики Саха (Якутия)</v>
          </cell>
          <cell r="F363">
            <v>98000000</v>
          </cell>
          <cell r="G363" t="str">
            <v>Нижнеколымский муниципальный район</v>
          </cell>
          <cell r="H363">
            <v>98637000</v>
          </cell>
          <cell r="I363" t="str">
            <v>Сельские поселения Нижнеколымского муниципального района</v>
          </cell>
          <cell r="J363" t="str">
            <v>Походский наслег</v>
          </cell>
          <cell r="K363" t="str">
            <v>с</v>
          </cell>
          <cell r="L363" t="str">
            <v>село</v>
          </cell>
          <cell r="M363" t="str">
            <v>Амбарчик</v>
          </cell>
        </row>
        <row r="364">
          <cell r="B364">
            <v>98637424111</v>
          </cell>
          <cell r="C364" t="str">
            <v>Муниципальные образования Республики Саха (Якутия)</v>
          </cell>
          <cell r="D364">
            <v>98600000</v>
          </cell>
          <cell r="E364" t="str">
            <v>Муниципальные образования Республики Саха (Якутия)</v>
          </cell>
          <cell r="F364">
            <v>98000000</v>
          </cell>
          <cell r="G364" t="str">
            <v>Нижнеколымский муниципальный район</v>
          </cell>
          <cell r="H364">
            <v>98637000</v>
          </cell>
          <cell r="I364" t="str">
            <v>Сельские поселения Нижнеколымского муниципального района</v>
          </cell>
          <cell r="J364" t="str">
            <v>Походский наслег</v>
          </cell>
          <cell r="K364" t="str">
            <v>с</v>
          </cell>
          <cell r="L364" t="str">
            <v>село</v>
          </cell>
          <cell r="M364" t="str">
            <v>Две виски</v>
          </cell>
        </row>
        <row r="365">
          <cell r="B365">
            <v>98637424116</v>
          </cell>
          <cell r="C365" t="str">
            <v>Муниципальные образования Республики Саха (Якутия)</v>
          </cell>
          <cell r="D365">
            <v>98600000</v>
          </cell>
          <cell r="E365" t="str">
            <v>Муниципальные образования Республики Саха (Якутия)</v>
          </cell>
          <cell r="F365">
            <v>98000000</v>
          </cell>
          <cell r="G365" t="str">
            <v>Нижнеколымский муниципальный район</v>
          </cell>
          <cell r="H365">
            <v>98637000</v>
          </cell>
          <cell r="I365" t="str">
            <v>Сельские поселения Нижнеколымского муниципального района</v>
          </cell>
          <cell r="J365" t="str">
            <v>Походский наслег</v>
          </cell>
          <cell r="K365" t="str">
            <v>с</v>
          </cell>
          <cell r="L365" t="str">
            <v>село</v>
          </cell>
          <cell r="M365" t="str">
            <v>Ермолово</v>
          </cell>
        </row>
        <row r="366">
          <cell r="B366">
            <v>98637424121</v>
          </cell>
          <cell r="C366" t="str">
            <v>Муниципальные образования Республики Саха (Якутия)</v>
          </cell>
          <cell r="D366">
            <v>98600000</v>
          </cell>
          <cell r="E366" t="str">
            <v>Муниципальные образования Республики Саха (Якутия)</v>
          </cell>
          <cell r="F366">
            <v>98000000</v>
          </cell>
          <cell r="G366" t="str">
            <v>Нижнеколымский муниципальный район</v>
          </cell>
          <cell r="H366">
            <v>98637000</v>
          </cell>
          <cell r="I366" t="str">
            <v>Сельские поселения Нижнеколымского муниципального района</v>
          </cell>
          <cell r="J366" t="str">
            <v>Походский наслег</v>
          </cell>
          <cell r="K366" t="str">
            <v>с</v>
          </cell>
          <cell r="L366" t="str">
            <v>село</v>
          </cell>
          <cell r="M366" t="str">
            <v>Крестовая</v>
          </cell>
        </row>
        <row r="367">
          <cell r="B367">
            <v>98637424126</v>
          </cell>
          <cell r="C367" t="str">
            <v>Муниципальные образования Республики Саха (Якутия)</v>
          </cell>
          <cell r="D367">
            <v>98600000</v>
          </cell>
          <cell r="E367" t="str">
            <v>Муниципальные образования Республики Саха (Якутия)</v>
          </cell>
          <cell r="F367">
            <v>98000000</v>
          </cell>
          <cell r="G367" t="str">
            <v>Нижнеколымский муниципальный район</v>
          </cell>
          <cell r="H367">
            <v>98637000</v>
          </cell>
          <cell r="I367" t="str">
            <v>Сельские поселения Нижнеколымского муниципального района</v>
          </cell>
          <cell r="J367" t="str">
            <v>Походский наслег</v>
          </cell>
          <cell r="K367" t="str">
            <v>с</v>
          </cell>
          <cell r="L367" t="str">
            <v>село</v>
          </cell>
          <cell r="M367" t="str">
            <v>Михалкино</v>
          </cell>
        </row>
        <row r="368">
          <cell r="B368">
            <v>98637424131</v>
          </cell>
          <cell r="C368" t="str">
            <v>Муниципальные образования Республики Саха (Якутия)</v>
          </cell>
          <cell r="D368">
            <v>98600000</v>
          </cell>
          <cell r="E368" t="str">
            <v>Муниципальные образования Республики Саха (Якутия)</v>
          </cell>
          <cell r="F368">
            <v>98000000</v>
          </cell>
          <cell r="G368" t="str">
            <v>Нижнеколымский муниципальный район</v>
          </cell>
          <cell r="H368">
            <v>98637000</v>
          </cell>
          <cell r="I368" t="str">
            <v>Сельские поселения Нижнеколымского муниципального района</v>
          </cell>
          <cell r="J368" t="str">
            <v>Походский наслег</v>
          </cell>
          <cell r="K368" t="str">
            <v>с</v>
          </cell>
          <cell r="L368" t="str">
            <v>село</v>
          </cell>
          <cell r="M368" t="str">
            <v>Нижнеколымск</v>
          </cell>
        </row>
        <row r="369">
          <cell r="B369">
            <v>98637424136</v>
          </cell>
          <cell r="C369" t="str">
            <v>Муниципальные образования Республики Саха (Якутия)</v>
          </cell>
          <cell r="D369">
            <v>98600000</v>
          </cell>
          <cell r="E369" t="str">
            <v>Муниципальные образования Республики Саха (Якутия)</v>
          </cell>
          <cell r="F369">
            <v>98000000</v>
          </cell>
          <cell r="G369" t="str">
            <v>Нижнеколымский муниципальный район</v>
          </cell>
          <cell r="H369">
            <v>98637000</v>
          </cell>
          <cell r="I369" t="str">
            <v>Сельские поселения Нижнеколымского муниципального района</v>
          </cell>
          <cell r="J369" t="str">
            <v>Походский наслег</v>
          </cell>
          <cell r="K369" t="str">
            <v>с</v>
          </cell>
          <cell r="L369" t="str">
            <v>село</v>
          </cell>
          <cell r="M369" t="str">
            <v>Тимкино</v>
          </cell>
        </row>
        <row r="370">
          <cell r="B370">
            <v>98637424141</v>
          </cell>
          <cell r="C370" t="str">
            <v>Муниципальные образования Республики Саха (Якутия)</v>
          </cell>
          <cell r="D370">
            <v>98600000</v>
          </cell>
          <cell r="E370" t="str">
            <v>Муниципальные образования Республики Саха (Якутия)</v>
          </cell>
          <cell r="F370">
            <v>98000000</v>
          </cell>
          <cell r="G370" t="str">
            <v>Нижнеколымский муниципальный район</v>
          </cell>
          <cell r="H370">
            <v>98637000</v>
          </cell>
          <cell r="I370" t="str">
            <v>Сельские поселения Нижнеколымского муниципального района</v>
          </cell>
          <cell r="J370" t="str">
            <v>Походский наслег</v>
          </cell>
          <cell r="K370" t="str">
            <v>с</v>
          </cell>
          <cell r="L370" t="str">
            <v>село</v>
          </cell>
          <cell r="M370" t="str">
            <v>Чукочья</v>
          </cell>
        </row>
        <row r="371">
          <cell r="B371">
            <v>98637437101</v>
          </cell>
          <cell r="C371" t="str">
            <v>Муниципальные образования Республики Саха (Якутия)</v>
          </cell>
          <cell r="D371">
            <v>98600000</v>
          </cell>
          <cell r="E371" t="str">
            <v>Муниципальные образования Республики Саха (Якутия)</v>
          </cell>
          <cell r="F371">
            <v>98000000</v>
          </cell>
          <cell r="G371" t="str">
            <v>Нижнеколымский муниципальный район</v>
          </cell>
          <cell r="H371">
            <v>98637000</v>
          </cell>
          <cell r="I371" t="str">
            <v>Сельские поселения Нижнеколымского муниципального района</v>
          </cell>
          <cell r="J371" t="str">
            <v>Чукотский национальный Халарчинский наслег</v>
          </cell>
          <cell r="K371" t="str">
            <v>с</v>
          </cell>
          <cell r="L371" t="str">
            <v>село</v>
          </cell>
          <cell r="M371" t="str">
            <v>Колымское</v>
          </cell>
        </row>
        <row r="372">
          <cell r="B372">
            <v>98639151051</v>
          </cell>
          <cell r="C372" t="str">
            <v>Муниципальные образования Республики Саха (Якутия)</v>
          </cell>
          <cell r="D372">
            <v>98600000</v>
          </cell>
          <cell r="E372" t="str">
            <v>Муниципальные образования Республики Саха (Якутия)</v>
          </cell>
          <cell r="F372">
            <v>98000000</v>
          </cell>
          <cell r="G372" t="str">
            <v>Оймяконский муниципальный район</v>
          </cell>
          <cell r="H372">
            <v>98639000</v>
          </cell>
          <cell r="I372" t="str">
            <v>Городские поселения Оймяконского муниципального района</v>
          </cell>
          <cell r="J372" t="str">
            <v>поселок Усть-Нера</v>
          </cell>
          <cell r="K372" t="str">
            <v>п</v>
          </cell>
          <cell r="L372" t="str">
            <v>поселок</v>
          </cell>
          <cell r="M372" t="str">
            <v>Усть-Нера</v>
          </cell>
        </row>
        <row r="373">
          <cell r="B373">
            <v>98639153051</v>
          </cell>
          <cell r="C373" t="str">
            <v>Муниципальные образования Республики Саха (Якутия)</v>
          </cell>
          <cell r="D373">
            <v>98600000</v>
          </cell>
          <cell r="E373" t="str">
            <v>Муниципальные образования Республики Саха (Якутия)</v>
          </cell>
          <cell r="F373">
            <v>98000000</v>
          </cell>
          <cell r="G373" t="str">
            <v>Оймяконский муниципальный район</v>
          </cell>
          <cell r="H373">
            <v>98639000</v>
          </cell>
          <cell r="I373" t="str">
            <v>Городские поселения Оймяконского муниципального района</v>
          </cell>
          <cell r="J373" t="str">
            <v>поселок Артык</v>
          </cell>
          <cell r="K373" t="str">
            <v>п</v>
          </cell>
          <cell r="L373" t="str">
            <v>поселок</v>
          </cell>
          <cell r="M373" t="str">
            <v>Артык</v>
          </cell>
        </row>
        <row r="374">
          <cell r="B374">
            <v>98639153106</v>
          </cell>
          <cell r="C374" t="str">
            <v>Муниципальные образования Республики Саха (Якутия)</v>
          </cell>
          <cell r="D374">
            <v>98600000</v>
          </cell>
          <cell r="E374" t="str">
            <v>Муниципальные образования Республики Саха (Якутия)</v>
          </cell>
          <cell r="F374">
            <v>98000000</v>
          </cell>
          <cell r="G374" t="str">
            <v>Оймяконский муниципальный район</v>
          </cell>
          <cell r="H374">
            <v>98639000</v>
          </cell>
          <cell r="I374" t="str">
            <v>Городские поселения Оймяконского муниципального района</v>
          </cell>
          <cell r="J374" t="str">
            <v>поселок Артык</v>
          </cell>
          <cell r="K374" t="str">
            <v>с</v>
          </cell>
          <cell r="L374" t="str">
            <v>село</v>
          </cell>
          <cell r="M374" t="str">
            <v>Делянкир</v>
          </cell>
        </row>
        <row r="375">
          <cell r="B375">
            <v>98639405101</v>
          </cell>
          <cell r="C375" t="str">
            <v>Муниципальные образования Республики Саха (Якутия)</v>
          </cell>
          <cell r="D375">
            <v>98600000</v>
          </cell>
          <cell r="E375" t="str">
            <v>Муниципальные образования Республики Саха (Якутия)</v>
          </cell>
          <cell r="F375">
            <v>98000000</v>
          </cell>
          <cell r="G375" t="str">
            <v>Оймяконский муниципальный район</v>
          </cell>
          <cell r="H375">
            <v>98639000</v>
          </cell>
          <cell r="I375" t="str">
            <v>Сельские поселения Оймяконского муниципального района</v>
          </cell>
          <cell r="J375" t="str">
            <v>Оймякон Полюс Холода</v>
          </cell>
          <cell r="K375" t="str">
            <v>с</v>
          </cell>
          <cell r="L375" t="str">
            <v>село</v>
          </cell>
          <cell r="M375" t="str">
            <v>Оймякон</v>
          </cell>
        </row>
        <row r="376">
          <cell r="B376">
            <v>98639405106</v>
          </cell>
          <cell r="C376" t="str">
            <v>Муниципальные образования Республики Саха (Якутия)</v>
          </cell>
          <cell r="D376">
            <v>98600000</v>
          </cell>
          <cell r="E376" t="str">
            <v>Муниципальные образования Республики Саха (Якутия)</v>
          </cell>
          <cell r="F376">
            <v>98000000</v>
          </cell>
          <cell r="G376" t="str">
            <v>Оймяконский муниципальный район</v>
          </cell>
          <cell r="H376">
            <v>98639000</v>
          </cell>
          <cell r="I376" t="str">
            <v>Сельские поселения Оймяконского муниципального района</v>
          </cell>
          <cell r="J376" t="str">
            <v>Оймякон Полюс Холода</v>
          </cell>
          <cell r="K376" t="str">
            <v>с</v>
          </cell>
          <cell r="L376" t="str">
            <v>село</v>
          </cell>
          <cell r="M376" t="str">
            <v>Берег-Юрдя</v>
          </cell>
        </row>
        <row r="377">
          <cell r="B377">
            <v>98639405111</v>
          </cell>
          <cell r="C377" t="str">
            <v>Муниципальные образования Республики Саха (Якутия)</v>
          </cell>
          <cell r="D377">
            <v>98600000</v>
          </cell>
          <cell r="E377" t="str">
            <v>Муниципальные образования Республики Саха (Якутия)</v>
          </cell>
          <cell r="F377">
            <v>98000000</v>
          </cell>
          <cell r="G377" t="str">
            <v>Оймяконский муниципальный район</v>
          </cell>
          <cell r="H377">
            <v>98639000</v>
          </cell>
          <cell r="I377" t="str">
            <v>Сельские поселения Оймяконского муниципального района</v>
          </cell>
          <cell r="J377" t="str">
            <v>Оймякон Полюс Холода</v>
          </cell>
          <cell r="K377" t="str">
            <v>с</v>
          </cell>
          <cell r="L377" t="str">
            <v>село</v>
          </cell>
          <cell r="M377" t="str">
            <v>Хара-Тумул</v>
          </cell>
        </row>
        <row r="378">
          <cell r="B378">
            <v>98639410101</v>
          </cell>
          <cell r="C378" t="str">
            <v>Муниципальные образования Республики Саха (Якутия)</v>
          </cell>
          <cell r="D378">
            <v>98600000</v>
          </cell>
          <cell r="E378" t="str">
            <v>Муниципальные образования Республики Саха (Якутия)</v>
          </cell>
          <cell r="F378">
            <v>98000000</v>
          </cell>
          <cell r="G378" t="str">
            <v>Оймяконский муниципальный район</v>
          </cell>
          <cell r="H378">
            <v>98639000</v>
          </cell>
          <cell r="I378" t="str">
            <v>Сельские поселения Оймяконского муниципального района</v>
          </cell>
          <cell r="J378" t="str">
            <v>Борогонский 2-й наслег</v>
          </cell>
          <cell r="K378" t="str">
            <v>с</v>
          </cell>
          <cell r="L378" t="str">
            <v>село</v>
          </cell>
          <cell r="M378" t="str">
            <v>Томтор</v>
          </cell>
        </row>
        <row r="379">
          <cell r="B379">
            <v>98639410106</v>
          </cell>
          <cell r="C379" t="str">
            <v>Муниципальные образования Республики Саха (Якутия)</v>
          </cell>
          <cell r="D379">
            <v>98600000</v>
          </cell>
          <cell r="E379" t="str">
            <v>Муниципальные образования Республики Саха (Якутия)</v>
          </cell>
          <cell r="F379">
            <v>98000000</v>
          </cell>
          <cell r="G379" t="str">
            <v>Оймяконский муниципальный район</v>
          </cell>
          <cell r="H379">
            <v>98639000</v>
          </cell>
          <cell r="I379" t="str">
            <v>Сельские поселения Оймяконского муниципального района</v>
          </cell>
          <cell r="J379" t="str">
            <v>Борогонский 2-й наслег</v>
          </cell>
          <cell r="K379" t="str">
            <v>с</v>
          </cell>
          <cell r="L379" t="str">
            <v>село</v>
          </cell>
          <cell r="M379" t="str">
            <v>Агаякан</v>
          </cell>
        </row>
        <row r="380">
          <cell r="B380">
            <v>98639410111</v>
          </cell>
          <cell r="C380" t="str">
            <v>Муниципальные образования Республики Саха (Якутия)</v>
          </cell>
          <cell r="D380">
            <v>98600000</v>
          </cell>
          <cell r="E380" t="str">
            <v>Муниципальные образования Республики Саха (Якутия)</v>
          </cell>
          <cell r="F380">
            <v>98000000</v>
          </cell>
          <cell r="G380" t="str">
            <v>Оймяконский муниципальный район</v>
          </cell>
          <cell r="H380">
            <v>98639000</v>
          </cell>
          <cell r="I380" t="str">
            <v>Сельские поселения Оймяконского муниципального района</v>
          </cell>
          <cell r="J380" t="str">
            <v>Борогонский 2-й наслег</v>
          </cell>
          <cell r="K380" t="str">
            <v>с</v>
          </cell>
          <cell r="L380" t="str">
            <v>село</v>
          </cell>
          <cell r="M380" t="str">
            <v>Аэропорт</v>
          </cell>
        </row>
        <row r="381">
          <cell r="B381">
            <v>98639410116</v>
          </cell>
          <cell r="C381" t="str">
            <v>Муниципальные образования Республики Саха (Якутия)</v>
          </cell>
          <cell r="D381">
            <v>98600000</v>
          </cell>
          <cell r="E381" t="str">
            <v>Муниципальные образования Республики Саха (Якутия)</v>
          </cell>
          <cell r="F381">
            <v>98000000</v>
          </cell>
          <cell r="G381" t="str">
            <v>Оймяконский муниципальный район</v>
          </cell>
          <cell r="H381">
            <v>98639000</v>
          </cell>
          <cell r="I381" t="str">
            <v>Сельские поселения Оймяконского муниципального района</v>
          </cell>
          <cell r="J381" t="str">
            <v>Борогонский 2-й наслег</v>
          </cell>
          <cell r="K381" t="str">
            <v>с</v>
          </cell>
          <cell r="L381" t="str">
            <v>село</v>
          </cell>
          <cell r="M381" t="str">
            <v>Куйдусун</v>
          </cell>
        </row>
        <row r="382">
          <cell r="B382">
            <v>98639427101</v>
          </cell>
          <cell r="C382" t="str">
            <v>Муниципальные образования Республики Саха (Якутия)</v>
          </cell>
          <cell r="D382">
            <v>98600000</v>
          </cell>
          <cell r="E382" t="str">
            <v>Муниципальные образования Республики Саха (Якутия)</v>
          </cell>
          <cell r="F382">
            <v>98000000</v>
          </cell>
          <cell r="G382" t="str">
            <v>Оймяконский муниципальный район</v>
          </cell>
          <cell r="H382">
            <v>98639000</v>
          </cell>
          <cell r="I382" t="str">
            <v>Сельские поселения Оймяконского муниципального района</v>
          </cell>
          <cell r="J382" t="str">
            <v>Сордоннохский национальный наслег</v>
          </cell>
          <cell r="K382" t="str">
            <v>с</v>
          </cell>
          <cell r="L382" t="str">
            <v>село</v>
          </cell>
          <cell r="M382" t="str">
            <v>Орто-Балаган</v>
          </cell>
        </row>
        <row r="383">
          <cell r="B383">
            <v>98639427106</v>
          </cell>
          <cell r="C383" t="str">
            <v>Муниципальные образования Республики Саха (Якутия)</v>
          </cell>
          <cell r="D383">
            <v>98600000</v>
          </cell>
          <cell r="E383" t="str">
            <v>Муниципальные образования Республики Саха (Якутия)</v>
          </cell>
          <cell r="F383">
            <v>98000000</v>
          </cell>
          <cell r="G383" t="str">
            <v>Оймяконский муниципальный район</v>
          </cell>
          <cell r="H383">
            <v>98639000</v>
          </cell>
          <cell r="I383" t="str">
            <v>Сельские поселения Оймяконского муниципального района</v>
          </cell>
          <cell r="J383" t="str">
            <v>Сордоннохский национальный наслег</v>
          </cell>
          <cell r="K383" t="str">
            <v>с</v>
          </cell>
          <cell r="L383" t="str">
            <v>село</v>
          </cell>
          <cell r="M383" t="str">
            <v>Куранах-Сала</v>
          </cell>
        </row>
        <row r="384">
          <cell r="B384">
            <v>98639432101</v>
          </cell>
          <cell r="C384" t="str">
            <v>Муниципальные образования Республики Саха (Якутия)</v>
          </cell>
          <cell r="D384">
            <v>98600000</v>
          </cell>
          <cell r="E384" t="str">
            <v>Муниципальные образования Республики Саха (Якутия)</v>
          </cell>
          <cell r="F384">
            <v>98000000</v>
          </cell>
          <cell r="G384" t="str">
            <v>Оймяконский муниципальный район</v>
          </cell>
          <cell r="H384">
            <v>98639000</v>
          </cell>
          <cell r="I384" t="str">
            <v>Сельские поселения Оймяконского муниципального района</v>
          </cell>
          <cell r="J384" t="str">
            <v>Терютский наслег</v>
          </cell>
          <cell r="K384" t="str">
            <v>с</v>
          </cell>
          <cell r="L384" t="str">
            <v>село</v>
          </cell>
          <cell r="M384" t="str">
            <v>Терют</v>
          </cell>
        </row>
        <row r="385">
          <cell r="B385">
            <v>98639445101</v>
          </cell>
          <cell r="C385" t="str">
            <v>Муниципальные образования Республики Саха (Якутия)</v>
          </cell>
          <cell r="D385">
            <v>98600000</v>
          </cell>
          <cell r="E385" t="str">
            <v>Муниципальные образования Республики Саха (Якутия)</v>
          </cell>
          <cell r="F385">
            <v>98000000</v>
          </cell>
          <cell r="G385" t="str">
            <v>Оймяконский муниципальный район</v>
          </cell>
          <cell r="H385">
            <v>98639000</v>
          </cell>
          <cell r="I385" t="str">
            <v>Сельские поселения Оймяконского муниципального района</v>
          </cell>
          <cell r="J385" t="str">
            <v>Ючюгейский национальный наслег</v>
          </cell>
          <cell r="K385" t="str">
            <v>с</v>
          </cell>
          <cell r="L385" t="str">
            <v>село</v>
          </cell>
          <cell r="M385" t="str">
            <v>Ючюгей</v>
          </cell>
        </row>
        <row r="386">
          <cell r="B386">
            <v>98639445106</v>
          </cell>
          <cell r="C386" t="str">
            <v>Муниципальные образования Республики Саха (Якутия)</v>
          </cell>
          <cell r="D386">
            <v>98600000</v>
          </cell>
          <cell r="E386" t="str">
            <v>Муниципальные образования Республики Саха (Якутия)</v>
          </cell>
          <cell r="F386">
            <v>98000000</v>
          </cell>
          <cell r="G386" t="str">
            <v>Оймяконский муниципальный район</v>
          </cell>
          <cell r="H386">
            <v>98639000</v>
          </cell>
          <cell r="I386" t="str">
            <v>Сельские поселения Оймяконского муниципального района</v>
          </cell>
          <cell r="J386" t="str">
            <v>Ючюгейский национальный наслег</v>
          </cell>
          <cell r="K386" t="str">
            <v>с</v>
          </cell>
          <cell r="L386" t="str">
            <v>село</v>
          </cell>
          <cell r="M386" t="str">
            <v>Кюбеме</v>
          </cell>
        </row>
        <row r="387">
          <cell r="B387">
            <v>0</v>
          </cell>
          <cell r="C387" t="str">
            <v>Муниципальные образования Республики Саха (Якутия)</v>
          </cell>
          <cell r="D387">
            <v>98600000</v>
          </cell>
          <cell r="E387" t="str">
            <v>Муниципальные образования Республики Саха (Якутия)</v>
          </cell>
          <cell r="F387">
            <v>98000000</v>
          </cell>
          <cell r="G387" t="str">
            <v>Оймяконский муниципальный район</v>
          </cell>
          <cell r="H387">
            <v>98639000</v>
          </cell>
          <cell r="I387" t="str">
            <v>Межселенные территории Оймяконского муниципального района</v>
          </cell>
          <cell r="J387" t="str">
            <v>Межселенная территория Оймяконского муниципального района, находящаяся вне границ городских и сельских поселений</v>
          </cell>
          <cell r="K387">
            <v>0</v>
          </cell>
          <cell r="L387">
            <v>0</v>
          </cell>
          <cell r="M387">
            <v>0</v>
          </cell>
        </row>
        <row r="388">
          <cell r="B388">
            <v>98641101001</v>
          </cell>
          <cell r="C388" t="str">
            <v>Муниципальные образования Республики Саха (Якутия)</v>
          </cell>
          <cell r="D388">
            <v>98600000</v>
          </cell>
          <cell r="E388" t="str">
            <v>Муниципальные образования Республики Саха (Якутия)</v>
          </cell>
          <cell r="F388">
            <v>98000000</v>
          </cell>
          <cell r="G388" t="str">
            <v>Олекминский муниципальный район</v>
          </cell>
          <cell r="H388">
            <v>98641000</v>
          </cell>
          <cell r="I388" t="str">
            <v>Городские поселения Олекминского муниципального района</v>
          </cell>
          <cell r="J388" t="str">
            <v>город Олекминск</v>
          </cell>
          <cell r="K388" t="str">
            <v>г</v>
          </cell>
          <cell r="L388" t="str">
            <v>город</v>
          </cell>
          <cell r="M388" t="str">
            <v>Олёкминск</v>
          </cell>
        </row>
        <row r="389">
          <cell r="B389">
            <v>98641101106</v>
          </cell>
          <cell r="C389" t="str">
            <v>Муниципальные образования Республики Саха (Якутия)</v>
          </cell>
          <cell r="D389">
            <v>98600000</v>
          </cell>
          <cell r="E389" t="str">
            <v>Муниципальные образования Республики Саха (Якутия)</v>
          </cell>
          <cell r="F389">
            <v>98000000</v>
          </cell>
          <cell r="G389" t="str">
            <v>Олекминский муниципальный район</v>
          </cell>
          <cell r="H389">
            <v>98641000</v>
          </cell>
          <cell r="I389" t="str">
            <v>Городские поселения Олекминского муниципального района</v>
          </cell>
          <cell r="J389" t="str">
            <v>город Олекминск</v>
          </cell>
          <cell r="K389" t="str">
            <v>с</v>
          </cell>
          <cell r="L389" t="str">
            <v>село</v>
          </cell>
          <cell r="M389" t="str">
            <v>Авиапорт</v>
          </cell>
        </row>
        <row r="390">
          <cell r="B390">
            <v>98641101111</v>
          </cell>
          <cell r="C390" t="str">
            <v>Муниципальные образования Республики Саха (Якутия)</v>
          </cell>
          <cell r="D390">
            <v>98600000</v>
          </cell>
          <cell r="E390" t="str">
            <v>Муниципальные образования Республики Саха (Якутия)</v>
          </cell>
          <cell r="F390">
            <v>98000000</v>
          </cell>
          <cell r="G390" t="str">
            <v>Олекминский муниципальный район</v>
          </cell>
          <cell r="H390">
            <v>98641000</v>
          </cell>
          <cell r="I390" t="str">
            <v>Городские поселения Олекминского муниципального района</v>
          </cell>
          <cell r="J390" t="str">
            <v>город Олекминск</v>
          </cell>
          <cell r="K390" t="str">
            <v>с</v>
          </cell>
          <cell r="L390" t="str">
            <v>село</v>
          </cell>
          <cell r="M390" t="str">
            <v>Затон ЛОРПа</v>
          </cell>
        </row>
        <row r="391">
          <cell r="B391">
            <v>98641101116</v>
          </cell>
          <cell r="C391" t="str">
            <v>Муниципальные образования Республики Саха (Якутия)</v>
          </cell>
          <cell r="D391">
            <v>98600000</v>
          </cell>
          <cell r="E391" t="str">
            <v>Муниципальные образования Республики Саха (Якутия)</v>
          </cell>
          <cell r="F391">
            <v>98000000</v>
          </cell>
          <cell r="G391" t="str">
            <v>Олекминский муниципальный район</v>
          </cell>
          <cell r="H391">
            <v>98641000</v>
          </cell>
          <cell r="I391" t="str">
            <v>Городские поселения Олекминского муниципального района</v>
          </cell>
          <cell r="J391" t="str">
            <v>город Олекминск</v>
          </cell>
          <cell r="K391" t="str">
            <v>с</v>
          </cell>
          <cell r="L391" t="str">
            <v>село</v>
          </cell>
          <cell r="M391" t="str">
            <v>Нефтебаза</v>
          </cell>
        </row>
        <row r="392">
          <cell r="B392">
            <v>98641101121</v>
          </cell>
          <cell r="C392" t="str">
            <v>Муниципальные образования Республики Саха (Якутия)</v>
          </cell>
          <cell r="D392">
            <v>98600000</v>
          </cell>
          <cell r="E392" t="str">
            <v>Муниципальные образования Республики Саха (Якутия)</v>
          </cell>
          <cell r="F392">
            <v>98000000</v>
          </cell>
          <cell r="G392" t="str">
            <v>Олекминский муниципальный район</v>
          </cell>
          <cell r="H392">
            <v>98641000</v>
          </cell>
          <cell r="I392" t="str">
            <v>Городские поселения Олекминского муниципального района</v>
          </cell>
          <cell r="J392" t="str">
            <v>город Олекминск</v>
          </cell>
          <cell r="K392" t="str">
            <v>с</v>
          </cell>
          <cell r="L392" t="str">
            <v>село</v>
          </cell>
          <cell r="M392" t="str">
            <v>Селиваново</v>
          </cell>
        </row>
        <row r="393">
          <cell r="B393">
            <v>98641405101</v>
          </cell>
          <cell r="C393" t="str">
            <v>Муниципальные образования Республики Саха (Якутия)</v>
          </cell>
          <cell r="D393">
            <v>98600000</v>
          </cell>
          <cell r="E393" t="str">
            <v>Муниципальные образования Республики Саха (Якутия)</v>
          </cell>
          <cell r="F393">
            <v>98000000</v>
          </cell>
          <cell r="G393" t="str">
            <v>Олекминский муниципальный район</v>
          </cell>
          <cell r="H393">
            <v>98641000</v>
          </cell>
          <cell r="I393" t="str">
            <v>Сельские поселения Олекминского муниципального района</v>
          </cell>
          <cell r="J393" t="str">
            <v>Абагинский наслег</v>
          </cell>
          <cell r="K393" t="str">
            <v>с</v>
          </cell>
          <cell r="L393" t="str">
            <v>село</v>
          </cell>
          <cell r="M393" t="str">
            <v>Абага</v>
          </cell>
        </row>
        <row r="394">
          <cell r="B394">
            <v>98641405106</v>
          </cell>
          <cell r="C394" t="str">
            <v>Муниципальные образования Республики Саха (Якутия)</v>
          </cell>
          <cell r="D394">
            <v>98600000</v>
          </cell>
          <cell r="E394" t="str">
            <v>Муниципальные образования Республики Саха (Якутия)</v>
          </cell>
          <cell r="F394">
            <v>98000000</v>
          </cell>
          <cell r="G394" t="str">
            <v>Олекминский муниципальный район</v>
          </cell>
          <cell r="H394">
            <v>98641000</v>
          </cell>
          <cell r="I394" t="str">
            <v>Сельские поселения Олекминского муниципального района</v>
          </cell>
          <cell r="J394" t="str">
            <v>Абагинский наслег</v>
          </cell>
          <cell r="K394" t="str">
            <v>с</v>
          </cell>
          <cell r="L394" t="str">
            <v>село</v>
          </cell>
          <cell r="M394" t="str">
            <v>Абага центральная</v>
          </cell>
        </row>
        <row r="395">
          <cell r="B395">
            <v>98641410101</v>
          </cell>
          <cell r="C395" t="str">
            <v>Муниципальные образования Республики Саха (Якутия)</v>
          </cell>
          <cell r="D395">
            <v>98600000</v>
          </cell>
          <cell r="E395" t="str">
            <v>Муниципальные образования Республики Саха (Якутия)</v>
          </cell>
          <cell r="F395">
            <v>98000000</v>
          </cell>
          <cell r="G395" t="str">
            <v>Олекминский муниципальный район</v>
          </cell>
          <cell r="H395">
            <v>98641000</v>
          </cell>
          <cell r="I395" t="str">
            <v>Сельские поселения Олекминского муниципального района</v>
          </cell>
          <cell r="J395" t="str">
            <v>Дабанский наслег</v>
          </cell>
          <cell r="K395" t="str">
            <v>с</v>
          </cell>
          <cell r="L395" t="str">
            <v>село</v>
          </cell>
          <cell r="M395" t="str">
            <v>Дабан</v>
          </cell>
        </row>
        <row r="396">
          <cell r="B396">
            <v>98641410106</v>
          </cell>
          <cell r="C396" t="str">
            <v>Муниципальные образования Республики Саха (Якутия)</v>
          </cell>
          <cell r="D396">
            <v>98600000</v>
          </cell>
          <cell r="E396" t="str">
            <v>Муниципальные образования Республики Саха (Якутия)</v>
          </cell>
          <cell r="F396">
            <v>98000000</v>
          </cell>
          <cell r="G396" t="str">
            <v>Олекминский муниципальный район</v>
          </cell>
          <cell r="H396">
            <v>98641000</v>
          </cell>
          <cell r="I396" t="str">
            <v>Сельские поселения Олекминского муниципального района</v>
          </cell>
          <cell r="J396" t="str">
            <v>Дабанский наслег</v>
          </cell>
          <cell r="K396" t="str">
            <v>с</v>
          </cell>
          <cell r="L396" t="str">
            <v>село</v>
          </cell>
          <cell r="M396" t="str">
            <v>Кочегарово</v>
          </cell>
        </row>
        <row r="397">
          <cell r="B397">
            <v>98641410111</v>
          </cell>
          <cell r="C397" t="str">
            <v>Муниципальные образования Республики Саха (Якутия)</v>
          </cell>
          <cell r="D397">
            <v>98600000</v>
          </cell>
          <cell r="E397" t="str">
            <v>Муниципальные образования Республики Саха (Якутия)</v>
          </cell>
          <cell r="F397">
            <v>98000000</v>
          </cell>
          <cell r="G397" t="str">
            <v>Олекминский муниципальный район</v>
          </cell>
          <cell r="H397">
            <v>98641000</v>
          </cell>
          <cell r="I397" t="str">
            <v>Сельские поселения Олекминского муниципального района</v>
          </cell>
          <cell r="J397" t="str">
            <v>Дабанский наслег</v>
          </cell>
          <cell r="K397" t="str">
            <v>с</v>
          </cell>
          <cell r="L397" t="str">
            <v>село</v>
          </cell>
          <cell r="M397" t="str">
            <v>Черендей</v>
          </cell>
        </row>
        <row r="398">
          <cell r="B398">
            <v>98641415101</v>
          </cell>
          <cell r="C398" t="str">
            <v>Муниципальные образования Республики Саха (Якутия)</v>
          </cell>
          <cell r="D398">
            <v>98600000</v>
          </cell>
          <cell r="E398" t="str">
            <v>Муниципальные образования Республики Саха (Якутия)</v>
          </cell>
          <cell r="F398">
            <v>98000000</v>
          </cell>
          <cell r="G398" t="str">
            <v>Олекминский муниципальный район</v>
          </cell>
          <cell r="H398">
            <v>98641000</v>
          </cell>
          <cell r="I398" t="str">
            <v>Сельские поселения Олекминского муниципального района</v>
          </cell>
          <cell r="J398" t="str">
            <v>Дельгейский наслег</v>
          </cell>
          <cell r="K398" t="str">
            <v>с</v>
          </cell>
          <cell r="L398" t="str">
            <v>село</v>
          </cell>
          <cell r="M398" t="str">
            <v>Дельгей</v>
          </cell>
        </row>
        <row r="399">
          <cell r="B399">
            <v>98641415106</v>
          </cell>
          <cell r="C399" t="str">
            <v>Муниципальные образования Республики Саха (Якутия)</v>
          </cell>
          <cell r="D399">
            <v>98600000</v>
          </cell>
          <cell r="E399" t="str">
            <v>Муниципальные образования Республики Саха (Якутия)</v>
          </cell>
          <cell r="F399">
            <v>98000000</v>
          </cell>
          <cell r="G399" t="str">
            <v>Олекминский муниципальный район</v>
          </cell>
          <cell r="H399">
            <v>98641000</v>
          </cell>
          <cell r="I399" t="str">
            <v>Сельские поселения Олекминского муниципального района</v>
          </cell>
          <cell r="J399" t="str">
            <v>Дельгейский наслег</v>
          </cell>
          <cell r="K399" t="str">
            <v>с</v>
          </cell>
          <cell r="L399" t="str">
            <v>село</v>
          </cell>
          <cell r="M399" t="str">
            <v>Иннях</v>
          </cell>
        </row>
        <row r="400">
          <cell r="B400">
            <v>98641420101</v>
          </cell>
          <cell r="C400" t="str">
            <v>Муниципальные образования Республики Саха (Якутия)</v>
          </cell>
          <cell r="D400">
            <v>98600000</v>
          </cell>
          <cell r="E400" t="str">
            <v>Муниципальные образования Республики Саха (Якутия)</v>
          </cell>
          <cell r="F400">
            <v>98000000</v>
          </cell>
          <cell r="G400" t="str">
            <v>Олекминский муниципальный район</v>
          </cell>
          <cell r="H400">
            <v>98641000</v>
          </cell>
          <cell r="I400" t="str">
            <v>Сельские поселения Олекминского муниципального района</v>
          </cell>
          <cell r="J400" t="str">
            <v>Жарханский национальный наслег</v>
          </cell>
          <cell r="K400" t="str">
            <v>с</v>
          </cell>
          <cell r="L400" t="str">
            <v>село</v>
          </cell>
          <cell r="M400" t="str">
            <v>Токко</v>
          </cell>
        </row>
        <row r="401">
          <cell r="B401">
            <v>98641420106</v>
          </cell>
          <cell r="C401" t="str">
            <v>Муниципальные образования Республики Саха (Якутия)</v>
          </cell>
          <cell r="D401">
            <v>98600000</v>
          </cell>
          <cell r="E401" t="str">
            <v>Муниципальные образования Республики Саха (Якутия)</v>
          </cell>
          <cell r="F401">
            <v>98000000</v>
          </cell>
          <cell r="G401" t="str">
            <v>Олекминский муниципальный район</v>
          </cell>
          <cell r="H401">
            <v>98641000</v>
          </cell>
          <cell r="I401" t="str">
            <v>Сельские поселения Олекминского муниципального района</v>
          </cell>
          <cell r="J401" t="str">
            <v>Жарханский национальный наслег</v>
          </cell>
          <cell r="K401" t="str">
            <v>с</v>
          </cell>
          <cell r="L401" t="str">
            <v>село</v>
          </cell>
          <cell r="M401" t="str">
            <v>Жархан</v>
          </cell>
        </row>
        <row r="402">
          <cell r="B402">
            <v>98641420111</v>
          </cell>
          <cell r="C402" t="str">
            <v>Муниципальные образования Республики Саха (Якутия)</v>
          </cell>
          <cell r="D402">
            <v>98600000</v>
          </cell>
          <cell r="E402" t="str">
            <v>Муниципальные образования Республики Саха (Якутия)</v>
          </cell>
          <cell r="F402">
            <v>98000000</v>
          </cell>
          <cell r="G402" t="str">
            <v>Олекминский муниципальный район</v>
          </cell>
          <cell r="H402">
            <v>98641000</v>
          </cell>
          <cell r="I402" t="str">
            <v>Сельские поселения Олекминского муниципального района</v>
          </cell>
          <cell r="J402" t="str">
            <v>Жарханский национальный наслег</v>
          </cell>
          <cell r="K402" t="str">
            <v>с</v>
          </cell>
          <cell r="L402" t="str">
            <v>село</v>
          </cell>
          <cell r="M402" t="str">
            <v>Уолбут</v>
          </cell>
        </row>
        <row r="403">
          <cell r="B403">
            <v>98641425101</v>
          </cell>
          <cell r="C403" t="str">
            <v>Муниципальные образования Республики Саха (Якутия)</v>
          </cell>
          <cell r="D403">
            <v>98600000</v>
          </cell>
          <cell r="E403" t="str">
            <v>Муниципальные образования Республики Саха (Якутия)</v>
          </cell>
          <cell r="F403">
            <v>98000000</v>
          </cell>
          <cell r="G403" t="str">
            <v>Олекминский муниципальный район</v>
          </cell>
          <cell r="H403">
            <v>98641000</v>
          </cell>
          <cell r="I403" t="str">
            <v>Сельские поселения Олекминского муниципального района</v>
          </cell>
          <cell r="J403" t="str">
            <v>Киндигирский национальный наслег</v>
          </cell>
          <cell r="K403" t="str">
            <v>с</v>
          </cell>
          <cell r="L403" t="str">
            <v>село</v>
          </cell>
          <cell r="M403" t="str">
            <v>Куду-Кюёль</v>
          </cell>
        </row>
        <row r="404">
          <cell r="B404">
            <v>98641425106</v>
          </cell>
          <cell r="C404" t="str">
            <v>Муниципальные образования Республики Саха (Якутия)</v>
          </cell>
          <cell r="D404">
            <v>98600000</v>
          </cell>
          <cell r="E404" t="str">
            <v>Муниципальные образования Республики Саха (Якутия)</v>
          </cell>
          <cell r="F404">
            <v>98000000</v>
          </cell>
          <cell r="G404" t="str">
            <v>Олекминский муниципальный район</v>
          </cell>
          <cell r="H404">
            <v>98641000</v>
          </cell>
          <cell r="I404" t="str">
            <v>Сельские поселения Олекминского муниципального района</v>
          </cell>
          <cell r="J404" t="str">
            <v>Киндигирский национальный наслег</v>
          </cell>
          <cell r="K404" t="str">
            <v>с</v>
          </cell>
          <cell r="L404" t="str">
            <v>село</v>
          </cell>
          <cell r="M404" t="str">
            <v>Дикимдя</v>
          </cell>
        </row>
        <row r="405">
          <cell r="B405">
            <v>98641430101</v>
          </cell>
          <cell r="C405" t="str">
            <v>Муниципальные образования Республики Саха (Якутия)</v>
          </cell>
          <cell r="D405">
            <v>98600000</v>
          </cell>
          <cell r="E405" t="str">
            <v>Муниципальные образования Республики Саха (Якутия)</v>
          </cell>
          <cell r="F405">
            <v>98000000</v>
          </cell>
          <cell r="G405" t="str">
            <v>Олекминский муниципальный район</v>
          </cell>
          <cell r="H405">
            <v>98641000</v>
          </cell>
          <cell r="I405" t="str">
            <v>Сельские поселения Олекминского муниципального района</v>
          </cell>
          <cell r="J405" t="str">
            <v>Кыллахский наслег</v>
          </cell>
          <cell r="K405" t="str">
            <v>с</v>
          </cell>
          <cell r="L405" t="str">
            <v>село</v>
          </cell>
          <cell r="M405" t="str">
            <v>Кыллах</v>
          </cell>
        </row>
        <row r="406">
          <cell r="B406">
            <v>98641430106</v>
          </cell>
          <cell r="C406" t="str">
            <v>Муниципальные образования Республики Саха (Якутия)</v>
          </cell>
          <cell r="D406">
            <v>98600000</v>
          </cell>
          <cell r="E406" t="str">
            <v>Муниципальные образования Республики Саха (Якутия)</v>
          </cell>
          <cell r="F406">
            <v>98000000</v>
          </cell>
          <cell r="G406" t="str">
            <v>Олекминский муниципальный район</v>
          </cell>
          <cell r="H406">
            <v>98641000</v>
          </cell>
          <cell r="I406" t="str">
            <v>Сельские поселения Олекминского муниципального района</v>
          </cell>
          <cell r="J406" t="str">
            <v>Кыллахский наслег</v>
          </cell>
          <cell r="K406" t="str">
            <v>с</v>
          </cell>
          <cell r="L406" t="str">
            <v>село</v>
          </cell>
          <cell r="M406" t="str">
            <v>Даппарай</v>
          </cell>
        </row>
        <row r="407">
          <cell r="B407">
            <v>98641434101</v>
          </cell>
          <cell r="C407" t="str">
            <v>Муниципальные образования Республики Саха (Якутия)</v>
          </cell>
          <cell r="D407">
            <v>98600000</v>
          </cell>
          <cell r="E407" t="str">
            <v>Муниципальные образования Республики Саха (Якутия)</v>
          </cell>
          <cell r="F407">
            <v>98000000</v>
          </cell>
          <cell r="G407" t="str">
            <v>Олекминский муниципальный район</v>
          </cell>
          <cell r="H407">
            <v>98641000</v>
          </cell>
          <cell r="I407" t="str">
            <v>Сельские поселения Олекминского муниципального района</v>
          </cell>
          <cell r="J407" t="str">
            <v>Кяччинский наслег</v>
          </cell>
          <cell r="K407" t="str">
            <v>с</v>
          </cell>
          <cell r="L407" t="str">
            <v>село</v>
          </cell>
          <cell r="M407" t="str">
            <v>Кяччи</v>
          </cell>
        </row>
        <row r="408">
          <cell r="B408">
            <v>98641434106</v>
          </cell>
          <cell r="C408" t="str">
            <v>Муниципальные образования Республики Саха (Якутия)</v>
          </cell>
          <cell r="D408">
            <v>98600000</v>
          </cell>
          <cell r="E408" t="str">
            <v>Муниципальные образования Республики Саха (Якутия)</v>
          </cell>
          <cell r="F408">
            <v>98000000</v>
          </cell>
          <cell r="G408" t="str">
            <v>Олекминский муниципальный район</v>
          </cell>
          <cell r="H408">
            <v>98641000</v>
          </cell>
          <cell r="I408" t="str">
            <v>Сельские поселения Олекминского муниципального района</v>
          </cell>
          <cell r="J408" t="str">
            <v>Кяччинский наслег</v>
          </cell>
          <cell r="K408" t="str">
            <v>с</v>
          </cell>
          <cell r="L408" t="str">
            <v>село</v>
          </cell>
          <cell r="M408" t="str">
            <v>Килиер</v>
          </cell>
        </row>
        <row r="409">
          <cell r="B409">
            <v>98641434111</v>
          </cell>
          <cell r="C409" t="str">
            <v>Муниципальные образования Республики Саха (Якутия)</v>
          </cell>
          <cell r="D409">
            <v>98600000</v>
          </cell>
          <cell r="E409" t="str">
            <v>Муниципальные образования Республики Саха (Якутия)</v>
          </cell>
          <cell r="F409">
            <v>98000000</v>
          </cell>
          <cell r="G409" t="str">
            <v>Олекминский муниципальный район</v>
          </cell>
          <cell r="H409">
            <v>98641000</v>
          </cell>
          <cell r="I409" t="str">
            <v>Сельские поселения Олекминского муниципального района</v>
          </cell>
          <cell r="J409" t="str">
            <v>Кяччинский наслег</v>
          </cell>
          <cell r="K409" t="str">
            <v>с</v>
          </cell>
          <cell r="L409" t="str">
            <v>село</v>
          </cell>
          <cell r="M409" t="str">
            <v>Олом</v>
          </cell>
        </row>
        <row r="410">
          <cell r="B410">
            <v>98641434116</v>
          </cell>
          <cell r="C410" t="str">
            <v>Муниципальные образования Республики Саха (Якутия)</v>
          </cell>
          <cell r="D410">
            <v>98600000</v>
          </cell>
          <cell r="E410" t="str">
            <v>Муниципальные образования Республики Саха (Якутия)</v>
          </cell>
          <cell r="F410">
            <v>98000000</v>
          </cell>
          <cell r="G410" t="str">
            <v>Олекминский муниципальный район</v>
          </cell>
          <cell r="H410">
            <v>98641000</v>
          </cell>
          <cell r="I410" t="str">
            <v>Сельские поселения Олекминского муниципального района</v>
          </cell>
          <cell r="J410" t="str">
            <v>Кяччинский наслег</v>
          </cell>
          <cell r="K410" t="str">
            <v>с</v>
          </cell>
          <cell r="L410" t="str">
            <v>село</v>
          </cell>
          <cell r="M410" t="str">
            <v>Тэгэн</v>
          </cell>
        </row>
        <row r="411">
          <cell r="B411">
            <v>98641435101</v>
          </cell>
          <cell r="C411" t="str">
            <v>Муниципальные образования Республики Саха (Якутия)</v>
          </cell>
          <cell r="D411">
            <v>98600000</v>
          </cell>
          <cell r="E411" t="str">
            <v>Муниципальные образования Республики Саха (Якутия)</v>
          </cell>
          <cell r="F411">
            <v>98000000</v>
          </cell>
          <cell r="G411" t="str">
            <v>Олекминский муниципальный район</v>
          </cell>
          <cell r="H411">
            <v>98641000</v>
          </cell>
          <cell r="I411" t="str">
            <v>Сельские поселения Олекминского муниципального района</v>
          </cell>
          <cell r="J411" t="str">
            <v>Мальжагарский наслег</v>
          </cell>
          <cell r="K411" t="str">
            <v>с</v>
          </cell>
          <cell r="L411" t="str">
            <v>село</v>
          </cell>
          <cell r="M411" t="str">
            <v>Юнкюр</v>
          </cell>
        </row>
        <row r="412">
          <cell r="B412">
            <v>98641435106</v>
          </cell>
          <cell r="C412" t="str">
            <v>Муниципальные образования Республики Саха (Якутия)</v>
          </cell>
          <cell r="D412">
            <v>98600000</v>
          </cell>
          <cell r="E412" t="str">
            <v>Муниципальные образования Республики Саха (Якутия)</v>
          </cell>
          <cell r="F412">
            <v>98000000</v>
          </cell>
          <cell r="G412" t="str">
            <v>Олекминский муниципальный район</v>
          </cell>
          <cell r="H412">
            <v>98641000</v>
          </cell>
          <cell r="I412" t="str">
            <v>Сельские поселения Олекминского муниципального района</v>
          </cell>
          <cell r="J412" t="str">
            <v>Мальжагарский наслег</v>
          </cell>
          <cell r="K412" t="str">
            <v>с</v>
          </cell>
          <cell r="L412" t="str">
            <v>село</v>
          </cell>
          <cell r="M412" t="str">
            <v>Куранда</v>
          </cell>
        </row>
        <row r="413">
          <cell r="B413">
            <v>98641435111</v>
          </cell>
          <cell r="C413" t="str">
            <v>Муниципальные образования Республики Саха (Якутия)</v>
          </cell>
          <cell r="D413">
            <v>98600000</v>
          </cell>
          <cell r="E413" t="str">
            <v>Муниципальные образования Республики Саха (Якутия)</v>
          </cell>
          <cell r="F413">
            <v>98000000</v>
          </cell>
          <cell r="G413" t="str">
            <v>Олекминский муниципальный район</v>
          </cell>
          <cell r="H413">
            <v>98641000</v>
          </cell>
          <cell r="I413" t="str">
            <v>Сельские поселения Олекминского муниципального района</v>
          </cell>
          <cell r="J413" t="str">
            <v>Мальжагарский наслег</v>
          </cell>
          <cell r="K413" t="str">
            <v>с</v>
          </cell>
          <cell r="L413" t="str">
            <v>село</v>
          </cell>
          <cell r="M413" t="str">
            <v>Тюбя</v>
          </cell>
        </row>
        <row r="414">
          <cell r="B414">
            <v>98641440101</v>
          </cell>
          <cell r="C414" t="str">
            <v>Муниципальные образования Республики Саха (Якутия)</v>
          </cell>
          <cell r="D414">
            <v>98600000</v>
          </cell>
          <cell r="E414" t="str">
            <v>Муниципальные образования Республики Саха (Якутия)</v>
          </cell>
          <cell r="F414">
            <v>98000000</v>
          </cell>
          <cell r="G414" t="str">
            <v>Олекминский муниципальный район</v>
          </cell>
          <cell r="H414">
            <v>98641000</v>
          </cell>
          <cell r="I414" t="str">
            <v>Сельские поселения Олекминского муниципального района</v>
          </cell>
          <cell r="J414" t="str">
            <v>Мачинский наслег</v>
          </cell>
          <cell r="K414" t="str">
            <v>с</v>
          </cell>
          <cell r="L414" t="str">
            <v>село</v>
          </cell>
          <cell r="M414" t="str">
            <v>Мача</v>
          </cell>
        </row>
        <row r="415">
          <cell r="B415">
            <v>98641445101</v>
          </cell>
          <cell r="C415" t="str">
            <v>Муниципальные образования Республики Саха (Якутия)</v>
          </cell>
          <cell r="D415">
            <v>98600000</v>
          </cell>
          <cell r="E415" t="str">
            <v>Муниципальные образования Республики Саха (Якутия)</v>
          </cell>
          <cell r="F415">
            <v>98000000</v>
          </cell>
          <cell r="G415" t="str">
            <v>Олекминский муниципальный район</v>
          </cell>
          <cell r="H415">
            <v>98641000</v>
          </cell>
          <cell r="I415" t="str">
            <v>Сельские поселения Олекминского муниципального района</v>
          </cell>
          <cell r="J415" t="str">
            <v>Нерюктяйинский 1-й наслег</v>
          </cell>
          <cell r="K415" t="str">
            <v>с</v>
          </cell>
          <cell r="L415" t="str">
            <v>село</v>
          </cell>
          <cell r="M415" t="str">
            <v>Нерюктяйинск 1-й</v>
          </cell>
        </row>
        <row r="416">
          <cell r="B416">
            <v>98641445106</v>
          </cell>
          <cell r="C416" t="str">
            <v>Муниципальные образования Республики Саха (Якутия)</v>
          </cell>
          <cell r="D416">
            <v>98600000</v>
          </cell>
          <cell r="E416" t="str">
            <v>Муниципальные образования Республики Саха (Якутия)</v>
          </cell>
          <cell r="F416">
            <v>98000000</v>
          </cell>
          <cell r="G416" t="str">
            <v>Олекминский муниципальный район</v>
          </cell>
          <cell r="H416">
            <v>98641000</v>
          </cell>
          <cell r="I416" t="str">
            <v>Сельские поселения Олекминского муниципального района</v>
          </cell>
          <cell r="J416" t="str">
            <v>Нерюктяйинский 1-й наслег</v>
          </cell>
          <cell r="K416" t="str">
            <v>с</v>
          </cell>
          <cell r="L416" t="str">
            <v>село</v>
          </cell>
          <cell r="M416" t="str">
            <v>Бирюк</v>
          </cell>
        </row>
        <row r="417">
          <cell r="B417">
            <v>98641445111</v>
          </cell>
          <cell r="C417" t="str">
            <v>Муниципальные образования Республики Саха (Якутия)</v>
          </cell>
          <cell r="D417">
            <v>98600000</v>
          </cell>
          <cell r="E417" t="str">
            <v>Муниципальные образования Республики Саха (Якутия)</v>
          </cell>
          <cell r="F417">
            <v>98000000</v>
          </cell>
          <cell r="G417" t="str">
            <v>Олекминский муниципальный район</v>
          </cell>
          <cell r="H417">
            <v>98641000</v>
          </cell>
          <cell r="I417" t="str">
            <v>Сельские поселения Олекминского муниципального района</v>
          </cell>
          <cell r="J417" t="str">
            <v>Нерюктяйинский 1-й наслег</v>
          </cell>
          <cell r="K417" t="str">
            <v>с</v>
          </cell>
          <cell r="L417" t="str">
            <v>село</v>
          </cell>
          <cell r="M417" t="str">
            <v>Куду-Бясь</v>
          </cell>
        </row>
        <row r="418">
          <cell r="B418">
            <v>98641445116</v>
          </cell>
          <cell r="C418" t="str">
            <v>Муниципальные образования Республики Саха (Якутия)</v>
          </cell>
          <cell r="D418">
            <v>98600000</v>
          </cell>
          <cell r="E418" t="str">
            <v>Муниципальные образования Республики Саха (Якутия)</v>
          </cell>
          <cell r="F418">
            <v>98000000</v>
          </cell>
          <cell r="G418" t="str">
            <v>Олекминский муниципальный район</v>
          </cell>
          <cell r="H418">
            <v>98641000</v>
          </cell>
          <cell r="I418" t="str">
            <v>Сельские поселения Олекминского муниципального района</v>
          </cell>
          <cell r="J418" t="str">
            <v>Нерюктяйинский 1-й наслег</v>
          </cell>
          <cell r="K418" t="str">
            <v>с</v>
          </cell>
          <cell r="L418" t="str">
            <v>село</v>
          </cell>
          <cell r="M418" t="str">
            <v>Тас-Анна</v>
          </cell>
        </row>
        <row r="419">
          <cell r="B419">
            <v>98641450101</v>
          </cell>
          <cell r="C419" t="str">
            <v>Муниципальные образования Республики Саха (Якутия)</v>
          </cell>
          <cell r="D419">
            <v>98600000</v>
          </cell>
          <cell r="E419" t="str">
            <v>Муниципальные образования Республики Саха (Якутия)</v>
          </cell>
          <cell r="F419">
            <v>98000000</v>
          </cell>
          <cell r="G419" t="str">
            <v>Олекминский муниципальный район</v>
          </cell>
          <cell r="H419">
            <v>98641000</v>
          </cell>
          <cell r="I419" t="str">
            <v>Сельские поселения Олекминского муниципального района</v>
          </cell>
          <cell r="J419" t="str">
            <v>Нерюктяйинский 2-й наслег</v>
          </cell>
          <cell r="K419" t="str">
            <v>с</v>
          </cell>
          <cell r="L419" t="str">
            <v>село</v>
          </cell>
          <cell r="M419" t="str">
            <v>Нерюктяйинск 2-й</v>
          </cell>
        </row>
        <row r="420">
          <cell r="B420">
            <v>98641450106</v>
          </cell>
          <cell r="C420" t="str">
            <v>Муниципальные образования Республики Саха (Якутия)</v>
          </cell>
          <cell r="D420">
            <v>98600000</v>
          </cell>
          <cell r="E420" t="str">
            <v>Муниципальные образования Республики Саха (Якутия)</v>
          </cell>
          <cell r="F420">
            <v>98000000</v>
          </cell>
          <cell r="G420" t="str">
            <v>Олекминский муниципальный район</v>
          </cell>
          <cell r="H420">
            <v>98641000</v>
          </cell>
          <cell r="I420" t="str">
            <v>Сельские поселения Олекминского муниципального района</v>
          </cell>
          <cell r="J420" t="str">
            <v>Нерюктяйинский 2-й наслег</v>
          </cell>
          <cell r="K420" t="str">
            <v>с</v>
          </cell>
          <cell r="L420" t="str">
            <v>село</v>
          </cell>
          <cell r="M420" t="str">
            <v>Бердинка</v>
          </cell>
        </row>
        <row r="421">
          <cell r="B421">
            <v>98641450111</v>
          </cell>
          <cell r="C421" t="str">
            <v>Муниципальные образования Республики Саха (Якутия)</v>
          </cell>
          <cell r="D421">
            <v>98600000</v>
          </cell>
          <cell r="E421" t="str">
            <v>Муниципальные образования Республики Саха (Якутия)</v>
          </cell>
          <cell r="F421">
            <v>98000000</v>
          </cell>
          <cell r="G421" t="str">
            <v>Олекминский муниципальный район</v>
          </cell>
          <cell r="H421">
            <v>98641000</v>
          </cell>
          <cell r="I421" t="str">
            <v>Сельские поселения Олекминского муниципального района</v>
          </cell>
          <cell r="J421" t="str">
            <v>Нерюктяйинский 2-й наслег</v>
          </cell>
          <cell r="K421" t="str">
            <v>с</v>
          </cell>
          <cell r="L421" t="str">
            <v>село</v>
          </cell>
          <cell r="M421" t="str">
            <v>Холго</v>
          </cell>
        </row>
        <row r="422">
          <cell r="B422">
            <v>98641453101</v>
          </cell>
          <cell r="C422" t="str">
            <v>Муниципальные образования Республики Саха (Якутия)</v>
          </cell>
          <cell r="D422">
            <v>98600000</v>
          </cell>
          <cell r="E422" t="str">
            <v>Муниципальные образования Республики Саха (Якутия)</v>
          </cell>
          <cell r="F422">
            <v>98000000</v>
          </cell>
          <cell r="G422" t="str">
            <v>Олекминский муниципальный район</v>
          </cell>
          <cell r="H422">
            <v>98641000</v>
          </cell>
          <cell r="I422" t="str">
            <v>Сельские поселения Олекминского муниципального района</v>
          </cell>
          <cell r="J422" t="str">
            <v>Олекминский наслег</v>
          </cell>
          <cell r="K422" t="str">
            <v>с</v>
          </cell>
          <cell r="L422" t="str">
            <v>село</v>
          </cell>
          <cell r="M422" t="str">
            <v>Олёкминский</v>
          </cell>
        </row>
        <row r="423">
          <cell r="B423">
            <v>98641460101</v>
          </cell>
          <cell r="C423" t="str">
            <v>Муниципальные образования Республики Саха (Якутия)</v>
          </cell>
          <cell r="D423">
            <v>98600000</v>
          </cell>
          <cell r="E423" t="str">
            <v>Муниципальные образования Республики Саха (Якутия)</v>
          </cell>
          <cell r="F423">
            <v>98000000</v>
          </cell>
          <cell r="G423" t="str">
            <v>Олекминский муниципальный район</v>
          </cell>
          <cell r="H423">
            <v>98641000</v>
          </cell>
          <cell r="I423" t="str">
            <v>Сельские поселения Олекминского муниципального района</v>
          </cell>
          <cell r="J423" t="str">
            <v>Саныяхтахский наслег</v>
          </cell>
          <cell r="K423" t="str">
            <v>с</v>
          </cell>
          <cell r="L423" t="str">
            <v>село</v>
          </cell>
          <cell r="M423" t="str">
            <v>Саныяхтах</v>
          </cell>
        </row>
        <row r="424">
          <cell r="B424">
            <v>98641460106</v>
          </cell>
          <cell r="C424" t="str">
            <v>Муниципальные образования Республики Саха (Якутия)</v>
          </cell>
          <cell r="D424">
            <v>98600000</v>
          </cell>
          <cell r="E424" t="str">
            <v>Муниципальные образования Республики Саха (Якутия)</v>
          </cell>
          <cell r="F424">
            <v>98000000</v>
          </cell>
          <cell r="G424" t="str">
            <v>Олекминский муниципальный район</v>
          </cell>
          <cell r="H424">
            <v>98641000</v>
          </cell>
          <cell r="I424" t="str">
            <v>Сельские поселения Олекминского муниципального района</v>
          </cell>
          <cell r="J424" t="str">
            <v>Саныяхтахский наслег</v>
          </cell>
          <cell r="K424" t="str">
            <v>с</v>
          </cell>
          <cell r="L424" t="str">
            <v>село</v>
          </cell>
          <cell r="M424" t="str">
            <v>Алексеевка</v>
          </cell>
        </row>
        <row r="425">
          <cell r="B425">
            <v>98641460111</v>
          </cell>
          <cell r="C425" t="str">
            <v>Муниципальные образования Республики Саха (Якутия)</v>
          </cell>
          <cell r="D425">
            <v>98600000</v>
          </cell>
          <cell r="E425" t="str">
            <v>Муниципальные образования Республики Саха (Якутия)</v>
          </cell>
          <cell r="F425">
            <v>98000000</v>
          </cell>
          <cell r="G425" t="str">
            <v>Олекминский муниципальный район</v>
          </cell>
          <cell r="H425">
            <v>98641000</v>
          </cell>
          <cell r="I425" t="str">
            <v>Сельские поселения Олекминского муниципального района</v>
          </cell>
          <cell r="J425" t="str">
            <v>Саныяхтахский наслег</v>
          </cell>
          <cell r="K425" t="str">
            <v>с</v>
          </cell>
          <cell r="L425" t="str">
            <v>село</v>
          </cell>
          <cell r="M425" t="str">
            <v>Малыкан</v>
          </cell>
        </row>
        <row r="426">
          <cell r="B426">
            <v>98641460116</v>
          </cell>
          <cell r="C426" t="str">
            <v>Муниципальные образования Республики Саха (Якутия)</v>
          </cell>
          <cell r="D426">
            <v>98600000</v>
          </cell>
          <cell r="E426" t="str">
            <v>Муниципальные образования Республики Саха (Якутия)</v>
          </cell>
          <cell r="F426">
            <v>98000000</v>
          </cell>
          <cell r="G426" t="str">
            <v>Олекминский муниципальный район</v>
          </cell>
          <cell r="H426">
            <v>98641000</v>
          </cell>
          <cell r="I426" t="str">
            <v>Сельские поселения Олекминского муниципального района</v>
          </cell>
          <cell r="J426" t="str">
            <v>Саныяхтахский наслег</v>
          </cell>
          <cell r="K426" t="str">
            <v>с</v>
          </cell>
          <cell r="L426" t="str">
            <v>село</v>
          </cell>
          <cell r="M426" t="str">
            <v>Марха</v>
          </cell>
        </row>
        <row r="427">
          <cell r="B427">
            <v>98641465101</v>
          </cell>
          <cell r="C427" t="str">
            <v>Муниципальные образования Республики Саха (Якутия)</v>
          </cell>
          <cell r="D427">
            <v>98600000</v>
          </cell>
          <cell r="E427" t="str">
            <v>Муниципальные образования Республики Саха (Якутия)</v>
          </cell>
          <cell r="F427">
            <v>98000000</v>
          </cell>
          <cell r="G427" t="str">
            <v>Олекминский муниципальный район</v>
          </cell>
          <cell r="H427">
            <v>98641000</v>
          </cell>
          <cell r="I427" t="str">
            <v>Сельские поселения Олекминского муниципального района</v>
          </cell>
          <cell r="J427" t="str">
            <v>Солянский наслег</v>
          </cell>
          <cell r="K427" t="str">
            <v>с</v>
          </cell>
          <cell r="L427" t="str">
            <v>село</v>
          </cell>
          <cell r="M427" t="str">
            <v>Солянка</v>
          </cell>
        </row>
        <row r="428">
          <cell r="B428">
            <v>98641465106</v>
          </cell>
          <cell r="C428" t="str">
            <v>Муниципальные образования Республики Саха (Якутия)</v>
          </cell>
          <cell r="D428">
            <v>98600000</v>
          </cell>
          <cell r="E428" t="str">
            <v>Муниципальные образования Республики Саха (Якутия)</v>
          </cell>
          <cell r="F428">
            <v>98000000</v>
          </cell>
          <cell r="G428" t="str">
            <v>Олекминский муниципальный район</v>
          </cell>
          <cell r="H428">
            <v>98641000</v>
          </cell>
          <cell r="I428" t="str">
            <v>Сельские поселения Олекминского муниципального района</v>
          </cell>
          <cell r="J428" t="str">
            <v>Солянский наслег</v>
          </cell>
          <cell r="K428" t="str">
            <v>с</v>
          </cell>
          <cell r="L428" t="str">
            <v>село</v>
          </cell>
          <cell r="M428" t="str">
            <v>Харыялах</v>
          </cell>
        </row>
        <row r="429">
          <cell r="B429">
            <v>98641470101</v>
          </cell>
          <cell r="C429" t="str">
            <v>Муниципальные образования Республики Саха (Якутия)</v>
          </cell>
          <cell r="D429">
            <v>98600000</v>
          </cell>
          <cell r="E429" t="str">
            <v>Муниципальные образования Республики Саха (Якутия)</v>
          </cell>
          <cell r="F429">
            <v>98000000</v>
          </cell>
          <cell r="G429" t="str">
            <v>Олекминский муниципальный район</v>
          </cell>
          <cell r="H429">
            <v>98641000</v>
          </cell>
          <cell r="I429" t="str">
            <v>Сельские поселения Олекминского муниципального района</v>
          </cell>
          <cell r="J429" t="str">
            <v>Троицкий наслег</v>
          </cell>
          <cell r="K429" t="str">
            <v>с</v>
          </cell>
          <cell r="L429" t="str">
            <v>село</v>
          </cell>
          <cell r="M429" t="str">
            <v>Троицк</v>
          </cell>
        </row>
        <row r="430">
          <cell r="B430">
            <v>98641475056</v>
          </cell>
          <cell r="C430" t="str">
            <v>Муниципальные образования Республики Саха (Якутия)</v>
          </cell>
          <cell r="D430">
            <v>98600000</v>
          </cell>
          <cell r="E430" t="str">
            <v>Муниципальные образования Республики Саха (Якутия)</v>
          </cell>
          <cell r="F430">
            <v>98000000</v>
          </cell>
          <cell r="G430" t="str">
            <v>Олекминский муниципальный район</v>
          </cell>
          <cell r="H430">
            <v>98641000</v>
          </cell>
          <cell r="I430" t="str">
            <v>Сельские поселения Олекминского муниципального района</v>
          </cell>
          <cell r="J430" t="str">
            <v>Тянский национальный наслег</v>
          </cell>
          <cell r="K430" t="str">
            <v>п</v>
          </cell>
          <cell r="L430" t="str">
            <v>поселок</v>
          </cell>
          <cell r="M430" t="str">
            <v>Торго</v>
          </cell>
        </row>
        <row r="431">
          <cell r="B431">
            <v>98641475101</v>
          </cell>
          <cell r="C431" t="str">
            <v>Муниципальные образования Республики Саха (Якутия)</v>
          </cell>
          <cell r="D431">
            <v>98600000</v>
          </cell>
          <cell r="E431" t="str">
            <v>Муниципальные образования Республики Саха (Якутия)</v>
          </cell>
          <cell r="F431">
            <v>98000000</v>
          </cell>
          <cell r="G431" t="str">
            <v>Олекминский муниципальный район</v>
          </cell>
          <cell r="H431">
            <v>98641000</v>
          </cell>
          <cell r="I431" t="str">
            <v>Сельские поселения Олекминского муниципального района</v>
          </cell>
          <cell r="J431" t="str">
            <v>Тянский национальный наслег</v>
          </cell>
          <cell r="K431" t="str">
            <v>с</v>
          </cell>
          <cell r="L431" t="str">
            <v>село</v>
          </cell>
          <cell r="M431" t="str">
            <v>Тяня</v>
          </cell>
        </row>
        <row r="432">
          <cell r="B432">
            <v>98641477101</v>
          </cell>
          <cell r="C432" t="str">
            <v>Муниципальные образования Республики Саха (Якутия)</v>
          </cell>
          <cell r="D432">
            <v>98600000</v>
          </cell>
          <cell r="E432" t="str">
            <v>Муниципальные образования Республики Саха (Якутия)</v>
          </cell>
          <cell r="F432">
            <v>98000000</v>
          </cell>
          <cell r="G432" t="str">
            <v>Олекминский муниципальный район</v>
          </cell>
          <cell r="H432">
            <v>98641000</v>
          </cell>
          <cell r="I432" t="str">
            <v>Сельские поселения Олекминского муниципального района</v>
          </cell>
          <cell r="J432" t="str">
            <v>Улахан-Мунгкунский наслег</v>
          </cell>
          <cell r="K432" t="str">
            <v>с</v>
          </cell>
          <cell r="L432" t="str">
            <v>село</v>
          </cell>
          <cell r="M432" t="str">
            <v>Улахан-Мунгку</v>
          </cell>
        </row>
        <row r="433">
          <cell r="B433">
            <v>98641480101</v>
          </cell>
          <cell r="C433" t="str">
            <v>Муниципальные образования Республики Саха (Якутия)</v>
          </cell>
          <cell r="D433">
            <v>98600000</v>
          </cell>
          <cell r="E433" t="str">
            <v>Муниципальные образования Республики Саха (Якутия)</v>
          </cell>
          <cell r="F433">
            <v>98000000</v>
          </cell>
          <cell r="G433" t="str">
            <v>Олекминский муниципальный район</v>
          </cell>
          <cell r="H433">
            <v>98641000</v>
          </cell>
          <cell r="I433" t="str">
            <v>Сельские поселения Олекминского муниципального района</v>
          </cell>
          <cell r="J433" t="str">
            <v>Урицкий наслег</v>
          </cell>
          <cell r="K433" t="str">
            <v>с</v>
          </cell>
          <cell r="L433" t="str">
            <v>село</v>
          </cell>
          <cell r="M433" t="str">
            <v>Урицкое</v>
          </cell>
        </row>
        <row r="434">
          <cell r="B434">
            <v>98641480106</v>
          </cell>
          <cell r="C434" t="str">
            <v>Муниципальные образования Республики Саха (Якутия)</v>
          </cell>
          <cell r="D434">
            <v>98600000</v>
          </cell>
          <cell r="E434" t="str">
            <v>Муниципальные образования Республики Саха (Якутия)</v>
          </cell>
          <cell r="F434">
            <v>98000000</v>
          </cell>
          <cell r="G434" t="str">
            <v>Олекминский муниципальный район</v>
          </cell>
          <cell r="H434">
            <v>98641000</v>
          </cell>
          <cell r="I434" t="str">
            <v>Сельские поселения Олекминского муниципального района</v>
          </cell>
          <cell r="J434" t="str">
            <v>Урицкий наслег</v>
          </cell>
          <cell r="K434" t="str">
            <v>с</v>
          </cell>
          <cell r="L434" t="str">
            <v>село</v>
          </cell>
          <cell r="M434" t="str">
            <v>Хатынг-Тумул</v>
          </cell>
        </row>
        <row r="435">
          <cell r="B435">
            <v>98641485101</v>
          </cell>
          <cell r="C435" t="str">
            <v>Муниципальные образования Республики Саха (Якутия)</v>
          </cell>
          <cell r="D435">
            <v>98600000</v>
          </cell>
          <cell r="E435" t="str">
            <v>Муниципальные образования Республики Саха (Якутия)</v>
          </cell>
          <cell r="F435">
            <v>98000000</v>
          </cell>
          <cell r="G435" t="str">
            <v>Олекминский муниципальный район</v>
          </cell>
          <cell r="H435">
            <v>98641000</v>
          </cell>
          <cell r="I435" t="str">
            <v>Сельские поселения Олекминского муниципального района</v>
          </cell>
          <cell r="J435" t="str">
            <v>Хоринский наслег</v>
          </cell>
          <cell r="K435" t="str">
            <v>с</v>
          </cell>
          <cell r="L435" t="str">
            <v>село</v>
          </cell>
          <cell r="M435" t="str">
            <v>Хоринцы</v>
          </cell>
        </row>
        <row r="436">
          <cell r="B436">
            <v>98641485106</v>
          </cell>
          <cell r="C436" t="str">
            <v>Муниципальные образования Республики Саха (Якутия)</v>
          </cell>
          <cell r="D436">
            <v>98600000</v>
          </cell>
          <cell r="E436" t="str">
            <v>Муниципальные образования Республики Саха (Якутия)</v>
          </cell>
          <cell r="F436">
            <v>98000000</v>
          </cell>
          <cell r="G436" t="str">
            <v>Олекминский муниципальный район</v>
          </cell>
          <cell r="H436">
            <v>98641000</v>
          </cell>
          <cell r="I436" t="str">
            <v>Сельские поселения Олекминского муниципального района</v>
          </cell>
          <cell r="J436" t="str">
            <v>Хоринский наслег</v>
          </cell>
          <cell r="K436" t="str">
            <v>с</v>
          </cell>
          <cell r="L436" t="str">
            <v>село</v>
          </cell>
          <cell r="M436" t="str">
            <v>Балаганнах</v>
          </cell>
        </row>
        <row r="437">
          <cell r="B437">
            <v>98641485111</v>
          </cell>
          <cell r="C437" t="str">
            <v>Муниципальные образования Республики Саха (Якутия)</v>
          </cell>
          <cell r="D437">
            <v>98600000</v>
          </cell>
          <cell r="E437" t="str">
            <v>Муниципальные образования Республики Саха (Якутия)</v>
          </cell>
          <cell r="F437">
            <v>98000000</v>
          </cell>
          <cell r="G437" t="str">
            <v>Олекминский муниципальный район</v>
          </cell>
          <cell r="H437">
            <v>98641000</v>
          </cell>
          <cell r="I437" t="str">
            <v>Сельские поселения Олекминского муниципального района</v>
          </cell>
          <cell r="J437" t="str">
            <v>Хоринский наслег</v>
          </cell>
          <cell r="K437" t="str">
            <v>с</v>
          </cell>
          <cell r="L437" t="str">
            <v>село</v>
          </cell>
          <cell r="M437" t="str">
            <v>Мекимдя</v>
          </cell>
        </row>
        <row r="438">
          <cell r="B438">
            <v>98641487101</v>
          </cell>
          <cell r="C438" t="str">
            <v>Муниципальные образования Республики Саха (Якутия)</v>
          </cell>
          <cell r="D438">
            <v>98600000</v>
          </cell>
          <cell r="E438" t="str">
            <v>Муниципальные образования Республики Саха (Якутия)</v>
          </cell>
          <cell r="F438">
            <v>98000000</v>
          </cell>
          <cell r="G438" t="str">
            <v>Олекминский муниципальный район</v>
          </cell>
          <cell r="H438">
            <v>98641000</v>
          </cell>
          <cell r="I438" t="str">
            <v>Сельские поселения Олекминского муниципального района</v>
          </cell>
          <cell r="J438" t="str">
            <v>Чапаевский наслег</v>
          </cell>
          <cell r="K438" t="str">
            <v>с</v>
          </cell>
          <cell r="L438" t="str">
            <v>село</v>
          </cell>
          <cell r="M438" t="str">
            <v>Чапаево</v>
          </cell>
        </row>
        <row r="439">
          <cell r="B439">
            <v>98641487106</v>
          </cell>
          <cell r="C439" t="str">
            <v>Муниципальные образования Республики Саха (Якутия)</v>
          </cell>
          <cell r="D439">
            <v>98600000</v>
          </cell>
          <cell r="E439" t="str">
            <v>Муниципальные образования Республики Саха (Якутия)</v>
          </cell>
          <cell r="F439">
            <v>98000000</v>
          </cell>
          <cell r="G439" t="str">
            <v>Олекминский муниципальный район</v>
          </cell>
          <cell r="H439">
            <v>98641000</v>
          </cell>
          <cell r="I439" t="str">
            <v>Сельские поселения Олекминского муниципального района</v>
          </cell>
          <cell r="J439" t="str">
            <v>Чапаевский наслег</v>
          </cell>
          <cell r="K439" t="str">
            <v>с</v>
          </cell>
          <cell r="L439" t="str">
            <v>село</v>
          </cell>
          <cell r="M439" t="str">
            <v>Тинная</v>
          </cell>
        </row>
        <row r="440">
          <cell r="B440">
            <v>98641490101</v>
          </cell>
          <cell r="C440" t="str">
            <v>Муниципальные образования Республики Саха (Якутия)</v>
          </cell>
          <cell r="D440">
            <v>98600000</v>
          </cell>
          <cell r="E440" t="str">
            <v>Муниципальные образования Республики Саха (Якутия)</v>
          </cell>
          <cell r="F440">
            <v>98000000</v>
          </cell>
          <cell r="G440" t="str">
            <v>Олекминский муниципальный район</v>
          </cell>
          <cell r="H440">
            <v>98641000</v>
          </cell>
          <cell r="I440" t="str">
            <v>Сельские поселения Олекминского муниципального района</v>
          </cell>
          <cell r="J440" t="str">
            <v>Чаринский национальный наслег</v>
          </cell>
          <cell r="K440" t="str">
            <v>с</v>
          </cell>
          <cell r="L440" t="str">
            <v>село</v>
          </cell>
          <cell r="M440" t="str">
            <v>Бясь-Кюёль</v>
          </cell>
        </row>
        <row r="441">
          <cell r="B441">
            <v>98641493101</v>
          </cell>
          <cell r="C441" t="str">
            <v>Муниципальные образования Республики Саха (Якутия)</v>
          </cell>
          <cell r="D441">
            <v>98600000</v>
          </cell>
          <cell r="E441" t="str">
            <v>Муниципальные образования Республики Саха (Якутия)</v>
          </cell>
          <cell r="F441">
            <v>98000000</v>
          </cell>
          <cell r="G441" t="str">
            <v>Олекминский муниципальный район</v>
          </cell>
          <cell r="H441">
            <v>98641000</v>
          </cell>
          <cell r="I441" t="str">
            <v>Сельские поселения Олекминского муниципального района</v>
          </cell>
          <cell r="J441" t="str">
            <v>поселок Заречный</v>
          </cell>
          <cell r="K441" t="str">
            <v>с</v>
          </cell>
          <cell r="L441" t="str">
            <v>село</v>
          </cell>
          <cell r="M441" t="str">
            <v>Заречный</v>
          </cell>
        </row>
        <row r="442">
          <cell r="B442">
            <v>98642411101</v>
          </cell>
          <cell r="C442" t="str">
            <v>Муниципальные образования Республики Саха (Якутия)</v>
          </cell>
          <cell r="D442">
            <v>98600000</v>
          </cell>
          <cell r="E442" t="str">
            <v>Муниципальные образования Республики Саха (Якутия)</v>
          </cell>
          <cell r="F442">
            <v>98000000</v>
          </cell>
          <cell r="G442" t="str">
            <v>Оленекский эвенкийский национальный муниципальный район</v>
          </cell>
          <cell r="H442">
            <v>98642000</v>
          </cell>
          <cell r="I442" t="str">
            <v>Сельские поселения Оленекского эвенкийского национального муниципального района</v>
          </cell>
          <cell r="J442" t="str">
            <v>Жилиндинский национальный наслег</v>
          </cell>
          <cell r="K442" t="str">
            <v>с</v>
          </cell>
          <cell r="L442" t="str">
            <v>село</v>
          </cell>
          <cell r="M442" t="str">
            <v>Жилинда</v>
          </cell>
        </row>
        <row r="443">
          <cell r="B443">
            <v>98642424101</v>
          </cell>
          <cell r="C443" t="str">
            <v>Муниципальные образования Республики Саха (Якутия)</v>
          </cell>
          <cell r="D443">
            <v>98600000</v>
          </cell>
          <cell r="E443" t="str">
            <v>Муниципальные образования Республики Саха (Якутия)</v>
          </cell>
          <cell r="F443">
            <v>98000000</v>
          </cell>
          <cell r="G443" t="str">
            <v>Оленекский эвенкийский национальный муниципальный район</v>
          </cell>
          <cell r="H443">
            <v>98642000</v>
          </cell>
          <cell r="I443" t="str">
            <v>Сельские поселения Оленекского эвенкийского национального муниципального района</v>
          </cell>
          <cell r="J443" t="str">
            <v>Кирбейский национальный наслег</v>
          </cell>
          <cell r="K443" t="str">
            <v>с</v>
          </cell>
          <cell r="L443" t="str">
            <v>село</v>
          </cell>
          <cell r="M443" t="str">
            <v>Харыялах</v>
          </cell>
        </row>
        <row r="444">
          <cell r="B444">
            <v>98642437101</v>
          </cell>
          <cell r="C444" t="str">
            <v>Муниципальные образования Республики Саха (Якутия)</v>
          </cell>
          <cell r="D444">
            <v>98600000</v>
          </cell>
          <cell r="E444" t="str">
            <v>Муниципальные образования Республики Саха (Якутия)</v>
          </cell>
          <cell r="F444">
            <v>98000000</v>
          </cell>
          <cell r="G444" t="str">
            <v>Оленекский эвенкийский национальный муниципальный район</v>
          </cell>
          <cell r="H444">
            <v>98642000</v>
          </cell>
          <cell r="I444" t="str">
            <v>Сельские поселения Оленекского эвенкийского национального муниципального района</v>
          </cell>
          <cell r="J444" t="str">
            <v>Оленекский национальный наслег</v>
          </cell>
          <cell r="K444" t="str">
            <v>с</v>
          </cell>
          <cell r="L444" t="str">
            <v>село</v>
          </cell>
          <cell r="M444" t="str">
            <v>Оленек</v>
          </cell>
        </row>
        <row r="445">
          <cell r="B445">
            <v>98642450101</v>
          </cell>
          <cell r="C445" t="str">
            <v>Муниципальные образования Республики Саха (Якутия)</v>
          </cell>
          <cell r="D445">
            <v>98600000</v>
          </cell>
          <cell r="E445" t="str">
            <v>Муниципальные образования Республики Саха (Якутия)</v>
          </cell>
          <cell r="F445">
            <v>98000000</v>
          </cell>
          <cell r="G445" t="str">
            <v>Оленекский эвенкийский национальный муниципальный район</v>
          </cell>
          <cell r="H445">
            <v>98642000</v>
          </cell>
          <cell r="I445" t="str">
            <v>Сельские поселения Оленекского эвенкийского национального муниципального района</v>
          </cell>
          <cell r="J445" t="str">
            <v>Шологонский национальный наслег</v>
          </cell>
          <cell r="K445" t="str">
            <v>с</v>
          </cell>
          <cell r="L445" t="str">
            <v>село</v>
          </cell>
          <cell r="M445" t="str">
            <v>Эйик</v>
          </cell>
        </row>
        <row r="446">
          <cell r="B446">
            <v>0</v>
          </cell>
          <cell r="C446" t="str">
            <v>Муниципальные образования Республики Саха (Якутия)</v>
          </cell>
          <cell r="D446">
            <v>98600000</v>
          </cell>
          <cell r="E446" t="str">
            <v>Муниципальные образования Республики Саха (Якутия)</v>
          </cell>
          <cell r="F446">
            <v>98000000</v>
          </cell>
          <cell r="G446" t="str">
            <v>Оленекский эвенкийский национальный муниципальный район</v>
          </cell>
          <cell r="H446">
            <v>98642000</v>
          </cell>
          <cell r="I446" t="str">
            <v>Межселенные территории Оленекского эвенкийского национального муниципального района</v>
          </cell>
          <cell r="J446" t="str">
            <v>Межселенные территории Оленекского эвенкийского национального муниципального района, включая территории ресурсных резерватов (эркээйи-сирдэри) "Бэкэ", "Бириктэ", "Алакит", "Мархара" и месторождений редкоземельных металлов</v>
          </cell>
          <cell r="K446">
            <v>0</v>
          </cell>
          <cell r="L446">
            <v>0</v>
          </cell>
          <cell r="M446">
            <v>0</v>
          </cell>
        </row>
        <row r="447">
          <cell r="B447">
            <v>98644101001</v>
          </cell>
          <cell r="C447" t="str">
            <v>Муниципальные образования Республики Саха (Якутия)</v>
          </cell>
          <cell r="D447">
            <v>98600000</v>
          </cell>
          <cell r="E447" t="str">
            <v>Муниципальные образования Республики Саха (Якутия)</v>
          </cell>
          <cell r="F447">
            <v>98000000</v>
          </cell>
          <cell r="G447" t="str">
            <v>Хангаласский муниципальный район</v>
          </cell>
          <cell r="H447">
            <v>98644000</v>
          </cell>
          <cell r="I447" t="str">
            <v>Городские поселения Хангаласского муниципального района</v>
          </cell>
          <cell r="J447" t="str">
            <v>город Покровск</v>
          </cell>
          <cell r="K447" t="str">
            <v>г</v>
          </cell>
          <cell r="L447" t="str">
            <v>город</v>
          </cell>
          <cell r="M447" t="str">
            <v>Покровск</v>
          </cell>
        </row>
        <row r="448">
          <cell r="B448">
            <v>98644157051</v>
          </cell>
          <cell r="C448" t="str">
            <v>Муниципальные образования Республики Саха (Якутия)</v>
          </cell>
          <cell r="D448">
            <v>98600000</v>
          </cell>
          <cell r="E448" t="str">
            <v>Муниципальные образования Республики Саха (Якутия)</v>
          </cell>
          <cell r="F448">
            <v>98000000</v>
          </cell>
          <cell r="G448" t="str">
            <v>Хангаласский муниципальный район</v>
          </cell>
          <cell r="H448">
            <v>98644000</v>
          </cell>
          <cell r="I448" t="str">
            <v>Городские поселения Хангаласского муниципального района</v>
          </cell>
          <cell r="J448" t="str">
            <v>поселок Мохсоголлох</v>
          </cell>
          <cell r="K448" t="str">
            <v>п</v>
          </cell>
          <cell r="L448" t="str">
            <v>поселок</v>
          </cell>
          <cell r="M448" t="str">
            <v>Мохсоголлох</v>
          </cell>
        </row>
        <row r="449">
          <cell r="B449">
            <v>98644403101</v>
          </cell>
          <cell r="C449" t="str">
            <v>Муниципальные образования Республики Саха (Якутия)</v>
          </cell>
          <cell r="D449">
            <v>98600000</v>
          </cell>
          <cell r="E449" t="str">
            <v>Муниципальные образования Республики Саха (Якутия)</v>
          </cell>
          <cell r="F449">
            <v>98000000</v>
          </cell>
          <cell r="G449" t="str">
            <v>Хангаласский муниципальный район</v>
          </cell>
          <cell r="H449">
            <v>98644000</v>
          </cell>
          <cell r="I449" t="str">
            <v>Сельские поселения Хангаласского муниципального района</v>
          </cell>
          <cell r="J449" t="str">
            <v>Бестяхский наслег</v>
          </cell>
          <cell r="K449" t="str">
            <v>с</v>
          </cell>
          <cell r="L449" t="str">
            <v>село</v>
          </cell>
          <cell r="M449" t="str">
            <v>Бестях</v>
          </cell>
        </row>
        <row r="450">
          <cell r="B450">
            <v>98644403106</v>
          </cell>
          <cell r="C450" t="str">
            <v>Муниципальные образования Республики Саха (Якутия)</v>
          </cell>
          <cell r="D450">
            <v>98600000</v>
          </cell>
          <cell r="E450" t="str">
            <v>Муниципальные образования Республики Саха (Якутия)</v>
          </cell>
          <cell r="F450">
            <v>98000000</v>
          </cell>
          <cell r="G450" t="str">
            <v>Хангаласский муниципальный район</v>
          </cell>
          <cell r="H450">
            <v>98644000</v>
          </cell>
          <cell r="I450" t="str">
            <v>Сельские поселения Хангаласского муниципального района</v>
          </cell>
          <cell r="J450" t="str">
            <v>Бестяхский наслег</v>
          </cell>
          <cell r="K450" t="str">
            <v>с</v>
          </cell>
          <cell r="L450" t="str">
            <v>село</v>
          </cell>
          <cell r="M450" t="str">
            <v>Чаранг</v>
          </cell>
        </row>
        <row r="451">
          <cell r="B451">
            <v>98644406101</v>
          </cell>
          <cell r="C451" t="str">
            <v>Муниципальные образования Республики Саха (Якутия)</v>
          </cell>
          <cell r="D451">
            <v>98600000</v>
          </cell>
          <cell r="E451" t="str">
            <v>Муниципальные образования Республики Саха (Якутия)</v>
          </cell>
          <cell r="F451">
            <v>98000000</v>
          </cell>
          <cell r="G451" t="str">
            <v>Хангаласский муниципальный район</v>
          </cell>
          <cell r="H451">
            <v>98644000</v>
          </cell>
          <cell r="I451" t="str">
            <v>Сельские поселения Хангаласского муниципального района</v>
          </cell>
          <cell r="J451" t="str">
            <v>Жемконский 1-й наслег</v>
          </cell>
          <cell r="K451" t="str">
            <v>с</v>
          </cell>
          <cell r="L451" t="str">
            <v>село</v>
          </cell>
          <cell r="M451" t="str">
            <v>Тит-Эбя</v>
          </cell>
        </row>
        <row r="452">
          <cell r="B452">
            <v>98644406106</v>
          </cell>
          <cell r="C452" t="str">
            <v>Муниципальные образования Республики Саха (Якутия)</v>
          </cell>
          <cell r="D452">
            <v>98600000</v>
          </cell>
          <cell r="E452" t="str">
            <v>Муниципальные образования Республики Саха (Якутия)</v>
          </cell>
          <cell r="F452">
            <v>98000000</v>
          </cell>
          <cell r="G452" t="str">
            <v>Хангаласский муниципальный район</v>
          </cell>
          <cell r="H452">
            <v>98644000</v>
          </cell>
          <cell r="I452" t="str">
            <v>Сельские поселения Хангаласского муниципального района</v>
          </cell>
          <cell r="J452" t="str">
            <v>Жемконский 1-й наслег</v>
          </cell>
          <cell r="K452" t="str">
            <v>с</v>
          </cell>
          <cell r="L452" t="str">
            <v>село</v>
          </cell>
          <cell r="M452" t="str">
            <v>Хоточчу</v>
          </cell>
        </row>
        <row r="453">
          <cell r="B453">
            <v>98644407101</v>
          </cell>
          <cell r="C453" t="str">
            <v>Муниципальные образования Республики Саха (Якутия)</v>
          </cell>
          <cell r="D453">
            <v>98600000</v>
          </cell>
          <cell r="E453" t="str">
            <v>Муниципальные образования Республики Саха (Якутия)</v>
          </cell>
          <cell r="F453">
            <v>98000000</v>
          </cell>
          <cell r="G453" t="str">
            <v>Хангаласский муниципальный район</v>
          </cell>
          <cell r="H453">
            <v>98644000</v>
          </cell>
          <cell r="I453" t="str">
            <v>Сельские поселения Хангаласского муниципального района</v>
          </cell>
          <cell r="J453" t="str">
            <v>Жемконский 2-й наслег</v>
          </cell>
          <cell r="K453" t="str">
            <v>с</v>
          </cell>
          <cell r="L453" t="str">
            <v>село</v>
          </cell>
          <cell r="M453" t="str">
            <v>Кердём</v>
          </cell>
        </row>
        <row r="454">
          <cell r="B454">
            <v>98644407106</v>
          </cell>
          <cell r="C454" t="str">
            <v>Муниципальные образования Республики Саха (Якутия)</v>
          </cell>
          <cell r="D454">
            <v>98600000</v>
          </cell>
          <cell r="E454" t="str">
            <v>Муниципальные образования Республики Саха (Якутия)</v>
          </cell>
          <cell r="F454">
            <v>98000000</v>
          </cell>
          <cell r="G454" t="str">
            <v>Хангаласский муниципальный район</v>
          </cell>
          <cell r="H454">
            <v>98644000</v>
          </cell>
          <cell r="I454" t="str">
            <v>Сельские поселения Хангаласского муниципального района</v>
          </cell>
          <cell r="J454" t="str">
            <v>Жемконский 2-й наслег</v>
          </cell>
          <cell r="K454" t="str">
            <v>с</v>
          </cell>
          <cell r="L454" t="str">
            <v>село</v>
          </cell>
          <cell r="M454" t="str">
            <v>Нуочаха</v>
          </cell>
        </row>
        <row r="455">
          <cell r="B455">
            <v>98644409101</v>
          </cell>
          <cell r="C455" t="str">
            <v>Муниципальные образования Республики Саха (Якутия)</v>
          </cell>
          <cell r="D455">
            <v>98600000</v>
          </cell>
          <cell r="E455" t="str">
            <v>Муниципальные образования Республики Саха (Якутия)</v>
          </cell>
          <cell r="F455">
            <v>98000000</v>
          </cell>
          <cell r="G455" t="str">
            <v>Хангаласский муниципальный район</v>
          </cell>
          <cell r="H455">
            <v>98644000</v>
          </cell>
          <cell r="I455" t="str">
            <v>Сельские поселения Хангаласского муниципального района</v>
          </cell>
          <cell r="J455" t="str">
            <v>Жерский наслег</v>
          </cell>
          <cell r="K455" t="str">
            <v>с</v>
          </cell>
          <cell r="L455" t="str">
            <v>село</v>
          </cell>
          <cell r="M455" t="str">
            <v>Улах-Ан</v>
          </cell>
        </row>
        <row r="456">
          <cell r="B456">
            <v>98644412101</v>
          </cell>
          <cell r="C456" t="str">
            <v>Муниципальные образования Республики Саха (Якутия)</v>
          </cell>
          <cell r="D456">
            <v>98600000</v>
          </cell>
          <cell r="E456" t="str">
            <v>Муниципальные образования Республики Саха (Якутия)</v>
          </cell>
          <cell r="F456">
            <v>98000000</v>
          </cell>
          <cell r="G456" t="str">
            <v>Хангаласский муниципальный район</v>
          </cell>
          <cell r="H456">
            <v>98644000</v>
          </cell>
          <cell r="I456" t="str">
            <v>Сельские поселения Хангаласского муниципального района</v>
          </cell>
          <cell r="J456" t="str">
            <v>Иситский наслег</v>
          </cell>
          <cell r="K456" t="str">
            <v>с</v>
          </cell>
          <cell r="L456" t="str">
            <v>село</v>
          </cell>
          <cell r="M456" t="str">
            <v>Исит</v>
          </cell>
        </row>
        <row r="457">
          <cell r="B457">
            <v>98644412106</v>
          </cell>
          <cell r="C457" t="str">
            <v>Муниципальные образования Республики Саха (Якутия)</v>
          </cell>
          <cell r="D457">
            <v>98600000</v>
          </cell>
          <cell r="E457" t="str">
            <v>Муниципальные образования Республики Саха (Якутия)</v>
          </cell>
          <cell r="F457">
            <v>98000000</v>
          </cell>
          <cell r="G457" t="str">
            <v>Хангаласский муниципальный район</v>
          </cell>
          <cell r="H457">
            <v>98644000</v>
          </cell>
          <cell r="I457" t="str">
            <v>Сельские поселения Хангаласского муниципального района</v>
          </cell>
          <cell r="J457" t="str">
            <v>Иситский наслег</v>
          </cell>
          <cell r="K457" t="str">
            <v>с</v>
          </cell>
          <cell r="L457" t="str">
            <v>село</v>
          </cell>
          <cell r="M457" t="str">
            <v>Нохорой</v>
          </cell>
        </row>
        <row r="458">
          <cell r="B458">
            <v>98644418101</v>
          </cell>
          <cell r="C458" t="str">
            <v>Муниципальные образования Республики Саха (Якутия)</v>
          </cell>
          <cell r="D458">
            <v>98600000</v>
          </cell>
          <cell r="E458" t="str">
            <v>Муниципальные образования Республики Саха (Якутия)</v>
          </cell>
          <cell r="F458">
            <v>98000000</v>
          </cell>
          <cell r="G458" t="str">
            <v>Хангаласский муниципальный район</v>
          </cell>
          <cell r="H458">
            <v>98644000</v>
          </cell>
          <cell r="I458" t="str">
            <v>Сельские поселения Хангаласского муниципального района</v>
          </cell>
          <cell r="J458" t="str">
            <v>Качикатский наслег</v>
          </cell>
          <cell r="K458" t="str">
            <v>с</v>
          </cell>
          <cell r="L458" t="str">
            <v>село</v>
          </cell>
          <cell r="M458" t="str">
            <v>Качикатцы</v>
          </cell>
        </row>
        <row r="459">
          <cell r="B459">
            <v>98644418106</v>
          </cell>
          <cell r="C459" t="str">
            <v>Муниципальные образования Республики Саха (Якутия)</v>
          </cell>
          <cell r="D459">
            <v>98600000</v>
          </cell>
          <cell r="E459" t="str">
            <v>Муниципальные образования Республики Саха (Якутия)</v>
          </cell>
          <cell r="F459">
            <v>98000000</v>
          </cell>
          <cell r="G459" t="str">
            <v>Хангаласский муниципальный район</v>
          </cell>
          <cell r="H459">
            <v>98644000</v>
          </cell>
          <cell r="I459" t="str">
            <v>Сельские поселения Хангаласского муниципального района</v>
          </cell>
          <cell r="J459" t="str">
            <v>Качикатский наслег</v>
          </cell>
          <cell r="K459" t="str">
            <v>с</v>
          </cell>
          <cell r="L459" t="str">
            <v>село</v>
          </cell>
          <cell r="M459" t="str">
            <v>Кысыл-Юрюйя</v>
          </cell>
        </row>
        <row r="460">
          <cell r="B460">
            <v>98644423101</v>
          </cell>
          <cell r="C460" t="str">
            <v>Муниципальные образования Республики Саха (Якутия)</v>
          </cell>
          <cell r="D460">
            <v>98600000</v>
          </cell>
          <cell r="E460" t="str">
            <v>Муниципальные образования Республики Саха (Якутия)</v>
          </cell>
          <cell r="F460">
            <v>98000000</v>
          </cell>
          <cell r="G460" t="str">
            <v>Хангаласский муниципальный район</v>
          </cell>
          <cell r="H460">
            <v>98644000</v>
          </cell>
          <cell r="I460" t="str">
            <v>Сельские поселения Хангаласского муниципального района</v>
          </cell>
          <cell r="J460" t="str">
            <v>Мальжагарский 1-й наслег</v>
          </cell>
          <cell r="K460" t="str">
            <v>с</v>
          </cell>
          <cell r="L460" t="str">
            <v>село</v>
          </cell>
          <cell r="M460" t="str">
            <v>Булгунняхтах</v>
          </cell>
        </row>
        <row r="461">
          <cell r="B461">
            <v>98644423106</v>
          </cell>
          <cell r="C461" t="str">
            <v>Муниципальные образования Республики Саха (Якутия)</v>
          </cell>
          <cell r="D461">
            <v>98600000</v>
          </cell>
          <cell r="E461" t="str">
            <v>Муниципальные образования Республики Саха (Якутия)</v>
          </cell>
          <cell r="F461">
            <v>98000000</v>
          </cell>
          <cell r="G461" t="str">
            <v>Хангаласский муниципальный район</v>
          </cell>
          <cell r="H461">
            <v>98644000</v>
          </cell>
          <cell r="I461" t="str">
            <v>Сельские поселения Хангаласского муниципального района</v>
          </cell>
          <cell r="J461" t="str">
            <v>Мальжагарский 1-й наслег</v>
          </cell>
          <cell r="K461" t="str">
            <v>с</v>
          </cell>
          <cell r="L461" t="str">
            <v>село</v>
          </cell>
          <cell r="M461" t="str">
            <v>Тойон-Ары</v>
          </cell>
        </row>
        <row r="462">
          <cell r="B462">
            <v>98644425101</v>
          </cell>
          <cell r="C462" t="str">
            <v>Муниципальные образования Республики Саха (Якутия)</v>
          </cell>
          <cell r="D462">
            <v>98600000</v>
          </cell>
          <cell r="E462" t="str">
            <v>Муниципальные образования Республики Саха (Якутия)</v>
          </cell>
          <cell r="F462">
            <v>98000000</v>
          </cell>
          <cell r="G462" t="str">
            <v>Хангаласский муниципальный район</v>
          </cell>
          <cell r="H462">
            <v>98644000</v>
          </cell>
          <cell r="I462" t="str">
            <v>Сельские поселения Хангаласского муниципального района</v>
          </cell>
          <cell r="J462" t="str">
            <v>Мальжагарский 2-й наслег</v>
          </cell>
          <cell r="K462" t="str">
            <v>с</v>
          </cell>
          <cell r="L462" t="str">
            <v>село</v>
          </cell>
          <cell r="M462" t="str">
            <v>Улахан-Ан</v>
          </cell>
        </row>
        <row r="463">
          <cell r="B463">
            <v>98644425106</v>
          </cell>
          <cell r="C463" t="str">
            <v>Муниципальные образования Республики Саха (Якутия)</v>
          </cell>
          <cell r="D463">
            <v>98600000</v>
          </cell>
          <cell r="E463" t="str">
            <v>Муниципальные образования Республики Саха (Якутия)</v>
          </cell>
          <cell r="F463">
            <v>98000000</v>
          </cell>
          <cell r="G463" t="str">
            <v>Хангаласский муниципальный район</v>
          </cell>
          <cell r="H463">
            <v>98644000</v>
          </cell>
          <cell r="I463" t="str">
            <v>Сельские поселения Хангаласского муниципального района</v>
          </cell>
          <cell r="J463" t="str">
            <v>Мальжагарский 2-й наслег</v>
          </cell>
          <cell r="K463" t="str">
            <v>с</v>
          </cell>
          <cell r="L463" t="str">
            <v>село</v>
          </cell>
          <cell r="M463" t="str">
            <v>Еланка</v>
          </cell>
        </row>
        <row r="464">
          <cell r="B464">
            <v>98644427101</v>
          </cell>
          <cell r="C464" t="str">
            <v>Муниципальные образования Республики Саха (Якутия)</v>
          </cell>
          <cell r="D464">
            <v>98600000</v>
          </cell>
          <cell r="E464" t="str">
            <v>Муниципальные образования Республики Саха (Якутия)</v>
          </cell>
          <cell r="F464">
            <v>98000000</v>
          </cell>
          <cell r="G464" t="str">
            <v>Хангаласский муниципальный район</v>
          </cell>
          <cell r="H464">
            <v>98644000</v>
          </cell>
          <cell r="I464" t="str">
            <v>Сельские поселения Хангаласского муниципального района</v>
          </cell>
          <cell r="J464" t="str">
            <v>Мальжагарский 4-й наслег</v>
          </cell>
          <cell r="K464" t="str">
            <v>с</v>
          </cell>
          <cell r="L464" t="str">
            <v>село</v>
          </cell>
          <cell r="M464" t="str">
            <v>Едей</v>
          </cell>
        </row>
        <row r="465">
          <cell r="B465">
            <v>98644428101</v>
          </cell>
          <cell r="C465" t="str">
            <v>Муниципальные образования Республики Саха (Якутия)</v>
          </cell>
          <cell r="D465">
            <v>98600000</v>
          </cell>
          <cell r="E465" t="str">
            <v>Муниципальные образования Республики Саха (Якутия)</v>
          </cell>
          <cell r="F465">
            <v>98000000</v>
          </cell>
          <cell r="G465" t="str">
            <v>Хангаласский муниципальный район</v>
          </cell>
          <cell r="H465">
            <v>98644000</v>
          </cell>
          <cell r="I465" t="str">
            <v>Сельские поселения Хангаласского муниципального района</v>
          </cell>
          <cell r="J465" t="str">
            <v>Мальжагарский 5-й наслег</v>
          </cell>
          <cell r="K465" t="str">
            <v>с</v>
          </cell>
          <cell r="L465" t="str">
            <v>село</v>
          </cell>
          <cell r="M465" t="str">
            <v>Кытыл-Дюра</v>
          </cell>
        </row>
        <row r="466">
          <cell r="B466">
            <v>98644435101</v>
          </cell>
          <cell r="C466" t="str">
            <v>Муниципальные образования Республики Саха (Якутия)</v>
          </cell>
          <cell r="D466">
            <v>98600000</v>
          </cell>
          <cell r="E466" t="str">
            <v>Муниципальные образования Республики Саха (Якутия)</v>
          </cell>
          <cell r="F466">
            <v>98000000</v>
          </cell>
          <cell r="G466" t="str">
            <v>Хангаласский муниципальный район</v>
          </cell>
          <cell r="H466">
            <v>98644000</v>
          </cell>
          <cell r="I466" t="str">
            <v>Сельские поселения Хангаласского муниципального района</v>
          </cell>
          <cell r="J466" t="str">
            <v>Немюгюнский наслег</v>
          </cell>
          <cell r="K466" t="str">
            <v>с</v>
          </cell>
          <cell r="L466" t="str">
            <v>село</v>
          </cell>
          <cell r="M466" t="str">
            <v>Ой</v>
          </cell>
        </row>
        <row r="467">
          <cell r="B467">
            <v>98644440101</v>
          </cell>
          <cell r="C467" t="str">
            <v>Муниципальные образования Республики Саха (Якутия)</v>
          </cell>
          <cell r="D467">
            <v>98600000</v>
          </cell>
          <cell r="E467" t="str">
            <v>Муниципальные образования Республики Саха (Якутия)</v>
          </cell>
          <cell r="F467">
            <v>98000000</v>
          </cell>
          <cell r="G467" t="str">
            <v>Хангаласский муниципальный район</v>
          </cell>
          <cell r="H467">
            <v>98644000</v>
          </cell>
          <cell r="I467" t="str">
            <v>Сельские поселения Хангаласского муниципального района</v>
          </cell>
          <cell r="J467" t="str">
            <v>Октемский наслег</v>
          </cell>
          <cell r="K467" t="str">
            <v>с</v>
          </cell>
          <cell r="L467" t="str">
            <v>село</v>
          </cell>
          <cell r="M467" t="str">
            <v>Октёмцы</v>
          </cell>
        </row>
        <row r="468">
          <cell r="B468">
            <v>98644440106</v>
          </cell>
          <cell r="C468" t="str">
            <v>Муниципальные образования Республики Саха (Якутия)</v>
          </cell>
          <cell r="D468">
            <v>98600000</v>
          </cell>
          <cell r="E468" t="str">
            <v>Муниципальные образования Республики Саха (Якутия)</v>
          </cell>
          <cell r="F468">
            <v>98000000</v>
          </cell>
          <cell r="G468" t="str">
            <v>Хангаласский муниципальный район</v>
          </cell>
          <cell r="H468">
            <v>98644000</v>
          </cell>
          <cell r="I468" t="str">
            <v>Сельские поселения Хангаласского муниципального района</v>
          </cell>
          <cell r="J468" t="str">
            <v>Октемский наслег</v>
          </cell>
          <cell r="K468" t="str">
            <v>с</v>
          </cell>
          <cell r="L468" t="str">
            <v>село</v>
          </cell>
          <cell r="M468" t="str">
            <v>Чапаево</v>
          </cell>
        </row>
        <row r="469">
          <cell r="B469">
            <v>98644445101</v>
          </cell>
          <cell r="C469" t="str">
            <v>Муниципальные образования Республики Саха (Якутия)</v>
          </cell>
          <cell r="D469">
            <v>98600000</v>
          </cell>
          <cell r="E469" t="str">
            <v>Муниципальные образования Республики Саха (Якутия)</v>
          </cell>
          <cell r="F469">
            <v>98000000</v>
          </cell>
          <cell r="G469" t="str">
            <v>Хангаласский муниципальный район</v>
          </cell>
          <cell r="H469">
            <v>98644000</v>
          </cell>
          <cell r="I469" t="str">
            <v>Сельские поселения Хангаласского муниципального района</v>
          </cell>
          <cell r="J469" t="str">
            <v>Синский наслег</v>
          </cell>
          <cell r="K469" t="str">
            <v>с</v>
          </cell>
          <cell r="L469" t="str">
            <v>село</v>
          </cell>
          <cell r="M469" t="str">
            <v>Синск</v>
          </cell>
        </row>
        <row r="470">
          <cell r="B470">
            <v>98644447101</v>
          </cell>
          <cell r="C470" t="str">
            <v>Муниципальные образования Республики Саха (Якутия)</v>
          </cell>
          <cell r="D470">
            <v>98600000</v>
          </cell>
          <cell r="E470" t="str">
            <v>Муниципальные образования Республики Саха (Якутия)</v>
          </cell>
          <cell r="F470">
            <v>98000000</v>
          </cell>
          <cell r="G470" t="str">
            <v>Хангаласский муниципальный район</v>
          </cell>
          <cell r="H470">
            <v>98644000</v>
          </cell>
          <cell r="I470" t="str">
            <v>Сельские поселения Хангаласского муниципального района</v>
          </cell>
          <cell r="J470" t="str">
            <v>Техтюрский наслег</v>
          </cell>
          <cell r="K470" t="str">
            <v>с</v>
          </cell>
          <cell r="L470" t="str">
            <v>село</v>
          </cell>
          <cell r="M470" t="str">
            <v>Техтюр</v>
          </cell>
        </row>
        <row r="471">
          <cell r="B471">
            <v>98644447106</v>
          </cell>
          <cell r="C471" t="str">
            <v>Муниципальные образования Республики Саха (Якутия)</v>
          </cell>
          <cell r="D471">
            <v>98600000</v>
          </cell>
          <cell r="E471" t="str">
            <v>Муниципальные образования Республики Саха (Якутия)</v>
          </cell>
          <cell r="F471">
            <v>98000000</v>
          </cell>
          <cell r="G471" t="str">
            <v>Хангаласский муниципальный район</v>
          </cell>
          <cell r="H471">
            <v>98644000</v>
          </cell>
          <cell r="I471" t="str">
            <v>Сельские поселения Хангаласского муниципального района</v>
          </cell>
          <cell r="J471" t="str">
            <v>Техтюрский наслег</v>
          </cell>
          <cell r="K471" t="str">
            <v>с</v>
          </cell>
          <cell r="L471" t="str">
            <v>село</v>
          </cell>
          <cell r="M471" t="str">
            <v>Карапатское</v>
          </cell>
        </row>
        <row r="472">
          <cell r="B472">
            <v>98644450101</v>
          </cell>
          <cell r="C472" t="str">
            <v>Муниципальные образования Республики Саха (Якутия)</v>
          </cell>
          <cell r="D472">
            <v>98600000</v>
          </cell>
          <cell r="E472" t="str">
            <v>Муниципальные образования Республики Саха (Якутия)</v>
          </cell>
          <cell r="F472">
            <v>98000000</v>
          </cell>
          <cell r="G472" t="str">
            <v>Хангаласский муниципальный район</v>
          </cell>
          <cell r="H472">
            <v>98644000</v>
          </cell>
          <cell r="I472" t="str">
            <v>Сельские поселения Хангаласского муниципального района</v>
          </cell>
          <cell r="J472" t="str">
            <v>Тит-Арынский наслег</v>
          </cell>
          <cell r="K472" t="str">
            <v>с</v>
          </cell>
          <cell r="L472" t="str">
            <v>село</v>
          </cell>
          <cell r="M472" t="str">
            <v>Тит-Ары</v>
          </cell>
        </row>
        <row r="473">
          <cell r="B473">
            <v>98644450106</v>
          </cell>
          <cell r="C473" t="str">
            <v>Муниципальные образования Республики Саха (Якутия)</v>
          </cell>
          <cell r="D473">
            <v>98600000</v>
          </cell>
          <cell r="E473" t="str">
            <v>Муниципальные образования Республики Саха (Якутия)</v>
          </cell>
          <cell r="F473">
            <v>98000000</v>
          </cell>
          <cell r="G473" t="str">
            <v>Хангаласский муниципальный район</v>
          </cell>
          <cell r="H473">
            <v>98644000</v>
          </cell>
          <cell r="I473" t="str">
            <v>Сельские поселения Хангаласского муниципального района</v>
          </cell>
          <cell r="J473" t="str">
            <v>Тит-Арынский наслег</v>
          </cell>
          <cell r="K473" t="str">
            <v>с</v>
          </cell>
          <cell r="L473" t="str">
            <v>село</v>
          </cell>
          <cell r="M473" t="str">
            <v>Харыялах</v>
          </cell>
        </row>
        <row r="474">
          <cell r="B474">
            <v>98644450111</v>
          </cell>
          <cell r="C474" t="str">
            <v>Муниципальные образования Республики Саха (Якутия)</v>
          </cell>
          <cell r="D474">
            <v>98600000</v>
          </cell>
          <cell r="E474" t="str">
            <v>Муниципальные образования Республики Саха (Якутия)</v>
          </cell>
          <cell r="F474">
            <v>98000000</v>
          </cell>
          <cell r="G474" t="str">
            <v>Хангаласский муниципальный район</v>
          </cell>
          <cell r="H474">
            <v>98644000</v>
          </cell>
          <cell r="I474" t="str">
            <v>Сельские поселения Хангаласского муниципального района</v>
          </cell>
          <cell r="J474" t="str">
            <v>Тит-Арынский наслег</v>
          </cell>
          <cell r="K474" t="str">
            <v>с</v>
          </cell>
          <cell r="L474" t="str">
            <v>село</v>
          </cell>
          <cell r="M474" t="str">
            <v>Чкалов</v>
          </cell>
        </row>
        <row r="475">
          <cell r="B475">
            <v>98644453101</v>
          </cell>
          <cell r="C475" t="str">
            <v>Муниципальные образования Республики Саха (Якутия)</v>
          </cell>
          <cell r="D475">
            <v>98600000</v>
          </cell>
          <cell r="E475" t="str">
            <v>Муниципальные образования Республики Саха (Якутия)</v>
          </cell>
          <cell r="F475">
            <v>98000000</v>
          </cell>
          <cell r="G475" t="str">
            <v>Хангаласский муниципальный район</v>
          </cell>
          <cell r="H475">
            <v>98644000</v>
          </cell>
          <cell r="I475" t="str">
            <v>Сельские поселения Хангаласского муниципального района</v>
          </cell>
          <cell r="J475" t="str">
            <v>Тумульский наслег</v>
          </cell>
          <cell r="K475" t="str">
            <v>с</v>
          </cell>
          <cell r="L475" t="str">
            <v>село</v>
          </cell>
          <cell r="M475" t="str">
            <v>Тумул</v>
          </cell>
        </row>
        <row r="476">
          <cell r="B476">
            <v>98646101001</v>
          </cell>
          <cell r="C476" t="str">
            <v>Муниципальные образования Республики Саха (Якутия)</v>
          </cell>
          <cell r="D476">
            <v>98600000</v>
          </cell>
          <cell r="E476" t="str">
            <v>Муниципальные образования Республики Саха (Якутия)</v>
          </cell>
          <cell r="F476">
            <v>98000000</v>
          </cell>
          <cell r="G476" t="str">
            <v>Среднеколымский муниципальный район</v>
          </cell>
          <cell r="H476">
            <v>98646000</v>
          </cell>
          <cell r="I476" t="str">
            <v>Городские поселения Среднеколымского муниципального района</v>
          </cell>
          <cell r="J476" t="str">
            <v>город Среднеколымск</v>
          </cell>
          <cell r="K476" t="str">
            <v>г</v>
          </cell>
          <cell r="L476" t="str">
            <v>город</v>
          </cell>
          <cell r="M476" t="str">
            <v>Среднеколымск</v>
          </cell>
        </row>
        <row r="477">
          <cell r="B477">
            <v>98646101106</v>
          </cell>
          <cell r="C477" t="str">
            <v>Муниципальные образования Республики Саха (Якутия)</v>
          </cell>
          <cell r="D477">
            <v>98600000</v>
          </cell>
          <cell r="E477" t="str">
            <v>Муниципальные образования Республики Саха (Якутия)</v>
          </cell>
          <cell r="F477">
            <v>98000000</v>
          </cell>
          <cell r="G477" t="str">
            <v>Среднеколымский муниципальный район</v>
          </cell>
          <cell r="H477">
            <v>98646000</v>
          </cell>
          <cell r="I477" t="str">
            <v>Городские поселения Среднеколымского муниципального района</v>
          </cell>
          <cell r="J477" t="str">
            <v>город Среднеколымск</v>
          </cell>
          <cell r="K477" t="str">
            <v>с</v>
          </cell>
          <cell r="L477" t="str">
            <v>село</v>
          </cell>
          <cell r="M477" t="str">
            <v>Лобуя</v>
          </cell>
        </row>
        <row r="478">
          <cell r="B478">
            <v>98646405101</v>
          </cell>
          <cell r="C478" t="str">
            <v>Муниципальные образования Республики Саха (Якутия)</v>
          </cell>
          <cell r="D478">
            <v>98600000</v>
          </cell>
          <cell r="E478" t="str">
            <v>Муниципальные образования Республики Саха (Якутия)</v>
          </cell>
          <cell r="F478">
            <v>98000000</v>
          </cell>
          <cell r="G478" t="str">
            <v>Среднеколымский муниципальный район</v>
          </cell>
          <cell r="H478">
            <v>98646000</v>
          </cell>
          <cell r="I478" t="str">
            <v>Сельские поселения Среднеколымского муниципального района</v>
          </cell>
          <cell r="J478" t="str">
            <v>Алазейский наслег</v>
          </cell>
          <cell r="K478" t="str">
            <v>с</v>
          </cell>
          <cell r="L478" t="str">
            <v>село</v>
          </cell>
          <cell r="M478" t="str">
            <v>Аргахтах</v>
          </cell>
        </row>
        <row r="479">
          <cell r="B479">
            <v>98646410101</v>
          </cell>
          <cell r="C479" t="str">
            <v>Муниципальные образования Республики Саха (Якутия)</v>
          </cell>
          <cell r="D479">
            <v>98600000</v>
          </cell>
          <cell r="E479" t="str">
            <v>Муниципальные образования Республики Саха (Якутия)</v>
          </cell>
          <cell r="F479">
            <v>98000000</v>
          </cell>
          <cell r="G479" t="str">
            <v>Среднеколымский муниципальный район</v>
          </cell>
          <cell r="H479">
            <v>98646000</v>
          </cell>
          <cell r="I479" t="str">
            <v>Сельские поселения Среднеколымского муниципального района</v>
          </cell>
          <cell r="J479" t="str">
            <v>Байдинский наслег</v>
          </cell>
          <cell r="K479" t="str">
            <v>с</v>
          </cell>
          <cell r="L479" t="str">
            <v>село</v>
          </cell>
          <cell r="M479" t="str">
            <v>Налимск</v>
          </cell>
        </row>
        <row r="480">
          <cell r="B480">
            <v>98646415101</v>
          </cell>
          <cell r="C480" t="str">
            <v>Муниципальные образования Республики Саха (Якутия)</v>
          </cell>
          <cell r="D480">
            <v>98600000</v>
          </cell>
          <cell r="E480" t="str">
            <v>Муниципальные образования Республики Саха (Якутия)</v>
          </cell>
          <cell r="F480">
            <v>98000000</v>
          </cell>
          <cell r="G480" t="str">
            <v>Среднеколымский муниципальный район</v>
          </cell>
          <cell r="H480">
            <v>98646000</v>
          </cell>
          <cell r="I480" t="str">
            <v>Сельские поселения Среднеколымского муниципального района</v>
          </cell>
          <cell r="J480" t="str">
            <v>Березовский национальный (кочевой) наслег</v>
          </cell>
          <cell r="K480" t="str">
            <v>с</v>
          </cell>
          <cell r="L480" t="str">
            <v>село</v>
          </cell>
          <cell r="M480" t="str">
            <v>Березовка</v>
          </cell>
        </row>
        <row r="481">
          <cell r="B481">
            <v>98646415106</v>
          </cell>
          <cell r="C481" t="str">
            <v>Муниципальные образования Республики Саха (Якутия)</v>
          </cell>
          <cell r="D481">
            <v>98600000</v>
          </cell>
          <cell r="E481" t="str">
            <v>Муниципальные образования Республики Саха (Якутия)</v>
          </cell>
          <cell r="F481">
            <v>98000000</v>
          </cell>
          <cell r="G481" t="str">
            <v>Среднеколымский муниципальный район</v>
          </cell>
          <cell r="H481">
            <v>98646000</v>
          </cell>
          <cell r="I481" t="str">
            <v>Сельские поселения Среднеколымского муниципального района</v>
          </cell>
          <cell r="J481" t="str">
            <v>Березовский национальный (кочевой) наслег</v>
          </cell>
          <cell r="K481" t="str">
            <v>с</v>
          </cell>
          <cell r="L481" t="str">
            <v>село</v>
          </cell>
          <cell r="M481" t="str">
            <v>Уродан</v>
          </cell>
        </row>
        <row r="482">
          <cell r="B482">
            <v>98646420101</v>
          </cell>
          <cell r="C482" t="str">
            <v>Муниципальные образования Республики Саха (Якутия)</v>
          </cell>
          <cell r="D482">
            <v>98600000</v>
          </cell>
          <cell r="E482" t="str">
            <v>Муниципальные образования Республики Саха (Якутия)</v>
          </cell>
          <cell r="F482">
            <v>98000000</v>
          </cell>
          <cell r="G482" t="str">
            <v>Среднеколымский муниципальный район</v>
          </cell>
          <cell r="H482">
            <v>98646000</v>
          </cell>
          <cell r="I482" t="str">
            <v>Сельские поселения Среднеколымского муниципального района</v>
          </cell>
          <cell r="J482" t="str">
            <v>Кангаласский 1-й наслег</v>
          </cell>
          <cell r="K482" t="str">
            <v>с</v>
          </cell>
          <cell r="L482" t="str">
            <v>село</v>
          </cell>
          <cell r="M482" t="str">
            <v>Алеко-Кюёль</v>
          </cell>
        </row>
        <row r="483">
          <cell r="B483">
            <v>98646420106</v>
          </cell>
          <cell r="C483" t="str">
            <v>Муниципальные образования Республики Саха (Якутия)</v>
          </cell>
          <cell r="D483">
            <v>98600000</v>
          </cell>
          <cell r="E483" t="str">
            <v>Муниципальные образования Республики Саха (Якутия)</v>
          </cell>
          <cell r="F483">
            <v>98000000</v>
          </cell>
          <cell r="G483" t="str">
            <v>Среднеколымский муниципальный район</v>
          </cell>
          <cell r="H483">
            <v>98646000</v>
          </cell>
          <cell r="I483" t="str">
            <v>Сельские поселения Среднеколымского муниципального района</v>
          </cell>
          <cell r="J483" t="str">
            <v>Кангаласский 1-й наслег</v>
          </cell>
          <cell r="K483" t="str">
            <v>с</v>
          </cell>
          <cell r="L483" t="str">
            <v>село</v>
          </cell>
          <cell r="M483" t="str">
            <v>Соянги</v>
          </cell>
        </row>
        <row r="484">
          <cell r="B484">
            <v>98646422101</v>
          </cell>
          <cell r="C484" t="str">
            <v>Муниципальные образования Республики Саха (Якутия)</v>
          </cell>
          <cell r="D484">
            <v>98600000</v>
          </cell>
          <cell r="E484" t="str">
            <v>Муниципальные образования Республики Саха (Якутия)</v>
          </cell>
          <cell r="F484">
            <v>98000000</v>
          </cell>
          <cell r="G484" t="str">
            <v>Среднеколымский муниципальный район</v>
          </cell>
          <cell r="H484">
            <v>98646000</v>
          </cell>
          <cell r="I484" t="str">
            <v>Сельские поселения Среднеколымского муниципального района</v>
          </cell>
          <cell r="J484" t="str">
            <v>Кангаласский 2-й наслег</v>
          </cell>
          <cell r="K484" t="str">
            <v>с</v>
          </cell>
          <cell r="L484" t="str">
            <v>село</v>
          </cell>
          <cell r="M484" t="str">
            <v>Эбях</v>
          </cell>
        </row>
        <row r="485">
          <cell r="B485">
            <v>98646435101</v>
          </cell>
          <cell r="C485" t="str">
            <v>Муниципальные образования Республики Саха (Якутия)</v>
          </cell>
          <cell r="D485">
            <v>98600000</v>
          </cell>
          <cell r="E485" t="str">
            <v>Муниципальные образования Республики Саха (Якутия)</v>
          </cell>
          <cell r="F485">
            <v>98000000</v>
          </cell>
          <cell r="G485" t="str">
            <v>Среднеколымский муниципальный район</v>
          </cell>
          <cell r="H485">
            <v>98646000</v>
          </cell>
          <cell r="I485" t="str">
            <v>Сельские поселения Среднеколымского муниципального района</v>
          </cell>
          <cell r="J485" t="str">
            <v>Мятисский 1-й наслег</v>
          </cell>
          <cell r="K485" t="str">
            <v>с</v>
          </cell>
          <cell r="L485" t="str">
            <v>село</v>
          </cell>
          <cell r="M485" t="str">
            <v>Сылгы-Ытар</v>
          </cell>
        </row>
        <row r="486">
          <cell r="B486">
            <v>98646436101</v>
          </cell>
          <cell r="C486" t="str">
            <v>Муниципальные образования Республики Саха (Якутия)</v>
          </cell>
          <cell r="D486">
            <v>98600000</v>
          </cell>
          <cell r="E486" t="str">
            <v>Муниципальные образования Республики Саха (Якутия)</v>
          </cell>
          <cell r="F486">
            <v>98000000</v>
          </cell>
          <cell r="G486" t="str">
            <v>Среднеколымский муниципальный район</v>
          </cell>
          <cell r="H486">
            <v>98646000</v>
          </cell>
          <cell r="I486" t="str">
            <v>Сельские поселения Среднеколымского муниципального района</v>
          </cell>
          <cell r="J486" t="str">
            <v>Мятисский 2-й наслег</v>
          </cell>
          <cell r="K486" t="str">
            <v>с</v>
          </cell>
          <cell r="L486" t="str">
            <v>село</v>
          </cell>
          <cell r="M486" t="str">
            <v>Сватай</v>
          </cell>
        </row>
        <row r="487">
          <cell r="B487">
            <v>98646436106</v>
          </cell>
          <cell r="C487" t="str">
            <v>Муниципальные образования Республики Саха (Якутия)</v>
          </cell>
          <cell r="D487">
            <v>98600000</v>
          </cell>
          <cell r="E487" t="str">
            <v>Муниципальные образования Республики Саха (Якутия)</v>
          </cell>
          <cell r="F487">
            <v>98000000</v>
          </cell>
          <cell r="G487" t="str">
            <v>Среднеколымский муниципальный район</v>
          </cell>
          <cell r="H487">
            <v>98646000</v>
          </cell>
          <cell r="I487" t="str">
            <v>Сельские поселения Среднеколымского муниципального района</v>
          </cell>
          <cell r="J487" t="str">
            <v>Мятисский 2-й наслег</v>
          </cell>
          <cell r="K487" t="str">
            <v>с</v>
          </cell>
          <cell r="L487" t="str">
            <v>село</v>
          </cell>
          <cell r="M487" t="str">
            <v>Суччино</v>
          </cell>
        </row>
        <row r="488">
          <cell r="B488">
            <v>98646442101</v>
          </cell>
          <cell r="C488" t="str">
            <v>Муниципальные образования Республики Саха (Якутия)</v>
          </cell>
          <cell r="D488">
            <v>98600000</v>
          </cell>
          <cell r="E488" t="str">
            <v>Муниципальные образования Республики Саха (Якутия)</v>
          </cell>
          <cell r="F488">
            <v>98000000</v>
          </cell>
          <cell r="G488" t="str">
            <v>Среднеколымский муниципальный район</v>
          </cell>
          <cell r="H488">
            <v>98646000</v>
          </cell>
          <cell r="I488" t="str">
            <v>Сельские поселения Среднеколымского муниципального района</v>
          </cell>
          <cell r="J488" t="str">
            <v>Сень-Кюельский наслег</v>
          </cell>
          <cell r="K488" t="str">
            <v>с</v>
          </cell>
          <cell r="L488" t="str">
            <v>село</v>
          </cell>
          <cell r="M488" t="str">
            <v>Ойусардах</v>
          </cell>
        </row>
        <row r="489">
          <cell r="B489">
            <v>98646442106</v>
          </cell>
          <cell r="C489" t="str">
            <v>Муниципальные образования Республики Саха (Якутия)</v>
          </cell>
          <cell r="D489">
            <v>98600000</v>
          </cell>
          <cell r="E489" t="str">
            <v>Муниципальные образования Республики Саха (Якутия)</v>
          </cell>
          <cell r="F489">
            <v>98000000</v>
          </cell>
          <cell r="G489" t="str">
            <v>Среднеколымский муниципальный район</v>
          </cell>
          <cell r="H489">
            <v>98646000</v>
          </cell>
          <cell r="I489" t="str">
            <v>Сельские поселения Среднеколымского муниципального района</v>
          </cell>
          <cell r="J489" t="str">
            <v>Сень-Кюельский наслег</v>
          </cell>
          <cell r="K489" t="str">
            <v>с</v>
          </cell>
          <cell r="L489" t="str">
            <v>село</v>
          </cell>
          <cell r="M489" t="str">
            <v>Роман</v>
          </cell>
        </row>
        <row r="490">
          <cell r="B490">
            <v>98646448101</v>
          </cell>
          <cell r="C490" t="str">
            <v>Муниципальные образования Республики Саха (Якутия)</v>
          </cell>
          <cell r="D490">
            <v>98600000</v>
          </cell>
          <cell r="E490" t="str">
            <v>Муниципальные образования Республики Саха (Якутия)</v>
          </cell>
          <cell r="F490">
            <v>98000000</v>
          </cell>
          <cell r="G490" t="str">
            <v>Среднеколымский муниципальный район</v>
          </cell>
          <cell r="H490">
            <v>98646000</v>
          </cell>
          <cell r="I490" t="str">
            <v>Сельские поселения Среднеколымского муниципального района</v>
          </cell>
          <cell r="J490" t="str">
            <v>Хатынгнахский наслег</v>
          </cell>
          <cell r="K490" t="str">
            <v>с</v>
          </cell>
          <cell r="L490" t="str">
            <v>село</v>
          </cell>
          <cell r="M490" t="str">
            <v>Хатынгнах</v>
          </cell>
        </row>
        <row r="491">
          <cell r="B491">
            <v>98648404101</v>
          </cell>
          <cell r="C491" t="str">
            <v>Муниципальные образования Республики Саха (Якутия)</v>
          </cell>
          <cell r="D491">
            <v>98600000</v>
          </cell>
          <cell r="E491" t="str">
            <v>Муниципальные образования Республики Саха (Якутия)</v>
          </cell>
          <cell r="F491">
            <v>98000000</v>
          </cell>
          <cell r="G491" t="str">
            <v>Сунтарский муниципальный район</v>
          </cell>
          <cell r="H491">
            <v>98648000</v>
          </cell>
          <cell r="I491" t="str">
            <v>Сельские поселения Сунтарского муниципального района</v>
          </cell>
          <cell r="J491" t="str">
            <v>Аллагинский наслег</v>
          </cell>
          <cell r="K491" t="str">
            <v>с</v>
          </cell>
          <cell r="L491" t="str">
            <v>село</v>
          </cell>
          <cell r="M491" t="str">
            <v>Аллага</v>
          </cell>
        </row>
        <row r="492">
          <cell r="B492">
            <v>98648405101</v>
          </cell>
          <cell r="C492" t="str">
            <v>Муниципальные образования Республики Саха (Якутия)</v>
          </cell>
          <cell r="D492">
            <v>98600000</v>
          </cell>
          <cell r="E492" t="str">
            <v>Муниципальные образования Республики Саха (Якутия)</v>
          </cell>
          <cell r="F492">
            <v>98000000</v>
          </cell>
          <cell r="G492" t="str">
            <v>Сунтарский муниципальный район</v>
          </cell>
          <cell r="H492">
            <v>98648000</v>
          </cell>
          <cell r="I492" t="str">
            <v>Сельские поселения Сунтарского муниципального района</v>
          </cell>
          <cell r="J492" t="str">
            <v>Арылахский наслег</v>
          </cell>
          <cell r="K492" t="str">
            <v>с</v>
          </cell>
          <cell r="L492" t="str">
            <v>село</v>
          </cell>
          <cell r="M492" t="str">
            <v>Усун-Кюёль</v>
          </cell>
        </row>
        <row r="493">
          <cell r="B493">
            <v>98648410101</v>
          </cell>
          <cell r="C493" t="str">
            <v>Муниципальные образования Республики Саха (Якутия)</v>
          </cell>
          <cell r="D493">
            <v>98600000</v>
          </cell>
          <cell r="E493" t="str">
            <v>Муниципальные образования Республики Саха (Якутия)</v>
          </cell>
          <cell r="F493">
            <v>98000000</v>
          </cell>
          <cell r="G493" t="str">
            <v>Сунтарский муниципальный район</v>
          </cell>
          <cell r="H493">
            <v>98648000</v>
          </cell>
          <cell r="I493" t="str">
            <v>Сельские поселения Сунтарского муниципального района</v>
          </cell>
          <cell r="J493" t="str">
            <v>Бордонский наслег</v>
          </cell>
          <cell r="K493" t="str">
            <v>с</v>
          </cell>
          <cell r="L493" t="str">
            <v>село</v>
          </cell>
          <cell r="M493" t="str">
            <v>Сарданга</v>
          </cell>
        </row>
        <row r="494">
          <cell r="B494">
            <v>98648415101</v>
          </cell>
          <cell r="C494" t="str">
            <v>Муниципальные образования Республики Саха (Якутия)</v>
          </cell>
          <cell r="D494">
            <v>98600000</v>
          </cell>
          <cell r="E494" t="str">
            <v>Муниципальные образования Республики Саха (Якутия)</v>
          </cell>
          <cell r="F494">
            <v>98000000</v>
          </cell>
          <cell r="G494" t="str">
            <v>Сунтарский муниципальный район</v>
          </cell>
          <cell r="H494">
            <v>98648000</v>
          </cell>
          <cell r="I494" t="str">
            <v>Сельские поселения Сунтарского муниципального района</v>
          </cell>
          <cell r="J494" t="str">
            <v>Вилючанский наслег</v>
          </cell>
          <cell r="K494" t="str">
            <v>с</v>
          </cell>
          <cell r="L494" t="str">
            <v>село</v>
          </cell>
          <cell r="M494" t="str">
            <v>Хордогой</v>
          </cell>
        </row>
        <row r="495">
          <cell r="B495">
            <v>98648415106</v>
          </cell>
          <cell r="C495" t="str">
            <v>Муниципальные образования Республики Саха (Якутия)</v>
          </cell>
          <cell r="D495">
            <v>98600000</v>
          </cell>
          <cell r="E495" t="str">
            <v>Муниципальные образования Республики Саха (Якутия)</v>
          </cell>
          <cell r="F495">
            <v>98000000</v>
          </cell>
          <cell r="G495" t="str">
            <v>Сунтарский муниципальный район</v>
          </cell>
          <cell r="H495">
            <v>98648000</v>
          </cell>
          <cell r="I495" t="str">
            <v>Сельские поселения Сунтарского муниципального района</v>
          </cell>
          <cell r="J495" t="str">
            <v>Вилючанский наслег</v>
          </cell>
          <cell r="K495" t="str">
            <v>с</v>
          </cell>
          <cell r="L495" t="str">
            <v>село</v>
          </cell>
          <cell r="M495" t="str">
            <v>Оюсут</v>
          </cell>
        </row>
        <row r="496">
          <cell r="B496">
            <v>98648420101</v>
          </cell>
          <cell r="C496" t="str">
            <v>Муниципальные образования Республики Саха (Якутия)</v>
          </cell>
          <cell r="D496">
            <v>98600000</v>
          </cell>
          <cell r="E496" t="str">
            <v>Муниципальные образования Республики Саха (Якутия)</v>
          </cell>
          <cell r="F496">
            <v>98000000</v>
          </cell>
          <cell r="G496" t="str">
            <v>Сунтарский муниципальный район</v>
          </cell>
          <cell r="H496">
            <v>98648000</v>
          </cell>
          <cell r="I496" t="str">
            <v>Сельские поселения Сунтарского муниципального района</v>
          </cell>
          <cell r="J496" t="str">
            <v>Жарханский наслег</v>
          </cell>
          <cell r="K496" t="str">
            <v>с</v>
          </cell>
          <cell r="L496" t="str">
            <v>село</v>
          </cell>
          <cell r="M496" t="str">
            <v>Арылах (Жархан)</v>
          </cell>
        </row>
        <row r="497">
          <cell r="B497">
            <v>98648422101</v>
          </cell>
          <cell r="C497" t="str">
            <v>Муниципальные образования Республики Саха (Якутия)</v>
          </cell>
          <cell r="D497">
            <v>98600000</v>
          </cell>
          <cell r="E497" t="str">
            <v>Муниципальные образования Республики Саха (Якутия)</v>
          </cell>
          <cell r="F497">
            <v>98000000</v>
          </cell>
          <cell r="G497" t="str">
            <v>Сунтарский муниципальный район</v>
          </cell>
          <cell r="H497">
            <v>98648000</v>
          </cell>
          <cell r="I497" t="str">
            <v>Сельские поселения Сунтарского муниципального района</v>
          </cell>
          <cell r="J497" t="str">
            <v>Илимнирский наслег</v>
          </cell>
          <cell r="K497" t="str">
            <v>с</v>
          </cell>
          <cell r="L497" t="str">
            <v>село</v>
          </cell>
          <cell r="M497" t="str">
            <v>Илимнир</v>
          </cell>
        </row>
        <row r="498">
          <cell r="B498">
            <v>98648425101</v>
          </cell>
          <cell r="C498" t="str">
            <v>Муниципальные образования Республики Саха (Якутия)</v>
          </cell>
          <cell r="D498">
            <v>98600000</v>
          </cell>
          <cell r="E498" t="str">
            <v>Муниципальные образования Республики Саха (Якутия)</v>
          </cell>
          <cell r="F498">
            <v>98000000</v>
          </cell>
          <cell r="G498" t="str">
            <v>Сунтарский муниципальный район</v>
          </cell>
          <cell r="H498">
            <v>98648000</v>
          </cell>
          <cell r="I498" t="str">
            <v>Сельские поселения Сунтарского муниципального района</v>
          </cell>
          <cell r="J498" t="str">
            <v>Кемпендяйский наслег</v>
          </cell>
          <cell r="K498" t="str">
            <v>с</v>
          </cell>
          <cell r="L498" t="str">
            <v>село</v>
          </cell>
          <cell r="M498" t="str">
            <v>Кемпендяй</v>
          </cell>
        </row>
        <row r="499">
          <cell r="B499">
            <v>98648425106</v>
          </cell>
          <cell r="C499" t="str">
            <v>Муниципальные образования Республики Саха (Якутия)</v>
          </cell>
          <cell r="D499">
            <v>98600000</v>
          </cell>
          <cell r="E499" t="str">
            <v>Муниципальные образования Республики Саха (Якутия)</v>
          </cell>
          <cell r="F499">
            <v>98000000</v>
          </cell>
          <cell r="G499" t="str">
            <v>Сунтарский муниципальный район</v>
          </cell>
          <cell r="H499">
            <v>98648000</v>
          </cell>
          <cell r="I499" t="str">
            <v>Сельские поселения Сунтарского муниципального района</v>
          </cell>
          <cell r="J499" t="str">
            <v>Кемпендяйский наслег</v>
          </cell>
          <cell r="K499" t="str">
            <v>с</v>
          </cell>
          <cell r="L499" t="str">
            <v>село</v>
          </cell>
          <cell r="M499" t="str">
            <v>Чайыгда</v>
          </cell>
        </row>
        <row r="500">
          <cell r="B500">
            <v>98648430101</v>
          </cell>
          <cell r="C500" t="str">
            <v>Муниципальные образования Республики Саха (Якутия)</v>
          </cell>
          <cell r="D500">
            <v>98600000</v>
          </cell>
          <cell r="E500" t="str">
            <v>Муниципальные образования Республики Саха (Якутия)</v>
          </cell>
          <cell r="F500">
            <v>98000000</v>
          </cell>
          <cell r="G500" t="str">
            <v>Сунтарский муниципальный район</v>
          </cell>
          <cell r="H500">
            <v>98648000</v>
          </cell>
          <cell r="I500" t="str">
            <v>Сельские поселения Сунтарского муниципального района</v>
          </cell>
          <cell r="J500" t="str">
            <v>Крестяхский наслег</v>
          </cell>
          <cell r="K500" t="str">
            <v>с</v>
          </cell>
          <cell r="L500" t="str">
            <v>село</v>
          </cell>
          <cell r="M500" t="str">
            <v>Крестях</v>
          </cell>
        </row>
        <row r="501">
          <cell r="B501">
            <v>98648435101</v>
          </cell>
          <cell r="C501" t="str">
            <v>Муниципальные образования Республики Саха (Якутия)</v>
          </cell>
          <cell r="D501">
            <v>98600000</v>
          </cell>
          <cell r="E501" t="str">
            <v>Муниципальные образования Республики Саха (Якутия)</v>
          </cell>
          <cell r="F501">
            <v>98000000</v>
          </cell>
          <cell r="G501" t="str">
            <v>Сунтарский муниципальный район</v>
          </cell>
          <cell r="H501">
            <v>98648000</v>
          </cell>
          <cell r="I501" t="str">
            <v>Сельские поселения Сунтарского муниципального района</v>
          </cell>
          <cell r="J501" t="str">
            <v>Куокунинский наслег</v>
          </cell>
          <cell r="K501" t="str">
            <v>с</v>
          </cell>
          <cell r="L501" t="str">
            <v>село</v>
          </cell>
          <cell r="M501" t="str">
            <v>Куокуну</v>
          </cell>
        </row>
        <row r="502">
          <cell r="B502">
            <v>98648440101</v>
          </cell>
          <cell r="C502" t="str">
            <v>Муниципальные образования Республики Саха (Якутия)</v>
          </cell>
          <cell r="D502">
            <v>98600000</v>
          </cell>
          <cell r="E502" t="str">
            <v>Муниципальные образования Республики Саха (Якутия)</v>
          </cell>
          <cell r="F502">
            <v>98000000</v>
          </cell>
          <cell r="G502" t="str">
            <v>Сунтарский муниципальный район</v>
          </cell>
          <cell r="H502">
            <v>98648000</v>
          </cell>
          <cell r="I502" t="str">
            <v>Сельские поселения Сунтарского муниципального района</v>
          </cell>
          <cell r="J502" t="str">
            <v>Кутанинский наслег</v>
          </cell>
          <cell r="K502" t="str">
            <v>с</v>
          </cell>
          <cell r="L502" t="str">
            <v>село</v>
          </cell>
          <cell r="M502" t="str">
            <v>Кутана</v>
          </cell>
        </row>
        <row r="503">
          <cell r="B503">
            <v>98648440106</v>
          </cell>
          <cell r="C503" t="str">
            <v>Муниципальные образования Республики Саха (Якутия)</v>
          </cell>
          <cell r="D503">
            <v>98600000</v>
          </cell>
          <cell r="E503" t="str">
            <v>Муниципальные образования Республики Саха (Якутия)</v>
          </cell>
          <cell r="F503">
            <v>98000000</v>
          </cell>
          <cell r="G503" t="str">
            <v>Сунтарский муниципальный район</v>
          </cell>
          <cell r="H503">
            <v>98648000</v>
          </cell>
          <cell r="I503" t="str">
            <v>Сельские поселения Сунтарского муниципального района</v>
          </cell>
          <cell r="J503" t="str">
            <v>Кутанинский наслег</v>
          </cell>
          <cell r="K503" t="str">
            <v>с</v>
          </cell>
          <cell r="L503" t="str">
            <v>село</v>
          </cell>
          <cell r="M503" t="str">
            <v>Тумул</v>
          </cell>
        </row>
        <row r="504">
          <cell r="B504">
            <v>98648443101</v>
          </cell>
          <cell r="C504" t="str">
            <v>Муниципальные образования Республики Саха (Якутия)</v>
          </cell>
          <cell r="D504">
            <v>98600000</v>
          </cell>
          <cell r="E504" t="str">
            <v>Муниципальные образования Республики Саха (Якутия)</v>
          </cell>
          <cell r="F504">
            <v>98000000</v>
          </cell>
          <cell r="G504" t="str">
            <v>Сунтарский муниципальный район</v>
          </cell>
          <cell r="H504">
            <v>98648000</v>
          </cell>
          <cell r="I504" t="str">
            <v>Сельские поселения Сунтарского муниципального района</v>
          </cell>
          <cell r="J504" t="str">
            <v>Кюкяйский наслег</v>
          </cell>
          <cell r="K504" t="str">
            <v>с</v>
          </cell>
          <cell r="L504" t="str">
            <v>село</v>
          </cell>
          <cell r="M504" t="str">
            <v>Кюкей</v>
          </cell>
        </row>
        <row r="505">
          <cell r="B505">
            <v>98648445101</v>
          </cell>
          <cell r="C505" t="str">
            <v>Муниципальные образования Республики Саха (Якутия)</v>
          </cell>
          <cell r="D505">
            <v>98600000</v>
          </cell>
          <cell r="E505" t="str">
            <v>Муниципальные образования Республики Саха (Якутия)</v>
          </cell>
          <cell r="F505">
            <v>98000000</v>
          </cell>
          <cell r="G505" t="str">
            <v>Сунтарский муниципальный район</v>
          </cell>
          <cell r="H505">
            <v>98648000</v>
          </cell>
          <cell r="I505" t="str">
            <v>Сельские поселения Сунтарского муниципального района</v>
          </cell>
          <cell r="J505" t="str">
            <v>Кюндяйинский наслег</v>
          </cell>
          <cell r="K505" t="str">
            <v>с</v>
          </cell>
          <cell r="L505" t="str">
            <v>село</v>
          </cell>
          <cell r="M505" t="str">
            <v>Кюндяе</v>
          </cell>
        </row>
        <row r="506">
          <cell r="B506">
            <v>98648445106</v>
          </cell>
          <cell r="C506" t="str">
            <v>Муниципальные образования Республики Саха (Якутия)</v>
          </cell>
          <cell r="D506">
            <v>98600000</v>
          </cell>
          <cell r="E506" t="str">
            <v>Муниципальные образования Республики Саха (Якутия)</v>
          </cell>
          <cell r="F506">
            <v>98000000</v>
          </cell>
          <cell r="G506" t="str">
            <v>Сунтарский муниципальный район</v>
          </cell>
          <cell r="H506">
            <v>98648000</v>
          </cell>
          <cell r="I506" t="str">
            <v>Сельские поселения Сунтарского муниципального района</v>
          </cell>
          <cell r="J506" t="str">
            <v>Кюндяйинский наслег</v>
          </cell>
          <cell r="K506" t="str">
            <v>с</v>
          </cell>
          <cell r="L506" t="str">
            <v>село</v>
          </cell>
          <cell r="M506" t="str">
            <v>Эльгян</v>
          </cell>
        </row>
        <row r="507">
          <cell r="B507">
            <v>98648445111</v>
          </cell>
          <cell r="C507" t="str">
            <v>Муниципальные образования Республики Саха (Якутия)</v>
          </cell>
          <cell r="D507">
            <v>98600000</v>
          </cell>
          <cell r="E507" t="str">
            <v>Муниципальные образования Республики Саха (Якутия)</v>
          </cell>
          <cell r="F507">
            <v>98000000</v>
          </cell>
          <cell r="G507" t="str">
            <v>Сунтарский муниципальный район</v>
          </cell>
          <cell r="H507">
            <v>98648000</v>
          </cell>
          <cell r="I507" t="str">
            <v>Сельские поселения Сунтарского муниципального района</v>
          </cell>
          <cell r="J507" t="str">
            <v>Кюндяйинский наслег</v>
          </cell>
          <cell r="K507" t="str">
            <v>с</v>
          </cell>
          <cell r="L507" t="str">
            <v>село</v>
          </cell>
          <cell r="M507" t="str">
            <v>Харыялах</v>
          </cell>
        </row>
        <row r="508">
          <cell r="B508">
            <v>98648450101</v>
          </cell>
          <cell r="C508" t="str">
            <v>Муниципальные образования Республики Саха (Якутия)</v>
          </cell>
          <cell r="D508">
            <v>98600000</v>
          </cell>
          <cell r="E508" t="str">
            <v>Муниципальные образования Республики Саха (Якутия)</v>
          </cell>
          <cell r="F508">
            <v>98000000</v>
          </cell>
          <cell r="G508" t="str">
            <v>Сунтарский муниципальный район</v>
          </cell>
          <cell r="H508">
            <v>98648000</v>
          </cell>
          <cell r="I508" t="str">
            <v>Сельские поселения Сунтарского муниципального района</v>
          </cell>
          <cell r="J508" t="str">
            <v>Мар-Кюельский наслег</v>
          </cell>
          <cell r="K508" t="str">
            <v>с</v>
          </cell>
          <cell r="L508" t="str">
            <v>село</v>
          </cell>
          <cell r="M508" t="str">
            <v>Мар-Кюёль</v>
          </cell>
        </row>
        <row r="509">
          <cell r="B509">
            <v>98648452101</v>
          </cell>
          <cell r="C509" t="str">
            <v>Муниципальные образования Республики Саха (Якутия)</v>
          </cell>
          <cell r="D509">
            <v>98600000</v>
          </cell>
          <cell r="E509" t="str">
            <v>Муниципальные образования Республики Саха (Якутия)</v>
          </cell>
          <cell r="F509">
            <v>98000000</v>
          </cell>
          <cell r="G509" t="str">
            <v>Сунтарский муниципальный район</v>
          </cell>
          <cell r="H509">
            <v>98648000</v>
          </cell>
          <cell r="I509" t="str">
            <v>Сельские поселения Сунтарского муниципального района</v>
          </cell>
          <cell r="J509" t="str">
            <v>Нахаринский наслег</v>
          </cell>
          <cell r="K509" t="str">
            <v>с</v>
          </cell>
          <cell r="L509" t="str">
            <v>село</v>
          </cell>
          <cell r="M509" t="str">
            <v>Нахара</v>
          </cell>
        </row>
        <row r="510">
          <cell r="B510">
            <v>98648455101</v>
          </cell>
          <cell r="C510" t="str">
            <v>Муниципальные образования Республики Саха (Якутия)</v>
          </cell>
          <cell r="D510">
            <v>98600000</v>
          </cell>
          <cell r="E510" t="str">
            <v>Муниципальные образования Республики Саха (Якутия)</v>
          </cell>
          <cell r="F510">
            <v>98000000</v>
          </cell>
          <cell r="G510" t="str">
            <v>Сунтарский муниципальный район</v>
          </cell>
          <cell r="H510">
            <v>98648000</v>
          </cell>
          <cell r="I510" t="str">
            <v>Сельские поселения Сунтарского муниципального района</v>
          </cell>
          <cell r="J510" t="str">
            <v>Сунтарский наслег</v>
          </cell>
          <cell r="K510" t="str">
            <v>с</v>
          </cell>
          <cell r="L510" t="str">
            <v>село</v>
          </cell>
          <cell r="M510" t="str">
            <v>Сунтар</v>
          </cell>
        </row>
        <row r="511">
          <cell r="B511">
            <v>98648457101</v>
          </cell>
          <cell r="C511" t="str">
            <v>Муниципальные образования Республики Саха (Якутия)</v>
          </cell>
          <cell r="D511">
            <v>98600000</v>
          </cell>
          <cell r="E511" t="str">
            <v>Муниципальные образования Республики Саха (Якутия)</v>
          </cell>
          <cell r="F511">
            <v>98000000</v>
          </cell>
          <cell r="G511" t="str">
            <v>Сунтарский муниципальный район</v>
          </cell>
          <cell r="H511">
            <v>98648000</v>
          </cell>
          <cell r="I511" t="str">
            <v>Сельские поселения Сунтарского муниципального района</v>
          </cell>
          <cell r="J511" t="str">
            <v>Тенкинский наслег</v>
          </cell>
          <cell r="K511" t="str">
            <v>с</v>
          </cell>
          <cell r="L511" t="str">
            <v>село</v>
          </cell>
          <cell r="M511" t="str">
            <v>Тенкя</v>
          </cell>
        </row>
        <row r="512">
          <cell r="B512">
            <v>98648459101</v>
          </cell>
          <cell r="C512" t="str">
            <v>Муниципальные образования Республики Саха (Якутия)</v>
          </cell>
          <cell r="D512">
            <v>98600000</v>
          </cell>
          <cell r="E512" t="str">
            <v>Муниципальные образования Республики Саха (Якутия)</v>
          </cell>
          <cell r="F512">
            <v>98000000</v>
          </cell>
          <cell r="G512" t="str">
            <v>Сунтарский муниципальный район</v>
          </cell>
          <cell r="H512">
            <v>98648000</v>
          </cell>
          <cell r="I512" t="str">
            <v>Сельские поселения Сунтарского муниципального района</v>
          </cell>
          <cell r="J512" t="str">
            <v>Толонский наслег</v>
          </cell>
          <cell r="K512" t="str">
            <v>с</v>
          </cell>
          <cell r="L512" t="str">
            <v>село</v>
          </cell>
          <cell r="M512" t="str">
            <v>Толон</v>
          </cell>
        </row>
        <row r="513">
          <cell r="B513">
            <v>98648460101</v>
          </cell>
          <cell r="C513" t="str">
            <v>Муниципальные образования Республики Саха (Якутия)</v>
          </cell>
          <cell r="D513">
            <v>98600000</v>
          </cell>
          <cell r="E513" t="str">
            <v>Муниципальные образования Республики Саха (Якутия)</v>
          </cell>
          <cell r="F513">
            <v>98000000</v>
          </cell>
          <cell r="G513" t="str">
            <v>Сунтарский муниципальный район</v>
          </cell>
          <cell r="H513">
            <v>98648000</v>
          </cell>
          <cell r="I513" t="str">
            <v>Сельские поселения Сунтарского муниципального района</v>
          </cell>
          <cell r="J513" t="str">
            <v>Тойбохойский наслег</v>
          </cell>
          <cell r="K513" t="str">
            <v>с</v>
          </cell>
          <cell r="L513" t="str">
            <v>село</v>
          </cell>
          <cell r="M513" t="str">
            <v>Тойбохой</v>
          </cell>
        </row>
        <row r="514">
          <cell r="B514">
            <v>98648461101</v>
          </cell>
          <cell r="C514" t="str">
            <v>Муниципальные образования Республики Саха (Якутия)</v>
          </cell>
          <cell r="D514">
            <v>98600000</v>
          </cell>
          <cell r="E514" t="str">
            <v>Муниципальные образования Республики Саха (Якутия)</v>
          </cell>
          <cell r="F514">
            <v>98000000</v>
          </cell>
          <cell r="G514" t="str">
            <v>Сунтарский муниципальный район</v>
          </cell>
          <cell r="H514">
            <v>98648000</v>
          </cell>
          <cell r="I514" t="str">
            <v>Сельские поселения Сунтарского муниципального района</v>
          </cell>
          <cell r="J514" t="str">
            <v>Туойдахский наслег</v>
          </cell>
          <cell r="K514" t="str">
            <v>с</v>
          </cell>
          <cell r="L514" t="str">
            <v>село</v>
          </cell>
          <cell r="M514" t="str">
            <v>Туойдах</v>
          </cell>
        </row>
        <row r="515">
          <cell r="B515">
            <v>98648462101</v>
          </cell>
          <cell r="C515" t="str">
            <v>Муниципальные образования Республики Саха (Якутия)</v>
          </cell>
          <cell r="D515">
            <v>98600000</v>
          </cell>
          <cell r="E515" t="str">
            <v>Муниципальные образования Республики Саха (Якутия)</v>
          </cell>
          <cell r="F515">
            <v>98000000</v>
          </cell>
          <cell r="G515" t="str">
            <v>Сунтарский муниципальный район</v>
          </cell>
          <cell r="H515">
            <v>98648000</v>
          </cell>
          <cell r="I515" t="str">
            <v>Сельские поселения Сунтарского муниципального района</v>
          </cell>
          <cell r="J515" t="str">
            <v>Тюбяй-Жарханский наслег</v>
          </cell>
          <cell r="K515" t="str">
            <v>с</v>
          </cell>
          <cell r="L515" t="str">
            <v>село</v>
          </cell>
          <cell r="M515" t="str">
            <v>Арылах</v>
          </cell>
        </row>
        <row r="516">
          <cell r="B516">
            <v>98648462106</v>
          </cell>
          <cell r="C516" t="str">
            <v>Муниципальные образования Республики Саха (Якутия)</v>
          </cell>
          <cell r="D516">
            <v>98600000</v>
          </cell>
          <cell r="E516" t="str">
            <v>Муниципальные образования Республики Саха (Якутия)</v>
          </cell>
          <cell r="F516">
            <v>98000000</v>
          </cell>
          <cell r="G516" t="str">
            <v>Сунтарский муниципальный район</v>
          </cell>
          <cell r="H516">
            <v>98648000</v>
          </cell>
          <cell r="I516" t="str">
            <v>Сельские поселения Сунтарского муниципального района</v>
          </cell>
          <cell r="J516" t="str">
            <v>Тюбяй-Жарханский наслег</v>
          </cell>
          <cell r="K516" t="str">
            <v>с</v>
          </cell>
          <cell r="L516" t="str">
            <v>село</v>
          </cell>
          <cell r="M516" t="str">
            <v>Миляке</v>
          </cell>
        </row>
        <row r="517">
          <cell r="B517">
            <v>98648462111</v>
          </cell>
          <cell r="C517" t="str">
            <v>Муниципальные образования Республики Саха (Якутия)</v>
          </cell>
          <cell r="D517">
            <v>98600000</v>
          </cell>
          <cell r="E517" t="str">
            <v>Муниципальные образования Республики Саха (Якутия)</v>
          </cell>
          <cell r="F517">
            <v>98000000</v>
          </cell>
          <cell r="G517" t="str">
            <v>Сунтарский муниципальный район</v>
          </cell>
          <cell r="H517">
            <v>98648000</v>
          </cell>
          <cell r="I517" t="str">
            <v>Сельские поселения Сунтарского муниципального района</v>
          </cell>
          <cell r="J517" t="str">
            <v>Тюбяй-Жарханский наслег</v>
          </cell>
          <cell r="K517" t="str">
            <v>с</v>
          </cell>
          <cell r="L517" t="str">
            <v>село</v>
          </cell>
          <cell r="M517" t="str">
            <v>Ыгыатта</v>
          </cell>
        </row>
        <row r="518">
          <cell r="B518">
            <v>98648463101</v>
          </cell>
          <cell r="C518" t="str">
            <v>Муниципальные образования Республики Саха (Якутия)</v>
          </cell>
          <cell r="D518">
            <v>98600000</v>
          </cell>
          <cell r="E518" t="str">
            <v>Муниципальные образования Республики Саха (Якутия)</v>
          </cell>
          <cell r="F518">
            <v>98000000</v>
          </cell>
          <cell r="G518" t="str">
            <v>Сунтарский муниципальный район</v>
          </cell>
          <cell r="H518">
            <v>98648000</v>
          </cell>
          <cell r="I518" t="str">
            <v>Сельские поселения Сунтарского муниципального района</v>
          </cell>
          <cell r="J518" t="str">
            <v>Тюбяйский наслег</v>
          </cell>
          <cell r="K518" t="str">
            <v>с</v>
          </cell>
          <cell r="L518" t="str">
            <v>село</v>
          </cell>
          <cell r="M518" t="str">
            <v>Тюбяй</v>
          </cell>
        </row>
        <row r="519">
          <cell r="B519">
            <v>98648463106</v>
          </cell>
          <cell r="C519" t="str">
            <v>Муниципальные образования Республики Саха (Якутия)</v>
          </cell>
          <cell r="D519">
            <v>98600000</v>
          </cell>
          <cell r="E519" t="str">
            <v>Муниципальные образования Республики Саха (Якутия)</v>
          </cell>
          <cell r="F519">
            <v>98000000</v>
          </cell>
          <cell r="G519" t="str">
            <v>Сунтарский муниципальный район</v>
          </cell>
          <cell r="H519">
            <v>98648000</v>
          </cell>
          <cell r="I519" t="str">
            <v>Сельские поселения Сунтарского муниципального района</v>
          </cell>
          <cell r="J519" t="str">
            <v>Тюбяйский наслег</v>
          </cell>
          <cell r="K519" t="str">
            <v>с</v>
          </cell>
          <cell r="L519" t="str">
            <v>село</v>
          </cell>
          <cell r="M519" t="str">
            <v>Нерюктяй</v>
          </cell>
        </row>
        <row r="520">
          <cell r="B520">
            <v>98648465101</v>
          </cell>
          <cell r="C520" t="str">
            <v>Муниципальные образования Республики Саха (Якутия)</v>
          </cell>
          <cell r="D520">
            <v>98600000</v>
          </cell>
          <cell r="E520" t="str">
            <v>Муниципальные образования Республики Саха (Якутия)</v>
          </cell>
          <cell r="F520">
            <v>98000000</v>
          </cell>
          <cell r="G520" t="str">
            <v>Сунтарский муниципальный район</v>
          </cell>
          <cell r="H520">
            <v>98648000</v>
          </cell>
          <cell r="I520" t="str">
            <v>Сельские поселения Сунтарского муниципального района</v>
          </cell>
          <cell r="J520" t="str">
            <v>Хаданский наслег</v>
          </cell>
          <cell r="K520" t="str">
            <v>с</v>
          </cell>
          <cell r="L520" t="str">
            <v>село</v>
          </cell>
          <cell r="M520" t="str">
            <v>Агдары</v>
          </cell>
        </row>
        <row r="521">
          <cell r="B521">
            <v>98648465106</v>
          </cell>
          <cell r="C521" t="str">
            <v>Муниципальные образования Республики Саха (Якутия)</v>
          </cell>
          <cell r="D521">
            <v>98600000</v>
          </cell>
          <cell r="E521" t="str">
            <v>Муниципальные образования Республики Саха (Якутия)</v>
          </cell>
          <cell r="F521">
            <v>98000000</v>
          </cell>
          <cell r="G521" t="str">
            <v>Сунтарский муниципальный район</v>
          </cell>
          <cell r="H521">
            <v>98648000</v>
          </cell>
          <cell r="I521" t="str">
            <v>Сельские поселения Сунтарского муниципального района</v>
          </cell>
          <cell r="J521" t="str">
            <v>Хаданский наслег</v>
          </cell>
          <cell r="K521" t="str">
            <v>с</v>
          </cell>
          <cell r="L521" t="str">
            <v>село</v>
          </cell>
          <cell r="M521" t="str">
            <v>Толон</v>
          </cell>
        </row>
        <row r="522">
          <cell r="B522">
            <v>98648465111</v>
          </cell>
          <cell r="C522" t="str">
            <v>Муниципальные образования Республики Саха (Якутия)</v>
          </cell>
          <cell r="D522">
            <v>98600000</v>
          </cell>
          <cell r="E522" t="str">
            <v>Муниципальные образования Республики Саха (Якутия)</v>
          </cell>
          <cell r="F522">
            <v>98000000</v>
          </cell>
          <cell r="G522" t="str">
            <v>Сунтарский муниципальный район</v>
          </cell>
          <cell r="H522">
            <v>98648000</v>
          </cell>
          <cell r="I522" t="str">
            <v>Сельские поселения Сунтарского муниципального района</v>
          </cell>
          <cell r="J522" t="str">
            <v>Хаданский наслег</v>
          </cell>
          <cell r="K522" t="str">
            <v>с</v>
          </cell>
          <cell r="L522" t="str">
            <v>село</v>
          </cell>
          <cell r="M522" t="str">
            <v>Эйикяр</v>
          </cell>
        </row>
        <row r="523">
          <cell r="B523">
            <v>98648466101</v>
          </cell>
          <cell r="C523" t="str">
            <v>Муниципальные образования Республики Саха (Якутия)</v>
          </cell>
          <cell r="D523">
            <v>98600000</v>
          </cell>
          <cell r="E523" t="str">
            <v>Муниципальные образования Республики Саха (Якутия)</v>
          </cell>
          <cell r="F523">
            <v>98000000</v>
          </cell>
          <cell r="G523" t="str">
            <v>Сунтарский муниципальный район</v>
          </cell>
          <cell r="H523">
            <v>98648000</v>
          </cell>
          <cell r="I523" t="str">
            <v>Сельские поселения Сунтарского муниципального района</v>
          </cell>
          <cell r="J523" t="str">
            <v>Хоринский наслег</v>
          </cell>
          <cell r="K523" t="str">
            <v>с</v>
          </cell>
          <cell r="L523" t="str">
            <v>село</v>
          </cell>
          <cell r="M523" t="str">
            <v>Хоро</v>
          </cell>
        </row>
        <row r="524">
          <cell r="B524">
            <v>98648470101</v>
          </cell>
          <cell r="C524" t="str">
            <v>Муниципальные образования Республики Саха (Якутия)</v>
          </cell>
          <cell r="D524">
            <v>98600000</v>
          </cell>
          <cell r="E524" t="str">
            <v>Муниципальные образования Республики Саха (Якутия)</v>
          </cell>
          <cell r="F524">
            <v>98000000</v>
          </cell>
          <cell r="G524" t="str">
            <v>Сунтарский муниципальный район</v>
          </cell>
          <cell r="H524">
            <v>98648000</v>
          </cell>
          <cell r="I524" t="str">
            <v>Сельские поселения Сунтарского муниципального района</v>
          </cell>
          <cell r="J524" t="str">
            <v>Шеинский наслег</v>
          </cell>
          <cell r="K524" t="str">
            <v>с</v>
          </cell>
          <cell r="L524" t="str">
            <v>село</v>
          </cell>
          <cell r="M524" t="str">
            <v>Шея</v>
          </cell>
        </row>
        <row r="525">
          <cell r="B525">
            <v>98648470106</v>
          </cell>
          <cell r="C525" t="str">
            <v>Муниципальные образования Республики Саха (Якутия)</v>
          </cell>
          <cell r="D525">
            <v>98600000</v>
          </cell>
          <cell r="E525" t="str">
            <v>Муниципальные образования Республики Саха (Якутия)</v>
          </cell>
          <cell r="F525">
            <v>98000000</v>
          </cell>
          <cell r="G525" t="str">
            <v>Сунтарский муниципальный район</v>
          </cell>
          <cell r="H525">
            <v>98648000</v>
          </cell>
          <cell r="I525" t="str">
            <v>Сельские поселения Сунтарского муниципального района</v>
          </cell>
          <cell r="J525" t="str">
            <v>Шеинский наслег</v>
          </cell>
          <cell r="K525" t="str">
            <v>с</v>
          </cell>
          <cell r="L525" t="str">
            <v>село</v>
          </cell>
          <cell r="M525" t="str">
            <v>Комсомол</v>
          </cell>
        </row>
        <row r="526">
          <cell r="B526">
            <v>98648470111</v>
          </cell>
          <cell r="C526" t="str">
            <v>Муниципальные образования Республики Саха (Якутия)</v>
          </cell>
          <cell r="D526">
            <v>98600000</v>
          </cell>
          <cell r="E526" t="str">
            <v>Муниципальные образования Республики Саха (Якутия)</v>
          </cell>
          <cell r="F526">
            <v>98000000</v>
          </cell>
          <cell r="G526" t="str">
            <v>Сунтарский муниципальный район</v>
          </cell>
          <cell r="H526">
            <v>98648000</v>
          </cell>
          <cell r="I526" t="str">
            <v>Сельские поселения Сунтарского муниципального района</v>
          </cell>
          <cell r="J526" t="str">
            <v>Шеинский наслег</v>
          </cell>
          <cell r="K526" t="str">
            <v>с</v>
          </cell>
          <cell r="L526" t="str">
            <v>село</v>
          </cell>
          <cell r="M526" t="str">
            <v>Бясь-Шея</v>
          </cell>
        </row>
        <row r="527">
          <cell r="B527">
            <v>98648475101</v>
          </cell>
          <cell r="C527" t="str">
            <v>Муниципальные образования Республики Саха (Якутия)</v>
          </cell>
          <cell r="D527">
            <v>98600000</v>
          </cell>
          <cell r="E527" t="str">
            <v>Муниципальные образования Республики Саха (Якутия)</v>
          </cell>
          <cell r="F527">
            <v>98000000</v>
          </cell>
          <cell r="G527" t="str">
            <v>Сунтарский муниципальный район</v>
          </cell>
          <cell r="H527">
            <v>98648000</v>
          </cell>
          <cell r="I527" t="str">
            <v>Сельские поселения Сунтарского муниципального района</v>
          </cell>
          <cell r="J527" t="str">
            <v>Эльгяйский наслег</v>
          </cell>
          <cell r="K527" t="str">
            <v>с</v>
          </cell>
          <cell r="L527" t="str">
            <v>село</v>
          </cell>
          <cell r="M527" t="str">
            <v>Эльгяй</v>
          </cell>
        </row>
        <row r="528">
          <cell r="B528">
            <v>98648475106</v>
          </cell>
          <cell r="C528" t="str">
            <v>Муниципальные образования Республики Саха (Якутия)</v>
          </cell>
          <cell r="D528">
            <v>98600000</v>
          </cell>
          <cell r="E528" t="str">
            <v>Муниципальные образования Республики Саха (Якутия)</v>
          </cell>
          <cell r="F528">
            <v>98000000</v>
          </cell>
          <cell r="G528" t="str">
            <v>Сунтарский муниципальный район</v>
          </cell>
          <cell r="H528">
            <v>98648000</v>
          </cell>
          <cell r="I528" t="str">
            <v>Сельские поселения Сунтарского муниципального района</v>
          </cell>
          <cell r="J528" t="str">
            <v>Эльгяйский наслег</v>
          </cell>
          <cell r="K528" t="str">
            <v>с</v>
          </cell>
          <cell r="L528" t="str">
            <v>село</v>
          </cell>
          <cell r="M528" t="str">
            <v>Бордон 3-й</v>
          </cell>
        </row>
        <row r="529">
          <cell r="B529">
            <v>98648480101</v>
          </cell>
          <cell r="C529" t="str">
            <v>Муниципальные образования Республики Саха (Якутия)</v>
          </cell>
          <cell r="D529">
            <v>98600000</v>
          </cell>
          <cell r="E529" t="str">
            <v>Муниципальные образования Республики Саха (Якутия)</v>
          </cell>
          <cell r="F529">
            <v>98000000</v>
          </cell>
          <cell r="G529" t="str">
            <v>Сунтарский муниципальный район</v>
          </cell>
          <cell r="H529">
            <v>98648000</v>
          </cell>
          <cell r="I529" t="str">
            <v>Сельские поселения Сунтарского муниципального района</v>
          </cell>
          <cell r="J529" t="str">
            <v>Устьинский наслег</v>
          </cell>
          <cell r="K529" t="str">
            <v>с</v>
          </cell>
          <cell r="L529" t="str">
            <v>село</v>
          </cell>
          <cell r="M529" t="str">
            <v>Устье</v>
          </cell>
        </row>
        <row r="530">
          <cell r="B530">
            <v>98650151051</v>
          </cell>
          <cell r="C530" t="str">
            <v>Муниципальные образования Республики Саха (Якутия)</v>
          </cell>
          <cell r="D530">
            <v>98600000</v>
          </cell>
          <cell r="E530" t="str">
            <v>Муниципальные образования Республики Саха (Якутия)</v>
          </cell>
          <cell r="F530">
            <v>98000000</v>
          </cell>
          <cell r="G530" t="str">
            <v>Томпонский муниципальный район</v>
          </cell>
          <cell r="H530">
            <v>98650000</v>
          </cell>
          <cell r="I530" t="str">
            <v>Городские поселения Томпонского муниципального района</v>
          </cell>
          <cell r="J530" t="str">
            <v>поселок Хандыга</v>
          </cell>
          <cell r="K530" t="str">
            <v>п</v>
          </cell>
          <cell r="L530" t="str">
            <v>поселок</v>
          </cell>
          <cell r="M530" t="str">
            <v>Хандыга</v>
          </cell>
        </row>
        <row r="531">
          <cell r="B531">
            <v>98650152051</v>
          </cell>
          <cell r="C531" t="str">
            <v>Муниципальные образования Республики Саха (Якутия)</v>
          </cell>
          <cell r="D531">
            <v>98600000</v>
          </cell>
          <cell r="E531" t="str">
            <v>Муниципальные образования Республики Саха (Якутия)</v>
          </cell>
          <cell r="F531">
            <v>98000000</v>
          </cell>
          <cell r="G531" t="str">
            <v>Томпонский муниципальный район</v>
          </cell>
          <cell r="H531">
            <v>98650000</v>
          </cell>
          <cell r="I531" t="str">
            <v>Городские поселения Томпонского муниципального района</v>
          </cell>
          <cell r="J531" t="str">
            <v>поселок Джебарики-Хая</v>
          </cell>
          <cell r="K531" t="str">
            <v>п</v>
          </cell>
          <cell r="L531" t="str">
            <v>поселок</v>
          </cell>
          <cell r="M531" t="str">
            <v>Джебарики-Хая</v>
          </cell>
        </row>
        <row r="532">
          <cell r="B532">
            <v>98650405101</v>
          </cell>
          <cell r="C532" t="str">
            <v>Муниципальные образования Республики Саха (Якутия)</v>
          </cell>
          <cell r="D532">
            <v>98600000</v>
          </cell>
          <cell r="E532" t="str">
            <v>Муниципальные образования Республики Саха (Якутия)</v>
          </cell>
          <cell r="F532">
            <v>98000000</v>
          </cell>
          <cell r="G532" t="str">
            <v>Томпонский муниципальный район</v>
          </cell>
          <cell r="H532">
            <v>98650000</v>
          </cell>
          <cell r="I532" t="str">
            <v>Сельские поселения Томпонского муниципального района</v>
          </cell>
          <cell r="J532" t="str">
            <v>Баягантайский наслег</v>
          </cell>
          <cell r="K532" t="str">
            <v>с</v>
          </cell>
          <cell r="L532" t="str">
            <v>село</v>
          </cell>
          <cell r="M532" t="str">
            <v>Крест-Хальджай</v>
          </cell>
        </row>
        <row r="533">
          <cell r="B533">
            <v>98650405106</v>
          </cell>
          <cell r="C533" t="str">
            <v>Муниципальные образования Республики Саха (Якутия)</v>
          </cell>
          <cell r="D533">
            <v>98600000</v>
          </cell>
          <cell r="E533" t="str">
            <v>Муниципальные образования Республики Саха (Якутия)</v>
          </cell>
          <cell r="F533">
            <v>98000000</v>
          </cell>
          <cell r="G533" t="str">
            <v>Томпонский муниципальный район</v>
          </cell>
          <cell r="H533">
            <v>98650000</v>
          </cell>
          <cell r="I533" t="str">
            <v>Сельские поселения Томпонского муниципального района</v>
          </cell>
          <cell r="J533" t="str">
            <v>Баягантайский наслег</v>
          </cell>
          <cell r="K533" t="str">
            <v>с</v>
          </cell>
          <cell r="L533" t="str">
            <v>село</v>
          </cell>
          <cell r="M533" t="str">
            <v>Ары-Толон</v>
          </cell>
        </row>
        <row r="534">
          <cell r="B534">
            <v>98650405111</v>
          </cell>
          <cell r="C534" t="str">
            <v>Муниципальные образования Республики Саха (Якутия)</v>
          </cell>
          <cell r="D534">
            <v>98600000</v>
          </cell>
          <cell r="E534" t="str">
            <v>Муниципальные образования Республики Саха (Якутия)</v>
          </cell>
          <cell r="F534">
            <v>98000000</v>
          </cell>
          <cell r="G534" t="str">
            <v>Томпонский муниципальный район</v>
          </cell>
          <cell r="H534">
            <v>98650000</v>
          </cell>
          <cell r="I534" t="str">
            <v>Сельские поселения Томпонского муниципального района</v>
          </cell>
          <cell r="J534" t="str">
            <v>Баягантайский наслег</v>
          </cell>
          <cell r="K534" t="str">
            <v>с</v>
          </cell>
          <cell r="L534" t="str">
            <v>село</v>
          </cell>
          <cell r="M534" t="str">
            <v>Ударник</v>
          </cell>
        </row>
        <row r="535">
          <cell r="B535">
            <v>98650415101</v>
          </cell>
          <cell r="C535" t="str">
            <v>Муниципальные образования Республики Саха (Якутия)</v>
          </cell>
          <cell r="D535">
            <v>98600000</v>
          </cell>
          <cell r="E535" t="str">
            <v>Муниципальные образования Республики Саха (Якутия)</v>
          </cell>
          <cell r="F535">
            <v>98000000</v>
          </cell>
          <cell r="G535" t="str">
            <v>Томпонский муниципальный район</v>
          </cell>
          <cell r="H535">
            <v>98650000</v>
          </cell>
          <cell r="I535" t="str">
            <v>Сельские поселения Томпонского муниципального района</v>
          </cell>
          <cell r="J535" t="str">
            <v>Мегино-Алданский наслег</v>
          </cell>
          <cell r="K535" t="str">
            <v>с</v>
          </cell>
          <cell r="L535" t="str">
            <v>село</v>
          </cell>
          <cell r="M535" t="str">
            <v>Мегино-Алдан</v>
          </cell>
        </row>
        <row r="536">
          <cell r="B536">
            <v>98650425101</v>
          </cell>
          <cell r="C536" t="str">
            <v>Муниципальные образования Республики Саха (Якутия)</v>
          </cell>
          <cell r="D536">
            <v>98600000</v>
          </cell>
          <cell r="E536" t="str">
            <v>Муниципальные образования Республики Саха (Якутия)</v>
          </cell>
          <cell r="F536">
            <v>98000000</v>
          </cell>
          <cell r="G536" t="str">
            <v>Томпонский муниципальный район</v>
          </cell>
          <cell r="H536">
            <v>98650000</v>
          </cell>
          <cell r="I536" t="str">
            <v>Сельские поселения Томпонского муниципального района</v>
          </cell>
          <cell r="J536" t="str">
            <v>Охот-Перевозовский наслег</v>
          </cell>
          <cell r="K536" t="str">
            <v>с</v>
          </cell>
          <cell r="L536" t="str">
            <v>село</v>
          </cell>
          <cell r="M536" t="str">
            <v>Охотский-Перевоз</v>
          </cell>
        </row>
        <row r="537">
          <cell r="B537">
            <v>98650430101</v>
          </cell>
          <cell r="C537" t="str">
            <v>Муниципальные образования Республики Саха (Якутия)</v>
          </cell>
          <cell r="D537">
            <v>98600000</v>
          </cell>
          <cell r="E537" t="str">
            <v>Муниципальные образования Республики Саха (Якутия)</v>
          </cell>
          <cell r="F537">
            <v>98000000</v>
          </cell>
          <cell r="G537" t="str">
            <v>Томпонский муниципальный район</v>
          </cell>
          <cell r="H537">
            <v>98650000</v>
          </cell>
          <cell r="I537" t="str">
            <v>Сельские поселения Томпонского муниципального района</v>
          </cell>
          <cell r="J537" t="str">
            <v>Сасыльский наслег</v>
          </cell>
          <cell r="K537" t="str">
            <v>с</v>
          </cell>
          <cell r="L537" t="str">
            <v>село</v>
          </cell>
          <cell r="M537" t="str">
            <v>Кескил</v>
          </cell>
        </row>
        <row r="538">
          <cell r="B538">
            <v>98650433101</v>
          </cell>
          <cell r="C538" t="str">
            <v>Муниципальные образования Республики Саха (Якутия)</v>
          </cell>
          <cell r="D538">
            <v>98600000</v>
          </cell>
          <cell r="E538" t="str">
            <v>Муниципальные образования Республики Саха (Якутия)</v>
          </cell>
          <cell r="F538">
            <v>98000000</v>
          </cell>
          <cell r="G538" t="str">
            <v>Томпонский муниципальный район</v>
          </cell>
          <cell r="H538">
            <v>98650000</v>
          </cell>
          <cell r="I538" t="str">
            <v>Сельские поселения Томпонского муниципального района</v>
          </cell>
          <cell r="J538" t="str">
            <v>Теплоключевской наслег</v>
          </cell>
          <cell r="K538" t="str">
            <v>с</v>
          </cell>
          <cell r="L538" t="str">
            <v>село</v>
          </cell>
          <cell r="M538" t="str">
            <v>Теплый Ключ</v>
          </cell>
        </row>
        <row r="539">
          <cell r="B539">
            <v>98650433106</v>
          </cell>
          <cell r="C539" t="str">
            <v>Муниципальные образования Республики Саха (Якутия)</v>
          </cell>
          <cell r="D539">
            <v>98600000</v>
          </cell>
          <cell r="E539" t="str">
            <v>Муниципальные образования Республики Саха (Якутия)</v>
          </cell>
          <cell r="F539">
            <v>98000000</v>
          </cell>
          <cell r="G539" t="str">
            <v>Томпонский муниципальный район</v>
          </cell>
          <cell r="H539">
            <v>98650000</v>
          </cell>
          <cell r="I539" t="str">
            <v>Сельские поселения Томпонского муниципального района</v>
          </cell>
          <cell r="J539" t="str">
            <v>Теплоключевской наслег</v>
          </cell>
          <cell r="K539" t="str">
            <v>с</v>
          </cell>
          <cell r="L539" t="str">
            <v>село</v>
          </cell>
          <cell r="M539" t="str">
            <v>Аэропорт</v>
          </cell>
        </row>
        <row r="540">
          <cell r="B540">
            <v>98650433111</v>
          </cell>
          <cell r="C540" t="str">
            <v>Муниципальные образования Республики Саха (Якутия)</v>
          </cell>
          <cell r="D540">
            <v>98600000</v>
          </cell>
          <cell r="E540" t="str">
            <v>Муниципальные образования Республики Саха (Якутия)</v>
          </cell>
          <cell r="F540">
            <v>98000000</v>
          </cell>
          <cell r="G540" t="str">
            <v>Томпонский муниципальный район</v>
          </cell>
          <cell r="H540">
            <v>98650000</v>
          </cell>
          <cell r="I540" t="str">
            <v>Сельские поселения Томпонского муниципального района</v>
          </cell>
          <cell r="J540" t="str">
            <v>Теплоключевской наслег</v>
          </cell>
          <cell r="K540" t="str">
            <v>с</v>
          </cell>
          <cell r="L540" t="str">
            <v>село</v>
          </cell>
          <cell r="M540" t="str">
            <v>Развилка</v>
          </cell>
        </row>
        <row r="541">
          <cell r="B541">
            <v>98650435101</v>
          </cell>
          <cell r="C541" t="str">
            <v>Муниципальные образования Республики Саха (Якутия)</v>
          </cell>
          <cell r="D541">
            <v>98600000</v>
          </cell>
          <cell r="E541" t="str">
            <v>Муниципальные образования Республики Саха (Якутия)</v>
          </cell>
          <cell r="F541">
            <v>98000000</v>
          </cell>
          <cell r="G541" t="str">
            <v>Томпонский муниципальный район</v>
          </cell>
          <cell r="H541">
            <v>98650000</v>
          </cell>
          <cell r="I541" t="str">
            <v>Сельские поселения Томпонского муниципального района</v>
          </cell>
          <cell r="J541" t="str">
            <v>Томпонский национальный (эвенский) наслег</v>
          </cell>
          <cell r="K541" t="str">
            <v>с</v>
          </cell>
          <cell r="L541" t="str">
            <v>село</v>
          </cell>
          <cell r="M541" t="str">
            <v>Тополиное</v>
          </cell>
        </row>
        <row r="542">
          <cell r="B542">
            <v>98650440101</v>
          </cell>
          <cell r="C542" t="str">
            <v>Муниципальные образования Республики Саха (Якутия)</v>
          </cell>
          <cell r="D542">
            <v>98600000</v>
          </cell>
          <cell r="E542" t="str">
            <v>Муниципальные образования Республики Саха (Якутия)</v>
          </cell>
          <cell r="F542">
            <v>98000000</v>
          </cell>
          <cell r="G542" t="str">
            <v>Томпонский муниципальный район</v>
          </cell>
          <cell r="H542">
            <v>98650000</v>
          </cell>
          <cell r="I542" t="str">
            <v>Сельские поселения Томпонского муниципального района</v>
          </cell>
          <cell r="J542" t="str">
            <v>Ынгинский наслег</v>
          </cell>
          <cell r="K542" t="str">
            <v>с</v>
          </cell>
          <cell r="L542" t="str">
            <v>село</v>
          </cell>
          <cell r="M542" t="str">
            <v>Новый</v>
          </cell>
        </row>
        <row r="543">
          <cell r="B543">
            <v>98650440106</v>
          </cell>
          <cell r="C543" t="str">
            <v>Муниципальные образования Республики Саха (Якутия)</v>
          </cell>
          <cell r="D543">
            <v>98600000</v>
          </cell>
          <cell r="E543" t="str">
            <v>Муниципальные образования Республики Саха (Якутия)</v>
          </cell>
          <cell r="F543">
            <v>98000000</v>
          </cell>
          <cell r="G543" t="str">
            <v>Томпонский муниципальный район</v>
          </cell>
          <cell r="H543">
            <v>98650000</v>
          </cell>
          <cell r="I543" t="str">
            <v>Сельские поселения Томпонского муниципального района</v>
          </cell>
          <cell r="J543" t="str">
            <v>Ынгинский наслег</v>
          </cell>
          <cell r="K543" t="str">
            <v>с</v>
          </cell>
          <cell r="L543" t="str">
            <v>село</v>
          </cell>
          <cell r="M543" t="str">
            <v>Сайды</v>
          </cell>
        </row>
        <row r="544">
          <cell r="B544">
            <v>98652405101</v>
          </cell>
          <cell r="C544" t="str">
            <v>Муниципальные образования Республики Саха (Якутия)</v>
          </cell>
          <cell r="D544">
            <v>98600000</v>
          </cell>
          <cell r="E544" t="str">
            <v>Муниципальные образования Республики Саха (Якутия)</v>
          </cell>
          <cell r="F544">
            <v>98000000</v>
          </cell>
          <cell r="G544" t="str">
            <v>Усть-Алданский муниципальный район</v>
          </cell>
          <cell r="H544">
            <v>98652000</v>
          </cell>
          <cell r="I544" t="str">
            <v>Сельские поселения Усть-Алданского муниципального района</v>
          </cell>
          <cell r="J544" t="str">
            <v>Батагайский наслег</v>
          </cell>
          <cell r="K544" t="str">
            <v>с</v>
          </cell>
          <cell r="L544" t="str">
            <v>село</v>
          </cell>
          <cell r="M544" t="str">
            <v>Хомустах</v>
          </cell>
        </row>
        <row r="545">
          <cell r="B545">
            <v>98652410101</v>
          </cell>
          <cell r="C545" t="str">
            <v>Муниципальные образования Республики Саха (Якутия)</v>
          </cell>
          <cell r="D545">
            <v>98600000</v>
          </cell>
          <cell r="E545" t="str">
            <v>Муниципальные образования Республики Саха (Якутия)</v>
          </cell>
          <cell r="F545">
            <v>98000000</v>
          </cell>
          <cell r="G545" t="str">
            <v>Усть-Алданский муниципальный район</v>
          </cell>
          <cell r="H545">
            <v>98652000</v>
          </cell>
          <cell r="I545" t="str">
            <v>Сельские поселения Усть-Алданского муниципального района</v>
          </cell>
          <cell r="J545" t="str">
            <v>Баягантайский наслег</v>
          </cell>
          <cell r="K545" t="str">
            <v>с</v>
          </cell>
          <cell r="L545" t="str">
            <v>село</v>
          </cell>
          <cell r="M545" t="str">
            <v>Танда</v>
          </cell>
        </row>
        <row r="546">
          <cell r="B546">
            <v>98652415101</v>
          </cell>
          <cell r="C546" t="str">
            <v>Муниципальные образования Республики Саха (Якутия)</v>
          </cell>
          <cell r="D546">
            <v>98600000</v>
          </cell>
          <cell r="E546" t="str">
            <v>Муниципальные образования Республики Саха (Якутия)</v>
          </cell>
          <cell r="F546">
            <v>98000000</v>
          </cell>
          <cell r="G546" t="str">
            <v>Усть-Алданский муниципальный район</v>
          </cell>
          <cell r="H546">
            <v>98652000</v>
          </cell>
          <cell r="I546" t="str">
            <v>Сельские поселения Усть-Алданского муниципального района</v>
          </cell>
          <cell r="J546" t="str">
            <v>Борогонский наслег</v>
          </cell>
          <cell r="K546" t="str">
            <v>с</v>
          </cell>
          <cell r="L546" t="str">
            <v>село</v>
          </cell>
          <cell r="M546" t="str">
            <v>Тумул</v>
          </cell>
        </row>
        <row r="547">
          <cell r="B547">
            <v>98652415106</v>
          </cell>
          <cell r="C547" t="str">
            <v>Муниципальные образования Республики Саха (Якутия)</v>
          </cell>
          <cell r="D547">
            <v>98600000</v>
          </cell>
          <cell r="E547" t="str">
            <v>Муниципальные образования Республики Саха (Якутия)</v>
          </cell>
          <cell r="F547">
            <v>98000000</v>
          </cell>
          <cell r="G547" t="str">
            <v>Усть-Алданский муниципальный район</v>
          </cell>
          <cell r="H547">
            <v>98652000</v>
          </cell>
          <cell r="I547" t="str">
            <v>Сельские поселения Усть-Алданского муниципального района</v>
          </cell>
          <cell r="J547" t="str">
            <v>Борогонский наслег</v>
          </cell>
          <cell r="K547" t="str">
            <v>с</v>
          </cell>
          <cell r="L547" t="str">
            <v>село</v>
          </cell>
          <cell r="M547" t="str">
            <v>Ары-Тит</v>
          </cell>
        </row>
        <row r="548">
          <cell r="B548">
            <v>98652415111</v>
          </cell>
          <cell r="C548" t="str">
            <v>Муниципальные образования Республики Саха (Якутия)</v>
          </cell>
          <cell r="D548">
            <v>98600000</v>
          </cell>
          <cell r="E548" t="str">
            <v>Муниципальные образования Республики Саха (Якутия)</v>
          </cell>
          <cell r="F548">
            <v>98000000</v>
          </cell>
          <cell r="G548" t="str">
            <v>Усть-Алданский муниципальный район</v>
          </cell>
          <cell r="H548">
            <v>98652000</v>
          </cell>
          <cell r="I548" t="str">
            <v>Сельские поселения Усть-Алданского муниципального района</v>
          </cell>
          <cell r="J548" t="str">
            <v>Борогонский наслег</v>
          </cell>
          <cell r="K548" t="str">
            <v>с</v>
          </cell>
          <cell r="L548" t="str">
            <v>село</v>
          </cell>
          <cell r="M548" t="str">
            <v>Элясин</v>
          </cell>
        </row>
        <row r="549">
          <cell r="B549">
            <v>98652420101</v>
          </cell>
          <cell r="C549" t="str">
            <v>Муниципальные образования Республики Саха (Якутия)</v>
          </cell>
          <cell r="D549">
            <v>98600000</v>
          </cell>
          <cell r="E549" t="str">
            <v>Муниципальные образования Республики Саха (Якутия)</v>
          </cell>
          <cell r="F549">
            <v>98000000</v>
          </cell>
          <cell r="G549" t="str">
            <v>Усть-Алданский муниципальный район</v>
          </cell>
          <cell r="H549">
            <v>98652000</v>
          </cell>
          <cell r="I549" t="str">
            <v>Сельские поселения Усть-Алданского муниципального района</v>
          </cell>
          <cell r="J549" t="str">
            <v>Берт-Усовский наслег</v>
          </cell>
          <cell r="K549" t="str">
            <v>с</v>
          </cell>
          <cell r="L549" t="str">
            <v>село</v>
          </cell>
          <cell r="M549" t="str">
            <v>Сырдах</v>
          </cell>
        </row>
        <row r="550">
          <cell r="B550">
            <v>98652420106</v>
          </cell>
          <cell r="C550" t="str">
            <v>Муниципальные образования Республики Саха (Якутия)</v>
          </cell>
          <cell r="D550">
            <v>98600000</v>
          </cell>
          <cell r="E550" t="str">
            <v>Муниципальные образования Республики Саха (Якутия)</v>
          </cell>
          <cell r="F550">
            <v>98000000</v>
          </cell>
          <cell r="G550" t="str">
            <v>Усть-Алданский муниципальный район</v>
          </cell>
          <cell r="H550">
            <v>98652000</v>
          </cell>
          <cell r="I550" t="str">
            <v>Сельские поселения Усть-Алданского муниципального района</v>
          </cell>
          <cell r="J550" t="str">
            <v>Берт-Усовский наслег</v>
          </cell>
          <cell r="K550" t="str">
            <v>с</v>
          </cell>
          <cell r="L550" t="str">
            <v>село</v>
          </cell>
          <cell r="M550" t="str">
            <v>Чиряпчи</v>
          </cell>
        </row>
        <row r="551">
          <cell r="B551">
            <v>98652425101</v>
          </cell>
          <cell r="C551" t="str">
            <v>Муниципальные образования Республики Саха (Якутия)</v>
          </cell>
          <cell r="D551">
            <v>98600000</v>
          </cell>
          <cell r="E551" t="str">
            <v>Муниципальные образования Республики Саха (Якутия)</v>
          </cell>
          <cell r="F551">
            <v>98000000</v>
          </cell>
          <cell r="G551" t="str">
            <v>Усть-Алданский муниципальный район</v>
          </cell>
          <cell r="H551">
            <v>98652000</v>
          </cell>
          <cell r="I551" t="str">
            <v>Сельские поселения Усть-Алданского муниципального района</v>
          </cell>
          <cell r="J551" t="str">
            <v>Бярийинский наслег</v>
          </cell>
          <cell r="K551" t="str">
            <v>с</v>
          </cell>
          <cell r="L551" t="str">
            <v>село</v>
          </cell>
          <cell r="M551" t="str">
            <v>Бярийе</v>
          </cell>
        </row>
        <row r="552">
          <cell r="B552">
            <v>98652430101</v>
          </cell>
          <cell r="C552" t="str">
            <v>Муниципальные образования Республики Саха (Якутия)</v>
          </cell>
          <cell r="D552">
            <v>98600000</v>
          </cell>
          <cell r="E552" t="str">
            <v>Муниципальные образования Республики Саха (Якутия)</v>
          </cell>
          <cell r="F552">
            <v>98000000</v>
          </cell>
          <cell r="G552" t="str">
            <v>Усть-Алданский муниципальный район</v>
          </cell>
          <cell r="H552">
            <v>98652000</v>
          </cell>
          <cell r="I552" t="str">
            <v>Сельские поселения Усть-Алданского муниципального района</v>
          </cell>
          <cell r="J552" t="str">
            <v>Дюпсюнский наслег</v>
          </cell>
          <cell r="K552" t="str">
            <v>с</v>
          </cell>
          <cell r="L552" t="str">
            <v>село</v>
          </cell>
          <cell r="M552" t="str">
            <v>Дюпся</v>
          </cell>
        </row>
        <row r="553">
          <cell r="B553">
            <v>98652430106</v>
          </cell>
          <cell r="C553" t="str">
            <v>Муниципальные образования Республики Саха (Якутия)</v>
          </cell>
          <cell r="D553">
            <v>98600000</v>
          </cell>
          <cell r="E553" t="str">
            <v>Муниципальные образования Республики Саха (Якутия)</v>
          </cell>
          <cell r="F553">
            <v>98000000</v>
          </cell>
          <cell r="G553" t="str">
            <v>Усть-Алданский муниципальный район</v>
          </cell>
          <cell r="H553">
            <v>98652000</v>
          </cell>
          <cell r="I553" t="str">
            <v>Сельские поселения Усть-Алданского муниципального района</v>
          </cell>
          <cell r="J553" t="str">
            <v>Дюпсюнский наслег</v>
          </cell>
          <cell r="K553" t="str">
            <v>с</v>
          </cell>
          <cell r="L553" t="str">
            <v>село</v>
          </cell>
          <cell r="M553" t="str">
            <v>Бяди</v>
          </cell>
        </row>
        <row r="554">
          <cell r="B554">
            <v>98652430111</v>
          </cell>
          <cell r="C554" t="str">
            <v>Муниципальные образования Республики Саха (Якутия)</v>
          </cell>
          <cell r="D554">
            <v>98600000</v>
          </cell>
          <cell r="E554" t="str">
            <v>Муниципальные образования Республики Саха (Якутия)</v>
          </cell>
          <cell r="F554">
            <v>98000000</v>
          </cell>
          <cell r="G554" t="str">
            <v>Усть-Алданский муниципальный район</v>
          </cell>
          <cell r="H554">
            <v>98652000</v>
          </cell>
          <cell r="I554" t="str">
            <v>Сельские поселения Усть-Алданского муниципального района</v>
          </cell>
          <cell r="J554" t="str">
            <v>Дюпсюнский наслег</v>
          </cell>
          <cell r="K554" t="str">
            <v>с</v>
          </cell>
          <cell r="L554" t="str">
            <v>село</v>
          </cell>
          <cell r="M554" t="str">
            <v>Стойка</v>
          </cell>
        </row>
        <row r="555">
          <cell r="B555">
            <v>98652435101</v>
          </cell>
          <cell r="C555" t="str">
            <v>Муниципальные образования Республики Саха (Якутия)</v>
          </cell>
          <cell r="D555">
            <v>98600000</v>
          </cell>
          <cell r="E555" t="str">
            <v>Муниципальные образования Республики Саха (Якутия)</v>
          </cell>
          <cell r="F555">
            <v>98000000</v>
          </cell>
          <cell r="G555" t="str">
            <v>Усть-Алданский муниципальный район</v>
          </cell>
          <cell r="H555">
            <v>98652000</v>
          </cell>
          <cell r="I555" t="str">
            <v>Сельские поселения Усть-Алданского муниципального района</v>
          </cell>
          <cell r="J555" t="str">
            <v>Курбусахский наслег</v>
          </cell>
          <cell r="K555" t="str">
            <v>с</v>
          </cell>
          <cell r="L555" t="str">
            <v>село</v>
          </cell>
          <cell r="M555" t="str">
            <v>Ус-Кюёль</v>
          </cell>
        </row>
        <row r="556">
          <cell r="B556">
            <v>98652435106</v>
          </cell>
          <cell r="C556" t="str">
            <v>Муниципальные образования Республики Саха (Якутия)</v>
          </cell>
          <cell r="D556">
            <v>98600000</v>
          </cell>
          <cell r="E556" t="str">
            <v>Муниципальные образования Республики Саха (Якутия)</v>
          </cell>
          <cell r="F556">
            <v>98000000</v>
          </cell>
          <cell r="G556" t="str">
            <v>Усть-Алданский муниципальный район</v>
          </cell>
          <cell r="H556">
            <v>98652000</v>
          </cell>
          <cell r="I556" t="str">
            <v>Сельские поселения Усть-Алданского муниципального района</v>
          </cell>
          <cell r="J556" t="str">
            <v>Курбусахский наслег</v>
          </cell>
          <cell r="K556" t="str">
            <v>с</v>
          </cell>
          <cell r="L556" t="str">
            <v>село</v>
          </cell>
          <cell r="M556" t="str">
            <v>Балаганнах</v>
          </cell>
        </row>
        <row r="557">
          <cell r="B557">
            <v>98652435111</v>
          </cell>
          <cell r="C557" t="str">
            <v>Муниципальные образования Республики Саха (Якутия)</v>
          </cell>
          <cell r="D557">
            <v>98600000</v>
          </cell>
          <cell r="E557" t="str">
            <v>Муниципальные образования Республики Саха (Якутия)</v>
          </cell>
          <cell r="F557">
            <v>98000000</v>
          </cell>
          <cell r="G557" t="str">
            <v>Усть-Алданский муниципальный район</v>
          </cell>
          <cell r="H557">
            <v>98652000</v>
          </cell>
          <cell r="I557" t="str">
            <v>Сельские поселения Усть-Алданского муниципального района</v>
          </cell>
          <cell r="J557" t="str">
            <v>Курбусахский наслег</v>
          </cell>
          <cell r="K557" t="str">
            <v>с</v>
          </cell>
          <cell r="L557" t="str">
            <v>село</v>
          </cell>
          <cell r="M557" t="str">
            <v>Окоемовка</v>
          </cell>
        </row>
        <row r="558">
          <cell r="B558">
            <v>98652440101</v>
          </cell>
          <cell r="C558" t="str">
            <v>Муниципальные образования Республики Саха (Якутия)</v>
          </cell>
          <cell r="D558">
            <v>98600000</v>
          </cell>
          <cell r="E558" t="str">
            <v>Муниципальные образования Республики Саха (Якутия)</v>
          </cell>
          <cell r="F558">
            <v>98000000</v>
          </cell>
          <cell r="G558" t="str">
            <v>Усть-Алданский муниципальный район</v>
          </cell>
          <cell r="H558">
            <v>98652000</v>
          </cell>
          <cell r="I558" t="str">
            <v>Сельские поселения Усть-Алданского муниципального района</v>
          </cell>
          <cell r="J558" t="str">
            <v>Легойский наслег</v>
          </cell>
          <cell r="K558" t="str">
            <v>с</v>
          </cell>
          <cell r="L558" t="str">
            <v>село</v>
          </cell>
          <cell r="M558" t="str">
            <v>Кептени</v>
          </cell>
        </row>
        <row r="559">
          <cell r="B559">
            <v>98652440106</v>
          </cell>
          <cell r="C559" t="str">
            <v>Муниципальные образования Республики Саха (Якутия)</v>
          </cell>
          <cell r="D559">
            <v>98600000</v>
          </cell>
          <cell r="E559" t="str">
            <v>Муниципальные образования Республики Саха (Якутия)</v>
          </cell>
          <cell r="F559">
            <v>98000000</v>
          </cell>
          <cell r="G559" t="str">
            <v>Усть-Алданский муниципальный район</v>
          </cell>
          <cell r="H559">
            <v>98652000</v>
          </cell>
          <cell r="I559" t="str">
            <v>Сельские поселения Усть-Алданского муниципального района</v>
          </cell>
          <cell r="J559" t="str">
            <v>Легойский наслег</v>
          </cell>
          <cell r="K559" t="str">
            <v>с</v>
          </cell>
          <cell r="L559" t="str">
            <v>село</v>
          </cell>
          <cell r="M559" t="str">
            <v>Далы</v>
          </cell>
        </row>
        <row r="560">
          <cell r="B560">
            <v>98652440111</v>
          </cell>
          <cell r="C560" t="str">
            <v>Муниципальные образования Республики Саха (Якутия)</v>
          </cell>
          <cell r="D560">
            <v>98600000</v>
          </cell>
          <cell r="E560" t="str">
            <v>Муниципальные образования Республики Саха (Якутия)</v>
          </cell>
          <cell r="F560">
            <v>98000000</v>
          </cell>
          <cell r="G560" t="str">
            <v>Усть-Алданский муниципальный район</v>
          </cell>
          <cell r="H560">
            <v>98652000</v>
          </cell>
          <cell r="I560" t="str">
            <v>Сельские поселения Усть-Алданского муниципального района</v>
          </cell>
          <cell r="J560" t="str">
            <v>Легойский наслег</v>
          </cell>
          <cell r="K560" t="str">
            <v>с</v>
          </cell>
          <cell r="L560" t="str">
            <v>село</v>
          </cell>
          <cell r="M560" t="str">
            <v>Хомустах</v>
          </cell>
        </row>
        <row r="561">
          <cell r="B561">
            <v>98652445101</v>
          </cell>
          <cell r="C561" t="str">
            <v>Муниципальные образования Республики Саха (Якутия)</v>
          </cell>
          <cell r="D561">
            <v>98600000</v>
          </cell>
          <cell r="E561" t="str">
            <v>Муниципальные образования Республики Саха (Якутия)</v>
          </cell>
          <cell r="F561">
            <v>98000000</v>
          </cell>
          <cell r="G561" t="str">
            <v>Усть-Алданский муниципальный район</v>
          </cell>
          <cell r="H561">
            <v>98652000</v>
          </cell>
          <cell r="I561" t="str">
            <v>Сельские поселения Усть-Алданского муниципального района</v>
          </cell>
          <cell r="J561" t="str">
            <v>Мюрюнский наслег</v>
          </cell>
          <cell r="K561" t="str">
            <v>с</v>
          </cell>
          <cell r="L561" t="str">
            <v>село</v>
          </cell>
          <cell r="M561" t="str">
            <v>Борогонцы</v>
          </cell>
        </row>
        <row r="562">
          <cell r="B562">
            <v>98652445106</v>
          </cell>
          <cell r="C562" t="str">
            <v>Муниципальные образования Республики Саха (Якутия)</v>
          </cell>
          <cell r="D562">
            <v>98600000</v>
          </cell>
          <cell r="E562" t="str">
            <v>Муниципальные образования Республики Саха (Якутия)</v>
          </cell>
          <cell r="F562">
            <v>98000000</v>
          </cell>
          <cell r="G562" t="str">
            <v>Усть-Алданский муниципальный район</v>
          </cell>
          <cell r="H562">
            <v>98652000</v>
          </cell>
          <cell r="I562" t="str">
            <v>Сельские поселения Усть-Алданского муниципального района</v>
          </cell>
          <cell r="J562" t="str">
            <v>Мюрюнский наслег</v>
          </cell>
          <cell r="K562" t="str">
            <v>с</v>
          </cell>
          <cell r="L562" t="str">
            <v>село</v>
          </cell>
          <cell r="M562" t="str">
            <v>Мындаба</v>
          </cell>
        </row>
        <row r="563">
          <cell r="B563">
            <v>98652445111</v>
          </cell>
          <cell r="C563" t="str">
            <v>Муниципальные образования Республики Саха (Якутия)</v>
          </cell>
          <cell r="D563">
            <v>98600000</v>
          </cell>
          <cell r="E563" t="str">
            <v>Муниципальные образования Республики Саха (Якутия)</v>
          </cell>
          <cell r="F563">
            <v>98000000</v>
          </cell>
          <cell r="G563" t="str">
            <v>Усть-Алданский муниципальный район</v>
          </cell>
          <cell r="H563">
            <v>98652000</v>
          </cell>
          <cell r="I563" t="str">
            <v>Сельские поселения Усть-Алданского муниципального района</v>
          </cell>
          <cell r="J563" t="str">
            <v>Мюрюнский наслег</v>
          </cell>
          <cell r="K563" t="str">
            <v>с</v>
          </cell>
          <cell r="L563" t="str">
            <v>село</v>
          </cell>
          <cell r="M563" t="str">
            <v>Томтор</v>
          </cell>
        </row>
        <row r="564">
          <cell r="B564">
            <v>98652450101</v>
          </cell>
          <cell r="C564" t="str">
            <v>Муниципальные образования Республики Саха (Якутия)</v>
          </cell>
          <cell r="D564">
            <v>98600000</v>
          </cell>
          <cell r="E564" t="str">
            <v>Муниципальные образования Республики Саха (Якутия)</v>
          </cell>
          <cell r="F564">
            <v>98000000</v>
          </cell>
          <cell r="G564" t="str">
            <v>Усть-Алданский муниципальный район</v>
          </cell>
          <cell r="H564">
            <v>98652000</v>
          </cell>
          <cell r="I564" t="str">
            <v>Сельские поселения Усть-Алданского муниципального района</v>
          </cell>
          <cell r="J564" t="str">
            <v>Наяхинский наслег</v>
          </cell>
          <cell r="K564" t="str">
            <v>с</v>
          </cell>
          <cell r="L564" t="str">
            <v>село</v>
          </cell>
          <cell r="M564" t="str">
            <v>Балыктах</v>
          </cell>
        </row>
        <row r="565">
          <cell r="B565">
            <v>98652455101</v>
          </cell>
          <cell r="C565" t="str">
            <v>Муниципальные образования Республики Саха (Якутия)</v>
          </cell>
          <cell r="D565">
            <v>98600000</v>
          </cell>
          <cell r="E565" t="str">
            <v>Муниципальные образования Республики Саха (Якутия)</v>
          </cell>
          <cell r="F565">
            <v>98000000</v>
          </cell>
          <cell r="G565" t="str">
            <v>Усть-Алданский муниципальный район</v>
          </cell>
          <cell r="H565">
            <v>98652000</v>
          </cell>
          <cell r="I565" t="str">
            <v>Сельские поселения Усть-Алданского муниципального района</v>
          </cell>
          <cell r="J565" t="str">
            <v>Ольтехский наслег</v>
          </cell>
          <cell r="K565" t="str">
            <v>с</v>
          </cell>
          <cell r="L565" t="str">
            <v>село</v>
          </cell>
          <cell r="M565" t="str">
            <v>Бейдинга</v>
          </cell>
        </row>
        <row r="566">
          <cell r="B566">
            <v>98652455106</v>
          </cell>
          <cell r="C566" t="str">
            <v>Муниципальные образования Республики Саха (Якутия)</v>
          </cell>
          <cell r="D566">
            <v>98600000</v>
          </cell>
          <cell r="E566" t="str">
            <v>Муниципальные образования Республики Саха (Якутия)</v>
          </cell>
          <cell r="F566">
            <v>98000000</v>
          </cell>
          <cell r="G566" t="str">
            <v>Усть-Алданский муниципальный район</v>
          </cell>
          <cell r="H566">
            <v>98652000</v>
          </cell>
          <cell r="I566" t="str">
            <v>Сельские поселения Усть-Алданского муниципального района</v>
          </cell>
          <cell r="J566" t="str">
            <v>Ольтехский наслег</v>
          </cell>
          <cell r="K566" t="str">
            <v>с</v>
          </cell>
          <cell r="L566" t="str">
            <v>село</v>
          </cell>
          <cell r="M566" t="str">
            <v>Арылах</v>
          </cell>
        </row>
        <row r="567">
          <cell r="B567">
            <v>98652460101</v>
          </cell>
          <cell r="C567" t="str">
            <v>Муниципальные образования Республики Саха (Якутия)</v>
          </cell>
          <cell r="D567">
            <v>98600000</v>
          </cell>
          <cell r="E567" t="str">
            <v>Муниципальные образования Республики Саха (Якутия)</v>
          </cell>
          <cell r="F567">
            <v>98000000</v>
          </cell>
          <cell r="G567" t="str">
            <v>Усть-Алданский муниципальный район</v>
          </cell>
          <cell r="H567">
            <v>98652000</v>
          </cell>
          <cell r="I567" t="str">
            <v>Сельские поселения Усть-Алданского муниципального района</v>
          </cell>
          <cell r="J567" t="str">
            <v>Онерский наслег</v>
          </cell>
          <cell r="K567" t="str">
            <v>с</v>
          </cell>
          <cell r="L567" t="str">
            <v>село</v>
          </cell>
          <cell r="M567" t="str">
            <v>Эселях</v>
          </cell>
        </row>
        <row r="568">
          <cell r="B568">
            <v>98652465101</v>
          </cell>
          <cell r="C568" t="str">
            <v>Муниципальные образования Республики Саха (Якутия)</v>
          </cell>
          <cell r="D568">
            <v>98600000</v>
          </cell>
          <cell r="E568" t="str">
            <v>Муниципальные образования Республики Саха (Якутия)</v>
          </cell>
          <cell r="F568">
            <v>98000000</v>
          </cell>
          <cell r="G568" t="str">
            <v>Усть-Алданский муниципальный район</v>
          </cell>
          <cell r="H568">
            <v>98652000</v>
          </cell>
          <cell r="I568" t="str">
            <v>Сельские поселения Усть-Алданского муниципального района</v>
          </cell>
          <cell r="J568" t="str">
            <v>Оспехский наслег</v>
          </cell>
          <cell r="K568" t="str">
            <v>с</v>
          </cell>
          <cell r="L568" t="str">
            <v>село</v>
          </cell>
          <cell r="M568" t="str">
            <v>Дыгдал</v>
          </cell>
        </row>
        <row r="569">
          <cell r="B569">
            <v>98652467101</v>
          </cell>
          <cell r="C569" t="str">
            <v>Муниципальные образования Республики Саха (Якутия)</v>
          </cell>
          <cell r="D569">
            <v>98600000</v>
          </cell>
          <cell r="E569" t="str">
            <v>Муниципальные образования Республики Саха (Якутия)</v>
          </cell>
          <cell r="F569">
            <v>98000000</v>
          </cell>
          <cell r="G569" t="str">
            <v>Усть-Алданский муниципальный район</v>
          </cell>
          <cell r="H569">
            <v>98652000</v>
          </cell>
          <cell r="I569" t="str">
            <v>Сельские поселения Усть-Алданского муниципального района</v>
          </cell>
          <cell r="J569" t="str">
            <v>Оспехский 1-й наслег</v>
          </cell>
          <cell r="K569" t="str">
            <v>с</v>
          </cell>
          <cell r="L569" t="str">
            <v>село</v>
          </cell>
          <cell r="M569" t="str">
            <v>Усун-Кюёль</v>
          </cell>
        </row>
        <row r="570">
          <cell r="B570">
            <v>98652470101</v>
          </cell>
          <cell r="C570" t="str">
            <v>Муниципальные образования Республики Саха (Якутия)</v>
          </cell>
          <cell r="D570">
            <v>98600000</v>
          </cell>
          <cell r="E570" t="str">
            <v>Муниципальные образования Республики Саха (Якутия)</v>
          </cell>
          <cell r="F570">
            <v>98000000</v>
          </cell>
          <cell r="G570" t="str">
            <v>Усть-Алданский муниципальный район</v>
          </cell>
          <cell r="H570">
            <v>98652000</v>
          </cell>
          <cell r="I570" t="str">
            <v>Сельские поселения Усть-Алданского муниципального района</v>
          </cell>
          <cell r="J570" t="str">
            <v>Суоттунский наслег</v>
          </cell>
          <cell r="K570" t="str">
            <v>с</v>
          </cell>
          <cell r="L570" t="str">
            <v>село</v>
          </cell>
          <cell r="M570" t="str">
            <v>Огородтах</v>
          </cell>
        </row>
        <row r="571">
          <cell r="B571">
            <v>98652470106</v>
          </cell>
          <cell r="C571" t="str">
            <v>Муниципальные образования Республики Саха (Якутия)</v>
          </cell>
          <cell r="D571">
            <v>98600000</v>
          </cell>
          <cell r="E571" t="str">
            <v>Муниципальные образования Республики Саха (Якутия)</v>
          </cell>
          <cell r="F571">
            <v>98000000</v>
          </cell>
          <cell r="G571" t="str">
            <v>Усть-Алданский муниципальный район</v>
          </cell>
          <cell r="H571">
            <v>98652000</v>
          </cell>
          <cell r="I571" t="str">
            <v>Сельские поселения Усть-Алданского муниципального района</v>
          </cell>
          <cell r="J571" t="str">
            <v>Суоттунский наслег</v>
          </cell>
          <cell r="K571" t="str">
            <v>с</v>
          </cell>
          <cell r="L571" t="str">
            <v>село</v>
          </cell>
          <cell r="M571" t="str">
            <v>Сасылыкан</v>
          </cell>
        </row>
        <row r="572">
          <cell r="B572">
            <v>98652470111</v>
          </cell>
          <cell r="C572" t="str">
            <v>Муниципальные образования Республики Саха (Якутия)</v>
          </cell>
          <cell r="D572">
            <v>98600000</v>
          </cell>
          <cell r="E572" t="str">
            <v>Муниципальные образования Республики Саха (Якутия)</v>
          </cell>
          <cell r="F572">
            <v>98000000</v>
          </cell>
          <cell r="G572" t="str">
            <v>Усть-Алданский муниципальный район</v>
          </cell>
          <cell r="H572">
            <v>98652000</v>
          </cell>
          <cell r="I572" t="str">
            <v>Сельские поселения Усть-Алданского муниципального района</v>
          </cell>
          <cell r="J572" t="str">
            <v>Суоттунский наслег</v>
          </cell>
          <cell r="K572" t="str">
            <v>с</v>
          </cell>
          <cell r="L572" t="str">
            <v>село</v>
          </cell>
          <cell r="M572" t="str">
            <v>Хоногор</v>
          </cell>
        </row>
        <row r="573">
          <cell r="B573">
            <v>98652472101</v>
          </cell>
          <cell r="C573" t="str">
            <v>Муниципальные образования Республики Саха (Якутия)</v>
          </cell>
          <cell r="D573">
            <v>98600000</v>
          </cell>
          <cell r="E573" t="str">
            <v>Муниципальные образования Республики Саха (Якутия)</v>
          </cell>
          <cell r="F573">
            <v>98000000</v>
          </cell>
          <cell r="G573" t="str">
            <v>Усть-Алданский муниципальный район</v>
          </cell>
          <cell r="H573">
            <v>98652000</v>
          </cell>
          <cell r="I573" t="str">
            <v>Сельские поселения Усть-Алданского муниципального района</v>
          </cell>
          <cell r="J573" t="str">
            <v>Байагантайский 2-й наслег</v>
          </cell>
          <cell r="K573" t="str">
            <v>с</v>
          </cell>
          <cell r="L573" t="str">
            <v>село</v>
          </cell>
          <cell r="M573" t="str">
            <v>Тит-Ары</v>
          </cell>
        </row>
        <row r="574">
          <cell r="B574">
            <v>98652473101</v>
          </cell>
          <cell r="C574" t="str">
            <v>Муниципальные образования Республики Саха (Якутия)</v>
          </cell>
          <cell r="D574">
            <v>98600000</v>
          </cell>
          <cell r="E574" t="str">
            <v>Муниципальные образования Республики Саха (Якутия)</v>
          </cell>
          <cell r="F574">
            <v>98000000</v>
          </cell>
          <cell r="G574" t="str">
            <v>Усть-Алданский муниципальный район</v>
          </cell>
          <cell r="H574">
            <v>98652000</v>
          </cell>
          <cell r="I574" t="str">
            <v>Сельские поселения Усть-Алданского муниципального района</v>
          </cell>
          <cell r="J574" t="str">
            <v>Легойский 2-й наслег</v>
          </cell>
          <cell r="K574" t="str">
            <v>с</v>
          </cell>
          <cell r="L574" t="str">
            <v>село</v>
          </cell>
          <cell r="M574" t="str">
            <v>Тулуна</v>
          </cell>
        </row>
        <row r="575">
          <cell r="B575">
            <v>98652475101</v>
          </cell>
          <cell r="C575" t="str">
            <v>Муниципальные образования Республики Саха (Якутия)</v>
          </cell>
          <cell r="D575">
            <v>98600000</v>
          </cell>
          <cell r="E575" t="str">
            <v>Муниципальные образования Республики Саха (Якутия)</v>
          </cell>
          <cell r="F575">
            <v>98000000</v>
          </cell>
          <cell r="G575" t="str">
            <v>Усть-Алданский муниципальный район</v>
          </cell>
          <cell r="H575">
            <v>98652000</v>
          </cell>
          <cell r="I575" t="str">
            <v>Сельские поселения Усть-Алданского муниципального района</v>
          </cell>
          <cell r="J575" t="str">
            <v>Тюляхский наслег</v>
          </cell>
          <cell r="K575" t="str">
            <v>с</v>
          </cell>
          <cell r="L575" t="str">
            <v>село</v>
          </cell>
          <cell r="M575" t="str">
            <v>Кылайы</v>
          </cell>
        </row>
        <row r="576">
          <cell r="B576">
            <v>98652480101</v>
          </cell>
          <cell r="C576" t="str">
            <v>Муниципальные образования Республики Саха (Якутия)</v>
          </cell>
          <cell r="D576">
            <v>98600000</v>
          </cell>
          <cell r="E576" t="str">
            <v>Муниципальные образования Республики Саха (Якутия)</v>
          </cell>
          <cell r="F576">
            <v>98000000</v>
          </cell>
          <cell r="G576" t="str">
            <v>Усть-Алданский муниципальный район</v>
          </cell>
          <cell r="H576">
            <v>98652000</v>
          </cell>
          <cell r="I576" t="str">
            <v>Сельские поселения Усть-Алданского муниципального района</v>
          </cell>
          <cell r="J576" t="str">
            <v>Хоринский наслег</v>
          </cell>
          <cell r="K576" t="str">
            <v>с</v>
          </cell>
          <cell r="L576" t="str">
            <v>село</v>
          </cell>
          <cell r="M576" t="str">
            <v>Маягас</v>
          </cell>
        </row>
        <row r="577">
          <cell r="B577">
            <v>98652485101</v>
          </cell>
          <cell r="C577" t="str">
            <v>Муниципальные образования Республики Саха (Якутия)</v>
          </cell>
          <cell r="D577">
            <v>98600000</v>
          </cell>
          <cell r="E577" t="str">
            <v>Муниципальные образования Республики Саха (Якутия)</v>
          </cell>
          <cell r="F577">
            <v>98000000</v>
          </cell>
          <cell r="G577" t="str">
            <v>Усть-Алданский муниципальный район</v>
          </cell>
          <cell r="H577">
            <v>98652000</v>
          </cell>
          <cell r="I577" t="str">
            <v>Сельские поселения Усть-Алданского муниципального района</v>
          </cell>
          <cell r="J577" t="str">
            <v>Чериктейский наслег</v>
          </cell>
          <cell r="K577" t="str">
            <v>с</v>
          </cell>
          <cell r="L577" t="str">
            <v>село</v>
          </cell>
          <cell r="M577" t="str">
            <v>Чериктей</v>
          </cell>
        </row>
        <row r="578">
          <cell r="B578">
            <v>98652490101</v>
          </cell>
          <cell r="C578" t="str">
            <v>Муниципальные образования Республики Саха (Якутия)</v>
          </cell>
          <cell r="D578">
            <v>98600000</v>
          </cell>
          <cell r="E578" t="str">
            <v>Муниципальные образования Республики Саха (Якутия)</v>
          </cell>
          <cell r="F578">
            <v>98000000</v>
          </cell>
          <cell r="G578" t="str">
            <v>Усть-Алданский муниципальный район</v>
          </cell>
          <cell r="H578">
            <v>98652000</v>
          </cell>
          <cell r="I578" t="str">
            <v>Сельские поселения Усть-Алданского муниципального района</v>
          </cell>
          <cell r="J578" t="str">
            <v>Хоринский 1-й наслег</v>
          </cell>
          <cell r="K578" t="str">
            <v>с</v>
          </cell>
          <cell r="L578" t="str">
            <v>село</v>
          </cell>
          <cell r="M578" t="str">
            <v>Чаранг</v>
          </cell>
        </row>
        <row r="579">
          <cell r="B579">
            <v>98654151051</v>
          </cell>
          <cell r="C579" t="str">
            <v>Муниципальные образования Республики Саха (Якутия)</v>
          </cell>
          <cell r="D579">
            <v>98600000</v>
          </cell>
          <cell r="E579" t="str">
            <v>Муниципальные образования Республики Саха (Якутия)</v>
          </cell>
          <cell r="F579">
            <v>98000000</v>
          </cell>
          <cell r="G579" t="str">
            <v>Усть-Майский муниципальный район</v>
          </cell>
          <cell r="H579">
            <v>98654000</v>
          </cell>
          <cell r="I579" t="str">
            <v>Городские поселения Усть-Майского муниципального района</v>
          </cell>
          <cell r="J579" t="str">
            <v>поселок Усть-Мая</v>
          </cell>
          <cell r="K579" t="str">
            <v>п</v>
          </cell>
          <cell r="L579" t="str">
            <v>поселок</v>
          </cell>
          <cell r="M579" t="str">
            <v>Усть-Мая</v>
          </cell>
        </row>
        <row r="580">
          <cell r="B580">
            <v>98654151106</v>
          </cell>
          <cell r="C580" t="str">
            <v>Муниципальные образования Республики Саха (Якутия)</v>
          </cell>
          <cell r="D580">
            <v>98600000</v>
          </cell>
          <cell r="E580" t="str">
            <v>Муниципальные образования Республики Саха (Якутия)</v>
          </cell>
          <cell r="F580">
            <v>98000000</v>
          </cell>
          <cell r="G580" t="str">
            <v>Усть-Майский муниципальный район</v>
          </cell>
          <cell r="H580">
            <v>98654000</v>
          </cell>
          <cell r="I580" t="str">
            <v>Городские поселения Усть-Майского муниципального района</v>
          </cell>
          <cell r="J580" t="str">
            <v>поселок Усть-Мая</v>
          </cell>
          <cell r="K580" t="str">
            <v>с</v>
          </cell>
          <cell r="L580" t="str">
            <v>село</v>
          </cell>
          <cell r="M580" t="str">
            <v>Усть-Юдома</v>
          </cell>
        </row>
        <row r="581">
          <cell r="B581">
            <v>98654156051</v>
          </cell>
          <cell r="C581" t="str">
            <v>Муниципальные образования Республики Саха (Якутия)</v>
          </cell>
          <cell r="D581">
            <v>98600000</v>
          </cell>
          <cell r="E581" t="str">
            <v>Муниципальные образования Республики Саха (Якутия)</v>
          </cell>
          <cell r="F581">
            <v>98000000</v>
          </cell>
          <cell r="G581" t="str">
            <v>Усть-Майский муниципальный район</v>
          </cell>
          <cell r="H581">
            <v>98654000</v>
          </cell>
          <cell r="I581" t="str">
            <v>Городские поселения Усть-Майского муниципального района</v>
          </cell>
          <cell r="J581" t="str">
            <v>поселок Звездочка</v>
          </cell>
          <cell r="K581" t="str">
            <v>п</v>
          </cell>
          <cell r="L581" t="str">
            <v>поселок</v>
          </cell>
          <cell r="M581" t="str">
            <v>Звездочка</v>
          </cell>
        </row>
        <row r="582">
          <cell r="B582">
            <v>98654158051</v>
          </cell>
          <cell r="C582" t="str">
            <v>Муниципальные образования Республики Саха (Якутия)</v>
          </cell>
          <cell r="D582">
            <v>98600000</v>
          </cell>
          <cell r="E582" t="str">
            <v>Муниципальные образования Республики Саха (Якутия)</v>
          </cell>
          <cell r="F582">
            <v>98000000</v>
          </cell>
          <cell r="G582" t="str">
            <v>Усть-Майский муниципальный район</v>
          </cell>
          <cell r="H582">
            <v>98654000</v>
          </cell>
          <cell r="I582" t="str">
            <v>Городские поселения Усть-Майского муниципального района</v>
          </cell>
          <cell r="J582" t="str">
            <v>поселок Солнечный</v>
          </cell>
          <cell r="K582" t="str">
            <v>п</v>
          </cell>
          <cell r="L582" t="str">
            <v>поселок</v>
          </cell>
          <cell r="M582" t="str">
            <v>Солнечный</v>
          </cell>
        </row>
        <row r="583">
          <cell r="B583">
            <v>98654158106</v>
          </cell>
          <cell r="C583" t="str">
            <v>Муниципальные образования Республики Саха (Якутия)</v>
          </cell>
          <cell r="D583">
            <v>98600000</v>
          </cell>
          <cell r="E583" t="str">
            <v>Муниципальные образования Республики Саха (Якутия)</v>
          </cell>
          <cell r="F583">
            <v>98000000</v>
          </cell>
          <cell r="G583" t="str">
            <v>Усть-Майский муниципальный район</v>
          </cell>
          <cell r="H583">
            <v>98654000</v>
          </cell>
          <cell r="I583" t="str">
            <v>Городские поселения Усть-Майского муниципального района</v>
          </cell>
          <cell r="J583" t="str">
            <v>поселок Солнечный</v>
          </cell>
          <cell r="K583" t="str">
            <v>с</v>
          </cell>
          <cell r="L583" t="str">
            <v>село</v>
          </cell>
          <cell r="M583" t="str">
            <v>Усть-Ыныкчан</v>
          </cell>
        </row>
        <row r="584">
          <cell r="B584">
            <v>98654164051</v>
          </cell>
          <cell r="C584" t="str">
            <v>Муниципальные образования Республики Саха (Якутия)</v>
          </cell>
          <cell r="D584">
            <v>98600000</v>
          </cell>
          <cell r="E584" t="str">
            <v>Муниципальные образования Республики Саха (Якутия)</v>
          </cell>
          <cell r="F584">
            <v>98000000</v>
          </cell>
          <cell r="G584" t="str">
            <v>Усть-Майский муниципальный район</v>
          </cell>
          <cell r="H584">
            <v>98654000</v>
          </cell>
          <cell r="I584" t="str">
            <v>Городские поселения Усть-Майского муниципального района</v>
          </cell>
          <cell r="J584" t="str">
            <v>поселок Эльдикан</v>
          </cell>
          <cell r="K584" t="str">
            <v>п</v>
          </cell>
          <cell r="L584" t="str">
            <v>поселок</v>
          </cell>
          <cell r="M584" t="str">
            <v>Эльдикан</v>
          </cell>
        </row>
        <row r="585">
          <cell r="B585">
            <v>98654164106</v>
          </cell>
          <cell r="C585" t="str">
            <v>Муниципальные образования Республики Саха (Якутия)</v>
          </cell>
          <cell r="D585">
            <v>98600000</v>
          </cell>
          <cell r="E585" t="str">
            <v>Муниципальные образования Республики Саха (Якутия)</v>
          </cell>
          <cell r="F585">
            <v>98000000</v>
          </cell>
          <cell r="G585" t="str">
            <v>Усть-Майский муниципальный район</v>
          </cell>
          <cell r="H585">
            <v>98654000</v>
          </cell>
          <cell r="I585" t="str">
            <v>Городские поселения Усть-Майского муниципального района</v>
          </cell>
          <cell r="J585" t="str">
            <v>поселок Эльдикан</v>
          </cell>
          <cell r="K585" t="str">
            <v>с</v>
          </cell>
          <cell r="L585" t="str">
            <v>село</v>
          </cell>
          <cell r="M585" t="str">
            <v>8-й км</v>
          </cell>
        </row>
        <row r="586">
          <cell r="B586">
            <v>98654166051</v>
          </cell>
          <cell r="C586" t="str">
            <v>Муниципальные образования Республики Саха (Якутия)</v>
          </cell>
          <cell r="D586">
            <v>98600000</v>
          </cell>
          <cell r="E586" t="str">
            <v>Муниципальные образования Республики Саха (Якутия)</v>
          </cell>
          <cell r="F586">
            <v>98000000</v>
          </cell>
          <cell r="G586" t="str">
            <v>Усть-Майский муниципальный район</v>
          </cell>
          <cell r="H586">
            <v>98654000</v>
          </cell>
          <cell r="I586" t="str">
            <v>Городские поселения Усть-Майского муниципального района</v>
          </cell>
          <cell r="J586" t="str">
            <v>поселок Югоренок</v>
          </cell>
          <cell r="K586" t="str">
            <v>п</v>
          </cell>
          <cell r="L586" t="str">
            <v>поселок</v>
          </cell>
          <cell r="M586" t="str">
            <v>Югоренок</v>
          </cell>
        </row>
        <row r="587">
          <cell r="B587">
            <v>98654405101</v>
          </cell>
          <cell r="C587" t="str">
            <v>Муниципальные образования Республики Саха (Якутия)</v>
          </cell>
          <cell r="D587">
            <v>98600000</v>
          </cell>
          <cell r="E587" t="str">
            <v>Муниципальные образования Республики Саха (Якутия)</v>
          </cell>
          <cell r="F587">
            <v>98000000</v>
          </cell>
          <cell r="G587" t="str">
            <v>Усть-Майский муниципальный район</v>
          </cell>
          <cell r="H587">
            <v>98654000</v>
          </cell>
          <cell r="I587" t="str">
            <v>Сельские поселения Усть-Майского муниципального района</v>
          </cell>
          <cell r="J587" t="str">
            <v>село Белькачи</v>
          </cell>
          <cell r="K587" t="str">
            <v>с</v>
          </cell>
          <cell r="L587" t="str">
            <v>село</v>
          </cell>
          <cell r="M587" t="str">
            <v>Белькачи</v>
          </cell>
        </row>
        <row r="588">
          <cell r="B588">
            <v>98654410101</v>
          </cell>
          <cell r="C588" t="str">
            <v>Муниципальные образования Республики Саха (Якутия)</v>
          </cell>
          <cell r="D588">
            <v>98600000</v>
          </cell>
          <cell r="E588" t="str">
            <v>Муниципальные образования Республики Саха (Якутия)</v>
          </cell>
          <cell r="F588">
            <v>98000000</v>
          </cell>
          <cell r="G588" t="str">
            <v>Усть-Майский муниципальный район</v>
          </cell>
          <cell r="H588">
            <v>98654000</v>
          </cell>
          <cell r="I588" t="str">
            <v>Сельские поселения Усть-Майского муниципального района</v>
          </cell>
          <cell r="J588" t="str">
            <v>Кюпский эвенкийский национальный наслег</v>
          </cell>
          <cell r="K588" t="str">
            <v>с</v>
          </cell>
          <cell r="L588" t="str">
            <v>село</v>
          </cell>
          <cell r="M588" t="str">
            <v>Кюпцы</v>
          </cell>
        </row>
        <row r="589">
          <cell r="B589">
            <v>98654410106</v>
          </cell>
          <cell r="C589" t="str">
            <v>Муниципальные образования Республики Саха (Якутия)</v>
          </cell>
          <cell r="D589">
            <v>98600000</v>
          </cell>
          <cell r="E589" t="str">
            <v>Муниципальные образования Республики Саха (Якутия)</v>
          </cell>
          <cell r="F589">
            <v>98000000</v>
          </cell>
          <cell r="G589" t="str">
            <v>Усть-Майский муниципальный район</v>
          </cell>
          <cell r="H589">
            <v>98654000</v>
          </cell>
          <cell r="I589" t="str">
            <v>Сельские поселения Усть-Майского муниципального района</v>
          </cell>
          <cell r="J589" t="str">
            <v>Кюпский эвенкийский национальный наслег</v>
          </cell>
          <cell r="K589" t="str">
            <v>с</v>
          </cell>
          <cell r="L589" t="str">
            <v>село</v>
          </cell>
          <cell r="M589" t="str">
            <v>Тумул</v>
          </cell>
        </row>
        <row r="590">
          <cell r="B590">
            <v>98654415101</v>
          </cell>
          <cell r="C590" t="str">
            <v>Муниципальные образования Республики Саха (Якутия)</v>
          </cell>
          <cell r="D590">
            <v>98600000</v>
          </cell>
          <cell r="E590" t="str">
            <v>Муниципальные образования Республики Саха (Якутия)</v>
          </cell>
          <cell r="F590">
            <v>98000000</v>
          </cell>
          <cell r="G590" t="str">
            <v>Усть-Майский муниципальный район</v>
          </cell>
          <cell r="H590">
            <v>98654000</v>
          </cell>
          <cell r="I590" t="str">
            <v>Сельские поселения Усть-Майского муниципального района</v>
          </cell>
          <cell r="J590" t="str">
            <v>село Усть-Миль</v>
          </cell>
          <cell r="K590" t="str">
            <v>с</v>
          </cell>
          <cell r="L590" t="str">
            <v>село</v>
          </cell>
          <cell r="M590" t="str">
            <v>Усть-Миль</v>
          </cell>
        </row>
        <row r="591">
          <cell r="B591">
            <v>98654420101</v>
          </cell>
          <cell r="C591" t="str">
            <v>Муниципальные образования Республики Саха (Якутия)</v>
          </cell>
          <cell r="D591">
            <v>98600000</v>
          </cell>
          <cell r="E591" t="str">
            <v>Муниципальные образования Республики Саха (Якутия)</v>
          </cell>
          <cell r="F591">
            <v>98000000</v>
          </cell>
          <cell r="G591" t="str">
            <v>Усть-Майский муниципальный район</v>
          </cell>
          <cell r="H591">
            <v>98654000</v>
          </cell>
          <cell r="I591" t="str">
            <v>Сельские поселения Усть-Майского муниципального района</v>
          </cell>
          <cell r="J591" t="str">
            <v>Петропавловский национальный наслег</v>
          </cell>
          <cell r="K591" t="str">
            <v>с</v>
          </cell>
          <cell r="L591" t="str">
            <v>село</v>
          </cell>
          <cell r="M591" t="str">
            <v>Петропавловск</v>
          </cell>
        </row>
        <row r="592">
          <cell r="B592">
            <v>98654420106</v>
          </cell>
          <cell r="C592" t="str">
            <v>Муниципальные образования Республики Саха (Якутия)</v>
          </cell>
          <cell r="D592">
            <v>98600000</v>
          </cell>
          <cell r="E592" t="str">
            <v>Муниципальные образования Республики Саха (Якутия)</v>
          </cell>
          <cell r="F592">
            <v>98000000</v>
          </cell>
          <cell r="G592" t="str">
            <v>Усть-Майский муниципальный район</v>
          </cell>
          <cell r="H592">
            <v>98654000</v>
          </cell>
          <cell r="I592" t="str">
            <v>Сельские поселения Усть-Майского муниципального района</v>
          </cell>
          <cell r="J592" t="str">
            <v>Петропавловский национальный наслег</v>
          </cell>
          <cell r="K592" t="str">
            <v>с</v>
          </cell>
          <cell r="L592" t="str">
            <v>село</v>
          </cell>
          <cell r="M592" t="str">
            <v>Троицк</v>
          </cell>
        </row>
        <row r="593">
          <cell r="B593">
            <v>98654425101</v>
          </cell>
          <cell r="C593" t="str">
            <v>Муниципальные образования Республики Саха (Якутия)</v>
          </cell>
          <cell r="D593">
            <v>98600000</v>
          </cell>
          <cell r="E593" t="str">
            <v>Муниципальные образования Республики Саха (Якутия)</v>
          </cell>
          <cell r="F593">
            <v>98000000</v>
          </cell>
          <cell r="G593" t="str">
            <v>Усть-Майский муниципальный район</v>
          </cell>
          <cell r="H593">
            <v>98654000</v>
          </cell>
          <cell r="I593" t="str">
            <v>Сельские поселения Усть-Майского муниципального района</v>
          </cell>
          <cell r="J593" t="str">
            <v>Эжанский национальный наслег</v>
          </cell>
          <cell r="K593" t="str">
            <v>с</v>
          </cell>
          <cell r="L593" t="str">
            <v>село</v>
          </cell>
          <cell r="M593" t="str">
            <v>Эжанцы</v>
          </cell>
        </row>
        <row r="594">
          <cell r="B594">
            <v>0</v>
          </cell>
          <cell r="C594" t="str">
            <v>Муниципальные образования Республики Саха (Якутия)</v>
          </cell>
          <cell r="D594">
            <v>98600000</v>
          </cell>
          <cell r="E594" t="str">
            <v>Муниципальные образования Республики Саха (Якутия)</v>
          </cell>
          <cell r="F594">
            <v>98000000</v>
          </cell>
          <cell r="G594" t="str">
            <v>Усть-Майский муниципальный район</v>
          </cell>
          <cell r="H594">
            <v>98654000</v>
          </cell>
          <cell r="I594" t="str">
            <v>Межселенные территории Усть-Майского муниципального района</v>
          </cell>
          <cell r="J594" t="str">
            <v>Межселенные территории Усть-Майского муниципального района, находящиеся вне границ городского и сельских поселений (бывшие территории поселков Аллах-Юнь, Бриндакит, Ыныкчан)</v>
          </cell>
          <cell r="K594">
            <v>0</v>
          </cell>
          <cell r="L594">
            <v>0</v>
          </cell>
          <cell r="M594">
            <v>0</v>
          </cell>
        </row>
        <row r="595">
          <cell r="B595">
            <v>98656151051</v>
          </cell>
          <cell r="C595" t="str">
            <v>Муниципальные образования Республики Саха (Якутия)</v>
          </cell>
          <cell r="D595">
            <v>98600000</v>
          </cell>
          <cell r="E595" t="str">
            <v>Муниципальные образования Республики Саха (Якутия)</v>
          </cell>
          <cell r="F595">
            <v>98000000</v>
          </cell>
          <cell r="G595" t="str">
            <v>Усть-Янский муниципальный район</v>
          </cell>
          <cell r="H595">
            <v>98656000</v>
          </cell>
          <cell r="I595" t="str">
            <v>Городские поселения Усть-Янского муниципального района</v>
          </cell>
          <cell r="J595" t="str">
            <v>поселок Депутатский</v>
          </cell>
          <cell r="K595" t="str">
            <v>п</v>
          </cell>
          <cell r="L595" t="str">
            <v>поселок</v>
          </cell>
          <cell r="M595" t="str">
            <v>Депутатский</v>
          </cell>
        </row>
        <row r="596">
          <cell r="B596">
            <v>98656159051</v>
          </cell>
          <cell r="C596" t="str">
            <v>Муниципальные образования Республики Саха (Якутия)</v>
          </cell>
          <cell r="D596">
            <v>98600000</v>
          </cell>
          <cell r="E596" t="str">
            <v>Муниципальные образования Республики Саха (Якутия)</v>
          </cell>
          <cell r="F596">
            <v>98000000</v>
          </cell>
          <cell r="G596" t="str">
            <v>Усть-Янский муниципальный район</v>
          </cell>
          <cell r="H596">
            <v>98656000</v>
          </cell>
          <cell r="I596" t="str">
            <v>Городские поселения Усть-Янского муниципального района</v>
          </cell>
          <cell r="J596" t="str">
            <v>поселок Нижнеянск</v>
          </cell>
          <cell r="K596" t="str">
            <v>п</v>
          </cell>
          <cell r="L596" t="str">
            <v>поселок</v>
          </cell>
          <cell r="M596" t="str">
            <v>Нижнеянск</v>
          </cell>
        </row>
        <row r="597">
          <cell r="B597">
            <v>98656165051</v>
          </cell>
          <cell r="C597" t="str">
            <v>Муниципальные образования Республики Саха (Якутия)</v>
          </cell>
          <cell r="D597">
            <v>98600000</v>
          </cell>
          <cell r="E597" t="str">
            <v>Муниципальные образования Республики Саха (Якутия)</v>
          </cell>
          <cell r="F597">
            <v>98000000</v>
          </cell>
          <cell r="G597" t="str">
            <v>Усть-Янский муниципальный район</v>
          </cell>
          <cell r="H597">
            <v>98656000</v>
          </cell>
          <cell r="I597" t="str">
            <v>Городские поселения Усть-Янского муниципального района</v>
          </cell>
          <cell r="J597" t="str">
            <v>поселок Усть-Куйга</v>
          </cell>
          <cell r="K597" t="str">
            <v>п</v>
          </cell>
          <cell r="L597" t="str">
            <v>поселок</v>
          </cell>
          <cell r="M597" t="str">
            <v>Усть-Куйга</v>
          </cell>
        </row>
        <row r="598">
          <cell r="B598">
            <v>98656405101</v>
          </cell>
          <cell r="C598" t="str">
            <v>Муниципальные образования Республики Саха (Якутия)</v>
          </cell>
          <cell r="D598">
            <v>98600000</v>
          </cell>
          <cell r="E598" t="str">
            <v>Муниципальные образования Республики Саха (Якутия)</v>
          </cell>
          <cell r="F598">
            <v>98000000</v>
          </cell>
          <cell r="G598" t="str">
            <v>Усть-Янский муниципальный район</v>
          </cell>
          <cell r="H598">
            <v>98656000</v>
          </cell>
          <cell r="I598" t="str">
            <v>Сельские поселения Усть-Янского муниципального района</v>
          </cell>
          <cell r="J598" t="str">
            <v>Казачинский национальный наслег</v>
          </cell>
          <cell r="K598" t="str">
            <v>с</v>
          </cell>
          <cell r="L598" t="str">
            <v>село</v>
          </cell>
          <cell r="M598" t="str">
            <v>Казачье</v>
          </cell>
        </row>
        <row r="599">
          <cell r="B599">
            <v>98656410101</v>
          </cell>
          <cell r="C599" t="str">
            <v>Муниципальные образования Республики Саха (Якутия)</v>
          </cell>
          <cell r="D599">
            <v>98600000</v>
          </cell>
          <cell r="E599" t="str">
            <v>Муниципальные образования Республики Саха (Якутия)</v>
          </cell>
          <cell r="F599">
            <v>98000000</v>
          </cell>
          <cell r="G599" t="str">
            <v>Усть-Янский муниципальный район</v>
          </cell>
          <cell r="H599">
            <v>98656000</v>
          </cell>
          <cell r="I599" t="str">
            <v>Сельские поселения Усть-Янского муниципального района</v>
          </cell>
          <cell r="J599" t="str">
            <v>Омолойский национальный наслег</v>
          </cell>
          <cell r="K599" t="str">
            <v>с</v>
          </cell>
          <cell r="L599" t="str">
            <v>село</v>
          </cell>
          <cell r="M599" t="str">
            <v>Хайыр</v>
          </cell>
        </row>
        <row r="600">
          <cell r="B600">
            <v>98656415101</v>
          </cell>
          <cell r="C600" t="str">
            <v>Муниципальные образования Республики Саха (Якутия)</v>
          </cell>
          <cell r="D600">
            <v>98600000</v>
          </cell>
          <cell r="E600" t="str">
            <v>Муниципальные образования Республики Саха (Якутия)</v>
          </cell>
          <cell r="F600">
            <v>98000000</v>
          </cell>
          <cell r="G600" t="str">
            <v>Усть-Янский муниципальный район</v>
          </cell>
          <cell r="H600">
            <v>98656000</v>
          </cell>
          <cell r="I600" t="str">
            <v>Сельские поселения Усть-Янского муниципального района</v>
          </cell>
          <cell r="J600" t="str">
            <v>Силянняхский национальный наслег</v>
          </cell>
          <cell r="K600" t="str">
            <v>с</v>
          </cell>
          <cell r="L600" t="str">
            <v>село</v>
          </cell>
          <cell r="M600" t="str">
            <v>Сайылык</v>
          </cell>
        </row>
        <row r="601">
          <cell r="B601">
            <v>98656420101</v>
          </cell>
          <cell r="C601" t="str">
            <v>Муниципальные образования Республики Саха (Якутия)</v>
          </cell>
          <cell r="D601">
            <v>98600000</v>
          </cell>
          <cell r="E601" t="str">
            <v>Муниципальные образования Республики Саха (Якутия)</v>
          </cell>
          <cell r="F601">
            <v>98000000</v>
          </cell>
          <cell r="G601" t="str">
            <v>Усть-Янский муниципальный район</v>
          </cell>
          <cell r="H601">
            <v>98656000</v>
          </cell>
          <cell r="I601" t="str">
            <v>Сельские поселения Усть-Янского муниципального района</v>
          </cell>
          <cell r="J601" t="str">
            <v>Туматский национальный наслег</v>
          </cell>
          <cell r="K601" t="str">
            <v>с</v>
          </cell>
          <cell r="L601" t="str">
            <v>село</v>
          </cell>
          <cell r="M601" t="str">
            <v>Тумат</v>
          </cell>
        </row>
        <row r="602">
          <cell r="B602">
            <v>98656425101</v>
          </cell>
          <cell r="C602" t="str">
            <v>Муниципальные образования Республики Саха (Якутия)</v>
          </cell>
          <cell r="D602">
            <v>98600000</v>
          </cell>
          <cell r="E602" t="str">
            <v>Муниципальные образования Республики Саха (Якутия)</v>
          </cell>
          <cell r="F602">
            <v>98000000</v>
          </cell>
          <cell r="G602" t="str">
            <v>Усть-Янский муниципальный район</v>
          </cell>
          <cell r="H602">
            <v>98656000</v>
          </cell>
          <cell r="I602" t="str">
            <v>Сельские поселения Усть-Янского муниципального района</v>
          </cell>
          <cell r="J602" t="str">
            <v>Усть-Янский национальный наслег</v>
          </cell>
          <cell r="K602" t="str">
            <v>с</v>
          </cell>
          <cell r="L602" t="str">
            <v>село</v>
          </cell>
          <cell r="M602" t="str">
            <v>Усть-Янск</v>
          </cell>
        </row>
        <row r="603">
          <cell r="B603">
            <v>98656427101</v>
          </cell>
          <cell r="C603" t="str">
            <v>Муниципальные образования Республики Саха (Якутия)</v>
          </cell>
          <cell r="D603">
            <v>98600000</v>
          </cell>
          <cell r="E603" t="str">
            <v>Муниципальные образования Республики Саха (Якутия)</v>
          </cell>
          <cell r="F603">
            <v>98000000</v>
          </cell>
          <cell r="G603" t="str">
            <v>Усть-Янский муниципальный район</v>
          </cell>
          <cell r="H603">
            <v>98656000</v>
          </cell>
          <cell r="I603" t="str">
            <v>Сельские поселения Усть-Янского муниципального района</v>
          </cell>
          <cell r="J603" t="str">
            <v>Уяндинский эвенский национальный наслег</v>
          </cell>
          <cell r="K603" t="str">
            <v>с</v>
          </cell>
          <cell r="L603" t="str">
            <v>село</v>
          </cell>
          <cell r="M603" t="str">
            <v>Уянди</v>
          </cell>
        </row>
        <row r="604">
          <cell r="B604">
            <v>98656435101</v>
          </cell>
          <cell r="C604" t="str">
            <v>Муниципальные образования Республики Саха (Якутия)</v>
          </cell>
          <cell r="D604">
            <v>98600000</v>
          </cell>
          <cell r="E604" t="str">
            <v>Муниципальные образования Республики Саха (Якутия)</v>
          </cell>
          <cell r="F604">
            <v>98000000</v>
          </cell>
          <cell r="G604" t="str">
            <v>Усть-Янский муниципальный район</v>
          </cell>
          <cell r="H604">
            <v>98656000</v>
          </cell>
          <cell r="I604" t="str">
            <v>Сельские поселения Усть-Янского муниципального района</v>
          </cell>
          <cell r="J604" t="str">
            <v>Юкагирский национальный (кочевой) наслег</v>
          </cell>
          <cell r="K604" t="str">
            <v>с</v>
          </cell>
          <cell r="L604" t="str">
            <v>село</v>
          </cell>
          <cell r="M604" t="str">
            <v>Юкагир</v>
          </cell>
        </row>
        <row r="605">
          <cell r="B605">
            <v>98658402101</v>
          </cell>
          <cell r="C605" t="str">
            <v>Муниципальные образования Республики Саха (Якутия)</v>
          </cell>
          <cell r="D605">
            <v>98600000</v>
          </cell>
          <cell r="E605" t="str">
            <v>Муниципальные образования Республики Саха (Якутия)</v>
          </cell>
          <cell r="F605">
            <v>98000000</v>
          </cell>
          <cell r="G605" t="str">
            <v>Чурапчинский муниципальный район</v>
          </cell>
          <cell r="H605">
            <v>98658000</v>
          </cell>
          <cell r="I605" t="str">
            <v>Сельские поселения Чурапчинского муниципального района</v>
          </cell>
          <cell r="J605" t="str">
            <v>Алагарский наслег</v>
          </cell>
          <cell r="K605" t="str">
            <v>с</v>
          </cell>
          <cell r="L605" t="str">
            <v>село</v>
          </cell>
          <cell r="M605" t="str">
            <v>Чыаппара</v>
          </cell>
        </row>
        <row r="606">
          <cell r="B606">
            <v>98658407101</v>
          </cell>
          <cell r="C606" t="str">
            <v>Муниципальные образования Республики Саха (Якутия)</v>
          </cell>
          <cell r="D606">
            <v>98600000</v>
          </cell>
          <cell r="E606" t="str">
            <v>Муниципальные образования Республики Саха (Якутия)</v>
          </cell>
          <cell r="F606">
            <v>98000000</v>
          </cell>
          <cell r="G606" t="str">
            <v>Чурапчинский муниципальный район</v>
          </cell>
          <cell r="H606">
            <v>98658000</v>
          </cell>
          <cell r="I606" t="str">
            <v>Сельские поселения Чурапчинского муниципального района</v>
          </cell>
          <cell r="J606" t="str">
            <v>Бахсытский наслег</v>
          </cell>
          <cell r="K606" t="str">
            <v>с</v>
          </cell>
          <cell r="L606" t="str">
            <v>село</v>
          </cell>
          <cell r="M606" t="str">
            <v>Толон</v>
          </cell>
        </row>
        <row r="607">
          <cell r="B607">
            <v>98658407106</v>
          </cell>
          <cell r="C607" t="str">
            <v>Муниципальные образования Республики Саха (Якутия)</v>
          </cell>
          <cell r="D607">
            <v>98600000</v>
          </cell>
          <cell r="E607" t="str">
            <v>Муниципальные образования Республики Саха (Якутия)</v>
          </cell>
          <cell r="F607">
            <v>98000000</v>
          </cell>
          <cell r="G607" t="str">
            <v>Чурапчинский муниципальный район</v>
          </cell>
          <cell r="H607">
            <v>98658000</v>
          </cell>
          <cell r="I607" t="str">
            <v>Сельские поселения Чурапчинского муниципального района</v>
          </cell>
          <cell r="J607" t="str">
            <v>Бахсытский наслег</v>
          </cell>
          <cell r="K607" t="str">
            <v>с</v>
          </cell>
          <cell r="L607" t="str">
            <v>село</v>
          </cell>
          <cell r="M607" t="str">
            <v>Лебия</v>
          </cell>
        </row>
        <row r="608">
          <cell r="B608">
            <v>98658410101</v>
          </cell>
          <cell r="C608" t="str">
            <v>Муниципальные образования Республики Саха (Якутия)</v>
          </cell>
          <cell r="D608">
            <v>98600000</v>
          </cell>
          <cell r="E608" t="str">
            <v>Муниципальные образования Республики Саха (Якутия)</v>
          </cell>
          <cell r="F608">
            <v>98000000</v>
          </cell>
          <cell r="G608" t="str">
            <v>Чурапчинский муниципальный район</v>
          </cell>
          <cell r="H608">
            <v>98658000</v>
          </cell>
          <cell r="I608" t="str">
            <v>Сельские поселения Чурапчинского муниципального района</v>
          </cell>
          <cell r="J608" t="str">
            <v>Болтогинский наслег</v>
          </cell>
          <cell r="K608" t="str">
            <v>с</v>
          </cell>
          <cell r="L608" t="str">
            <v>село</v>
          </cell>
          <cell r="M608" t="str">
            <v>Харбала 2-я</v>
          </cell>
        </row>
        <row r="609">
          <cell r="B609">
            <v>98658410106</v>
          </cell>
          <cell r="C609" t="str">
            <v>Муниципальные образования Республики Саха (Якутия)</v>
          </cell>
          <cell r="D609">
            <v>98600000</v>
          </cell>
          <cell r="E609" t="str">
            <v>Муниципальные образования Республики Саха (Якутия)</v>
          </cell>
          <cell r="F609">
            <v>98000000</v>
          </cell>
          <cell r="G609" t="str">
            <v>Чурапчинский муниципальный район</v>
          </cell>
          <cell r="H609">
            <v>98658000</v>
          </cell>
          <cell r="I609" t="str">
            <v>Сельские поселения Чурапчинского муниципального района</v>
          </cell>
          <cell r="J609" t="str">
            <v>Болтогинский наслег</v>
          </cell>
          <cell r="K609" t="str">
            <v>с</v>
          </cell>
          <cell r="L609" t="str">
            <v>село</v>
          </cell>
          <cell r="M609" t="str">
            <v>Кындал</v>
          </cell>
        </row>
        <row r="610">
          <cell r="B610">
            <v>98658415101</v>
          </cell>
          <cell r="C610" t="str">
            <v>Муниципальные образования Республики Саха (Якутия)</v>
          </cell>
          <cell r="D610">
            <v>98600000</v>
          </cell>
          <cell r="E610" t="str">
            <v>Муниципальные образования Республики Саха (Якутия)</v>
          </cell>
          <cell r="F610">
            <v>98000000</v>
          </cell>
          <cell r="G610" t="str">
            <v>Чурапчинский муниципальный район</v>
          </cell>
          <cell r="H610">
            <v>98658000</v>
          </cell>
          <cell r="I610" t="str">
            <v>Сельские поселения Чурапчинского муниципального района</v>
          </cell>
          <cell r="J610" t="str">
            <v>Болугурский наслег</v>
          </cell>
          <cell r="K610" t="str">
            <v>с</v>
          </cell>
          <cell r="L610" t="str">
            <v>село</v>
          </cell>
          <cell r="M610" t="str">
            <v>Мындагай</v>
          </cell>
        </row>
        <row r="611">
          <cell r="B611">
            <v>98658415106</v>
          </cell>
          <cell r="C611" t="str">
            <v>Муниципальные образования Республики Саха (Якутия)</v>
          </cell>
          <cell r="D611">
            <v>98600000</v>
          </cell>
          <cell r="E611" t="str">
            <v>Муниципальные образования Республики Саха (Якутия)</v>
          </cell>
          <cell r="F611">
            <v>98000000</v>
          </cell>
          <cell r="G611" t="str">
            <v>Чурапчинский муниципальный район</v>
          </cell>
          <cell r="H611">
            <v>98658000</v>
          </cell>
          <cell r="I611" t="str">
            <v>Сельские поселения Чурапчинского муниципального района</v>
          </cell>
          <cell r="J611" t="str">
            <v>Болугурский наслег</v>
          </cell>
          <cell r="K611" t="str">
            <v>с</v>
          </cell>
          <cell r="L611" t="str">
            <v>село</v>
          </cell>
          <cell r="M611" t="str">
            <v>Кыстык-Кугда</v>
          </cell>
        </row>
        <row r="612">
          <cell r="B612">
            <v>98658420101</v>
          </cell>
          <cell r="C612" t="str">
            <v>Муниципальные образования Республики Саха (Якутия)</v>
          </cell>
          <cell r="D612">
            <v>98600000</v>
          </cell>
          <cell r="E612" t="str">
            <v>Муниципальные образования Республики Саха (Якутия)</v>
          </cell>
          <cell r="F612">
            <v>98000000</v>
          </cell>
          <cell r="G612" t="str">
            <v>Чурапчинский муниципальный район</v>
          </cell>
          <cell r="H612">
            <v>98658000</v>
          </cell>
          <cell r="I612" t="str">
            <v>Сельские поселения Чурапчинского муниципального района</v>
          </cell>
          <cell r="J612" t="str">
            <v>Кытанахский наслег</v>
          </cell>
          <cell r="K612" t="str">
            <v>с</v>
          </cell>
          <cell r="L612" t="str">
            <v>село</v>
          </cell>
          <cell r="M612" t="str">
            <v>Килянки</v>
          </cell>
        </row>
        <row r="613">
          <cell r="B613">
            <v>98658423101</v>
          </cell>
          <cell r="C613" t="str">
            <v>Муниципальные образования Республики Саха (Якутия)</v>
          </cell>
          <cell r="D613">
            <v>98600000</v>
          </cell>
          <cell r="E613" t="str">
            <v>Муниципальные образования Республики Саха (Якутия)</v>
          </cell>
          <cell r="F613">
            <v>98000000</v>
          </cell>
          <cell r="G613" t="str">
            <v>Чурапчинский муниципальный район</v>
          </cell>
          <cell r="H613">
            <v>98658000</v>
          </cell>
          <cell r="I613" t="str">
            <v>Сельские поселения Чурапчинского муниципального района</v>
          </cell>
          <cell r="J613" t="str">
            <v>Арылахский наслег</v>
          </cell>
          <cell r="K613" t="str">
            <v>с</v>
          </cell>
          <cell r="L613" t="str">
            <v>село</v>
          </cell>
          <cell r="M613" t="str">
            <v>Арылах</v>
          </cell>
        </row>
        <row r="614">
          <cell r="B614">
            <v>98658425101</v>
          </cell>
          <cell r="C614" t="str">
            <v>Муниципальные образования Республики Саха (Якутия)</v>
          </cell>
          <cell r="D614">
            <v>98600000</v>
          </cell>
          <cell r="E614" t="str">
            <v>Муниципальные образования Республики Саха (Якутия)</v>
          </cell>
          <cell r="F614">
            <v>98000000</v>
          </cell>
          <cell r="G614" t="str">
            <v>Чурапчинский муниципальный район</v>
          </cell>
          <cell r="H614">
            <v>98658000</v>
          </cell>
          <cell r="I614" t="str">
            <v>Сельские поселения Чурапчинского муниципального района</v>
          </cell>
          <cell r="J614" t="str">
            <v>Мугудайский наслег</v>
          </cell>
          <cell r="K614" t="str">
            <v>с</v>
          </cell>
          <cell r="L614" t="str">
            <v>село</v>
          </cell>
          <cell r="M614" t="str">
            <v>Маралайы</v>
          </cell>
        </row>
        <row r="615">
          <cell r="B615">
            <v>98658430101</v>
          </cell>
          <cell r="C615" t="str">
            <v>Муниципальные образования Республики Саха (Якутия)</v>
          </cell>
          <cell r="D615">
            <v>98600000</v>
          </cell>
          <cell r="E615" t="str">
            <v>Муниципальные образования Республики Саха (Якутия)</v>
          </cell>
          <cell r="F615">
            <v>98000000</v>
          </cell>
          <cell r="G615" t="str">
            <v>Чурапчинский муниципальный район</v>
          </cell>
          <cell r="H615">
            <v>98658000</v>
          </cell>
          <cell r="I615" t="str">
            <v>Сельские поселения Чурапчинского муниципального района</v>
          </cell>
          <cell r="J615" t="str">
            <v>Ожулунский наслег</v>
          </cell>
          <cell r="K615" t="str">
            <v>с</v>
          </cell>
          <cell r="L615" t="str">
            <v>село</v>
          </cell>
          <cell r="M615" t="str">
            <v>Дябыла</v>
          </cell>
        </row>
        <row r="616">
          <cell r="B616">
            <v>98658430106</v>
          </cell>
          <cell r="C616" t="str">
            <v>Муниципальные образования Республики Саха (Якутия)</v>
          </cell>
          <cell r="D616">
            <v>98600000</v>
          </cell>
          <cell r="E616" t="str">
            <v>Муниципальные образования Республики Саха (Якутия)</v>
          </cell>
          <cell r="F616">
            <v>98000000</v>
          </cell>
          <cell r="G616" t="str">
            <v>Чурапчинский муниципальный район</v>
          </cell>
          <cell r="H616">
            <v>98658000</v>
          </cell>
          <cell r="I616" t="str">
            <v>Сельские поселения Чурапчинского муниципального района</v>
          </cell>
          <cell r="J616" t="str">
            <v>Ожулунский наслег</v>
          </cell>
          <cell r="K616" t="str">
            <v>с</v>
          </cell>
          <cell r="L616" t="str">
            <v>село</v>
          </cell>
          <cell r="M616" t="str">
            <v>Юрях-Кюёре</v>
          </cell>
        </row>
        <row r="617">
          <cell r="B617">
            <v>98658430111</v>
          </cell>
          <cell r="C617" t="str">
            <v>Муниципальные образования Республики Саха (Якутия)</v>
          </cell>
          <cell r="D617">
            <v>98600000</v>
          </cell>
          <cell r="E617" t="str">
            <v>Муниципальные образования Республики Саха (Якутия)</v>
          </cell>
          <cell r="F617">
            <v>98000000</v>
          </cell>
          <cell r="G617" t="str">
            <v>Чурапчинский муниципальный район</v>
          </cell>
          <cell r="H617">
            <v>98658000</v>
          </cell>
          <cell r="I617" t="str">
            <v>Сельские поселения Чурапчинского муниципального района</v>
          </cell>
          <cell r="J617" t="str">
            <v>Ожулунский наслег</v>
          </cell>
          <cell r="K617" t="str">
            <v>с</v>
          </cell>
          <cell r="L617" t="str">
            <v>село</v>
          </cell>
          <cell r="M617" t="str">
            <v>Василий-Аласа</v>
          </cell>
        </row>
        <row r="618">
          <cell r="B618">
            <v>98658435101</v>
          </cell>
          <cell r="C618" t="str">
            <v>Муниципальные образования Республики Саха (Якутия)</v>
          </cell>
          <cell r="D618">
            <v>98600000</v>
          </cell>
          <cell r="E618" t="str">
            <v>Муниципальные образования Республики Саха (Якутия)</v>
          </cell>
          <cell r="F618">
            <v>98000000</v>
          </cell>
          <cell r="G618" t="str">
            <v>Чурапчинский муниципальный район</v>
          </cell>
          <cell r="H618">
            <v>98658000</v>
          </cell>
          <cell r="I618" t="str">
            <v>Сельские поселения Чурапчинского муниципального района</v>
          </cell>
          <cell r="J618" t="str">
            <v>Соловьевский наслег</v>
          </cell>
          <cell r="K618" t="str">
            <v>с</v>
          </cell>
          <cell r="L618" t="str">
            <v>село</v>
          </cell>
          <cell r="M618" t="str">
            <v>Мырыла</v>
          </cell>
        </row>
        <row r="619">
          <cell r="B619">
            <v>98658435106</v>
          </cell>
          <cell r="C619" t="str">
            <v>Муниципальные образования Республики Саха (Якутия)</v>
          </cell>
          <cell r="D619">
            <v>98600000</v>
          </cell>
          <cell r="E619" t="str">
            <v>Муниципальные образования Республики Саха (Якутия)</v>
          </cell>
          <cell r="F619">
            <v>98000000</v>
          </cell>
          <cell r="G619" t="str">
            <v>Чурапчинский муниципальный район</v>
          </cell>
          <cell r="H619">
            <v>98658000</v>
          </cell>
          <cell r="I619" t="str">
            <v>Сельские поселения Чурапчинского муниципального района</v>
          </cell>
          <cell r="J619" t="str">
            <v>Соловьевский наслег</v>
          </cell>
          <cell r="K619" t="str">
            <v>с</v>
          </cell>
          <cell r="L619" t="str">
            <v>село</v>
          </cell>
          <cell r="M619" t="str">
            <v>Хахыях</v>
          </cell>
        </row>
        <row r="620">
          <cell r="B620">
            <v>98658440101</v>
          </cell>
          <cell r="C620" t="str">
            <v>Муниципальные образования Республики Саха (Якутия)</v>
          </cell>
          <cell r="D620">
            <v>98600000</v>
          </cell>
          <cell r="E620" t="str">
            <v>Муниципальные образования Республики Саха (Якутия)</v>
          </cell>
          <cell r="F620">
            <v>98000000</v>
          </cell>
          <cell r="G620" t="str">
            <v>Чурапчинский муниципальный район</v>
          </cell>
          <cell r="H620">
            <v>98658000</v>
          </cell>
          <cell r="I620" t="str">
            <v>Сельские поселения Чурапчинского муниципального района</v>
          </cell>
          <cell r="J620" t="str">
            <v>Сыланский наслег</v>
          </cell>
          <cell r="K620" t="str">
            <v>с</v>
          </cell>
          <cell r="L620" t="str">
            <v>село</v>
          </cell>
          <cell r="M620" t="str">
            <v>Усун-Кюёль</v>
          </cell>
        </row>
        <row r="621">
          <cell r="B621">
            <v>98658440106</v>
          </cell>
          <cell r="C621" t="str">
            <v>Муниципальные образования Республики Саха (Якутия)</v>
          </cell>
          <cell r="D621">
            <v>98600000</v>
          </cell>
          <cell r="E621" t="str">
            <v>Муниципальные образования Республики Саха (Якутия)</v>
          </cell>
          <cell r="F621">
            <v>98000000</v>
          </cell>
          <cell r="G621" t="str">
            <v>Чурапчинский муниципальный район</v>
          </cell>
          <cell r="H621">
            <v>98658000</v>
          </cell>
          <cell r="I621" t="str">
            <v>Сельские поселения Чурапчинского муниципального района</v>
          </cell>
          <cell r="J621" t="str">
            <v>Сыланский наслег</v>
          </cell>
          <cell r="K621" t="str">
            <v>с</v>
          </cell>
          <cell r="L621" t="str">
            <v>село</v>
          </cell>
          <cell r="M621" t="str">
            <v>Беря</v>
          </cell>
        </row>
        <row r="622">
          <cell r="B622">
            <v>98658440111</v>
          </cell>
          <cell r="C622" t="str">
            <v>Муниципальные образования Республики Саха (Якутия)</v>
          </cell>
          <cell r="D622">
            <v>98600000</v>
          </cell>
          <cell r="E622" t="str">
            <v>Муниципальные образования Республики Саха (Якутия)</v>
          </cell>
          <cell r="F622">
            <v>98000000</v>
          </cell>
          <cell r="G622" t="str">
            <v>Чурапчинский муниципальный район</v>
          </cell>
          <cell r="H622">
            <v>98658000</v>
          </cell>
          <cell r="I622" t="str">
            <v>Сельские поселения Чурапчинского муниципального района</v>
          </cell>
          <cell r="J622" t="str">
            <v>Сыланский наслег</v>
          </cell>
          <cell r="K622" t="str">
            <v>с</v>
          </cell>
          <cell r="L622" t="str">
            <v>село</v>
          </cell>
          <cell r="M622" t="str">
            <v>Улахан-Кюёль</v>
          </cell>
        </row>
        <row r="623">
          <cell r="B623">
            <v>98658440116</v>
          </cell>
          <cell r="C623" t="str">
            <v>Муниципальные образования Республики Саха (Якутия)</v>
          </cell>
          <cell r="D623">
            <v>98600000</v>
          </cell>
          <cell r="E623" t="str">
            <v>Муниципальные образования Республики Саха (Якутия)</v>
          </cell>
          <cell r="F623">
            <v>98000000</v>
          </cell>
          <cell r="G623" t="str">
            <v>Чурапчинский муниципальный район</v>
          </cell>
          <cell r="H623">
            <v>98658000</v>
          </cell>
          <cell r="I623" t="str">
            <v>Сельские поселения Чурапчинского муниципального района</v>
          </cell>
          <cell r="J623" t="str">
            <v>Сыланский наслег</v>
          </cell>
          <cell r="K623" t="str">
            <v>с</v>
          </cell>
          <cell r="L623" t="str">
            <v>село</v>
          </cell>
          <cell r="M623" t="str">
            <v>Огусур</v>
          </cell>
        </row>
        <row r="624">
          <cell r="B624">
            <v>98658440121</v>
          </cell>
          <cell r="C624" t="str">
            <v>Муниципальные образования Республики Саха (Якутия)</v>
          </cell>
          <cell r="D624">
            <v>98600000</v>
          </cell>
          <cell r="E624" t="str">
            <v>Муниципальные образования Республики Саха (Якутия)</v>
          </cell>
          <cell r="F624">
            <v>98000000</v>
          </cell>
          <cell r="G624" t="str">
            <v>Чурапчинский муниципальный район</v>
          </cell>
          <cell r="H624">
            <v>98658000</v>
          </cell>
          <cell r="I624" t="str">
            <v>Сельские поселения Чурапчинского муниципального района</v>
          </cell>
          <cell r="J624" t="str">
            <v>Сыланский наслег</v>
          </cell>
          <cell r="K624" t="str">
            <v>с</v>
          </cell>
          <cell r="L624" t="str">
            <v>село</v>
          </cell>
          <cell r="M624" t="str">
            <v>Дярла</v>
          </cell>
        </row>
        <row r="625">
          <cell r="B625">
            <v>98658442101</v>
          </cell>
          <cell r="C625" t="str">
            <v>Муниципальные образования Республики Саха (Якутия)</v>
          </cell>
          <cell r="D625">
            <v>98600000</v>
          </cell>
          <cell r="E625" t="str">
            <v>Муниципальные образования Республики Саха (Якутия)</v>
          </cell>
          <cell r="F625">
            <v>98000000</v>
          </cell>
          <cell r="G625" t="str">
            <v>Чурапчинский муниципальный район</v>
          </cell>
          <cell r="H625">
            <v>98658000</v>
          </cell>
          <cell r="I625" t="str">
            <v>Сельские поселения Чурапчинского муниципального района</v>
          </cell>
          <cell r="J625" t="str">
            <v>Телейский наслег</v>
          </cell>
          <cell r="K625" t="str">
            <v>с</v>
          </cell>
          <cell r="L625" t="str">
            <v>село</v>
          </cell>
          <cell r="M625" t="str">
            <v>Телей-Диринг</v>
          </cell>
        </row>
        <row r="626">
          <cell r="B626">
            <v>98658442106</v>
          </cell>
          <cell r="C626" t="str">
            <v>Муниципальные образования Республики Саха (Якутия)</v>
          </cell>
          <cell r="D626">
            <v>98600000</v>
          </cell>
          <cell r="E626" t="str">
            <v>Муниципальные образования Республики Саха (Якутия)</v>
          </cell>
          <cell r="F626">
            <v>98000000</v>
          </cell>
          <cell r="G626" t="str">
            <v>Чурапчинский муниципальный район</v>
          </cell>
          <cell r="H626">
            <v>98658000</v>
          </cell>
          <cell r="I626" t="str">
            <v>Сельские поселения Чурапчинского муниципального района</v>
          </cell>
          <cell r="J626" t="str">
            <v>Телейский наслег</v>
          </cell>
          <cell r="K626" t="str">
            <v>с</v>
          </cell>
          <cell r="L626" t="str">
            <v>село</v>
          </cell>
          <cell r="M626" t="str">
            <v>Мяндийе</v>
          </cell>
        </row>
        <row r="627">
          <cell r="B627">
            <v>98658445101</v>
          </cell>
          <cell r="C627" t="str">
            <v>Муниципальные образования Республики Саха (Якутия)</v>
          </cell>
          <cell r="D627">
            <v>98600000</v>
          </cell>
          <cell r="E627" t="str">
            <v>Муниципальные образования Республики Саха (Якутия)</v>
          </cell>
          <cell r="F627">
            <v>98000000</v>
          </cell>
          <cell r="G627" t="str">
            <v>Чурапчинский муниципальный район</v>
          </cell>
          <cell r="H627">
            <v>98658000</v>
          </cell>
          <cell r="I627" t="str">
            <v>Сельские поселения Чурапчинского муниципального района</v>
          </cell>
          <cell r="J627" t="str">
            <v>Хадарский наслег</v>
          </cell>
          <cell r="K627" t="str">
            <v>с</v>
          </cell>
          <cell r="L627" t="str">
            <v>село</v>
          </cell>
          <cell r="M627" t="str">
            <v>Юрюнг-Кюёль</v>
          </cell>
        </row>
        <row r="628">
          <cell r="B628">
            <v>98658445106</v>
          </cell>
          <cell r="C628" t="str">
            <v>Муниципальные образования Республики Саха (Якутия)</v>
          </cell>
          <cell r="D628">
            <v>98600000</v>
          </cell>
          <cell r="E628" t="str">
            <v>Муниципальные образования Республики Саха (Якутия)</v>
          </cell>
          <cell r="F628">
            <v>98000000</v>
          </cell>
          <cell r="G628" t="str">
            <v>Чурапчинский муниципальный район</v>
          </cell>
          <cell r="H628">
            <v>98658000</v>
          </cell>
          <cell r="I628" t="str">
            <v>Сельские поселения Чурапчинского муниципального района</v>
          </cell>
          <cell r="J628" t="str">
            <v>Хадарский наслег</v>
          </cell>
          <cell r="K628" t="str">
            <v>с</v>
          </cell>
          <cell r="L628" t="str">
            <v>село</v>
          </cell>
          <cell r="M628" t="str">
            <v>Уорга</v>
          </cell>
        </row>
        <row r="629">
          <cell r="B629">
            <v>98658450101</v>
          </cell>
          <cell r="C629" t="str">
            <v>Муниципальные образования Республики Саха (Якутия)</v>
          </cell>
          <cell r="D629">
            <v>98600000</v>
          </cell>
          <cell r="E629" t="str">
            <v>Муниципальные образования Республики Саха (Якутия)</v>
          </cell>
          <cell r="F629">
            <v>98000000</v>
          </cell>
          <cell r="G629" t="str">
            <v>Чурапчинский муниципальный район</v>
          </cell>
          <cell r="H629">
            <v>98658000</v>
          </cell>
          <cell r="I629" t="str">
            <v>Сельские поселения Чурапчинского муниципального района</v>
          </cell>
          <cell r="J629" t="str">
            <v>Хатылынский наслег</v>
          </cell>
          <cell r="K629" t="str">
            <v>с</v>
          </cell>
          <cell r="L629" t="str">
            <v>село</v>
          </cell>
          <cell r="M629" t="str">
            <v>Харбала 1-я</v>
          </cell>
        </row>
        <row r="630">
          <cell r="B630">
            <v>98658455101</v>
          </cell>
          <cell r="C630" t="str">
            <v>Муниципальные образования Республики Саха (Якутия)</v>
          </cell>
          <cell r="D630">
            <v>98600000</v>
          </cell>
          <cell r="E630" t="str">
            <v>Муниципальные образования Республики Саха (Якутия)</v>
          </cell>
          <cell r="F630">
            <v>98000000</v>
          </cell>
          <cell r="G630" t="str">
            <v>Чурапчинский муниципальный район</v>
          </cell>
          <cell r="H630">
            <v>98658000</v>
          </cell>
          <cell r="I630" t="str">
            <v>Сельские поселения Чурапчинского муниципального района</v>
          </cell>
          <cell r="J630" t="str">
            <v>Хаяхсытский наслег</v>
          </cell>
          <cell r="K630" t="str">
            <v>с</v>
          </cell>
          <cell r="L630" t="str">
            <v>село</v>
          </cell>
          <cell r="M630" t="str">
            <v>Туора-Кюёль</v>
          </cell>
        </row>
        <row r="631">
          <cell r="B631">
            <v>98658460101</v>
          </cell>
          <cell r="C631" t="str">
            <v>Муниципальные образования Республики Саха (Якутия)</v>
          </cell>
          <cell r="D631">
            <v>98600000</v>
          </cell>
          <cell r="E631" t="str">
            <v>Муниципальные образования Республики Саха (Якутия)</v>
          </cell>
          <cell r="F631">
            <v>98000000</v>
          </cell>
          <cell r="G631" t="str">
            <v>Чурапчинский муниципальный район</v>
          </cell>
          <cell r="H631">
            <v>98658000</v>
          </cell>
          <cell r="I631" t="str">
            <v>Сельские поселения Чурапчинского муниципального района</v>
          </cell>
          <cell r="J631" t="str">
            <v>Хоптогинский наслег</v>
          </cell>
          <cell r="K631" t="str">
            <v>с</v>
          </cell>
          <cell r="L631" t="str">
            <v>село</v>
          </cell>
          <cell r="M631" t="str">
            <v>Диринг</v>
          </cell>
        </row>
        <row r="632">
          <cell r="B632">
            <v>98658460106</v>
          </cell>
          <cell r="C632" t="str">
            <v>Муниципальные образования Республики Саха (Якутия)</v>
          </cell>
          <cell r="D632">
            <v>98600000</v>
          </cell>
          <cell r="E632" t="str">
            <v>Муниципальные образования Республики Саха (Якутия)</v>
          </cell>
          <cell r="F632">
            <v>98000000</v>
          </cell>
          <cell r="G632" t="str">
            <v>Чурапчинский муниципальный район</v>
          </cell>
          <cell r="H632">
            <v>98658000</v>
          </cell>
          <cell r="I632" t="str">
            <v>Сельские поселения Чурапчинского муниципального района</v>
          </cell>
          <cell r="J632" t="str">
            <v>Хоптогинский наслег</v>
          </cell>
          <cell r="K632" t="str">
            <v>с</v>
          </cell>
          <cell r="L632" t="str">
            <v>село</v>
          </cell>
          <cell r="M632" t="str">
            <v>Улахан-Эбя</v>
          </cell>
        </row>
        <row r="633">
          <cell r="B633">
            <v>98658465101</v>
          </cell>
          <cell r="C633" t="str">
            <v>Муниципальные образования Республики Саха (Якутия)</v>
          </cell>
          <cell r="D633">
            <v>98600000</v>
          </cell>
          <cell r="E633" t="str">
            <v>Муниципальные образования Республики Саха (Якутия)</v>
          </cell>
          <cell r="F633">
            <v>98000000</v>
          </cell>
          <cell r="G633" t="str">
            <v>Чурапчинский муниципальный район</v>
          </cell>
          <cell r="H633">
            <v>98658000</v>
          </cell>
          <cell r="I633" t="str">
            <v>Сельские поселения Чурапчинского муниципального района</v>
          </cell>
          <cell r="J633" t="str">
            <v>Чакырский наслег</v>
          </cell>
          <cell r="K633" t="str">
            <v>с</v>
          </cell>
          <cell r="L633" t="str">
            <v>село</v>
          </cell>
          <cell r="M633" t="str">
            <v>Толон</v>
          </cell>
        </row>
        <row r="634">
          <cell r="B634">
            <v>98658470101</v>
          </cell>
          <cell r="C634" t="str">
            <v>Муниципальные образования Республики Саха (Якутия)</v>
          </cell>
          <cell r="D634">
            <v>98600000</v>
          </cell>
          <cell r="E634" t="str">
            <v>Муниципальные образования Республики Саха (Якутия)</v>
          </cell>
          <cell r="F634">
            <v>98000000</v>
          </cell>
          <cell r="G634" t="str">
            <v>Чурапчинский муниципальный район</v>
          </cell>
          <cell r="H634">
            <v>98658000</v>
          </cell>
          <cell r="I634" t="str">
            <v>Сельские поселения Чурапчинского муниципального района</v>
          </cell>
          <cell r="J634" t="str">
            <v>Чурапчинский наслег</v>
          </cell>
          <cell r="K634" t="str">
            <v>с</v>
          </cell>
          <cell r="L634" t="str">
            <v>село</v>
          </cell>
          <cell r="M634" t="str">
            <v>Чурапча</v>
          </cell>
        </row>
        <row r="635">
          <cell r="B635">
            <v>98659405101</v>
          </cell>
          <cell r="C635" t="str">
            <v>Муниципальные образования Республики Саха (Якутия)</v>
          </cell>
          <cell r="D635">
            <v>98600000</v>
          </cell>
          <cell r="E635" t="str">
            <v>Муниципальные образования Республики Саха (Якутия)</v>
          </cell>
          <cell r="F635">
            <v>98000000</v>
          </cell>
          <cell r="G635" t="str">
            <v>Эвено-Бытантайский национальный муниципальный район</v>
          </cell>
          <cell r="H635">
            <v>98659000</v>
          </cell>
          <cell r="I635" t="str">
            <v>Сельские поселения Эвено-Бытантайского национального муниципального района</v>
          </cell>
          <cell r="J635" t="str">
            <v>Верхне-Бытантайский наслег</v>
          </cell>
          <cell r="K635" t="str">
            <v>с</v>
          </cell>
          <cell r="L635" t="str">
            <v>село</v>
          </cell>
          <cell r="M635" t="str">
            <v>Джаргалах</v>
          </cell>
        </row>
        <row r="636">
          <cell r="B636">
            <v>98659415101</v>
          </cell>
          <cell r="C636" t="str">
            <v>Муниципальные образования Республики Саха (Якутия)</v>
          </cell>
          <cell r="D636">
            <v>98600000</v>
          </cell>
          <cell r="E636" t="str">
            <v>Муниципальные образования Республики Саха (Якутия)</v>
          </cell>
          <cell r="F636">
            <v>98000000</v>
          </cell>
          <cell r="G636" t="str">
            <v>Эвено-Бытантайский национальный муниципальный район</v>
          </cell>
          <cell r="H636">
            <v>98659000</v>
          </cell>
          <cell r="I636" t="str">
            <v>Сельские поселения Эвено-Бытантайского национального муниципального района</v>
          </cell>
          <cell r="J636" t="str">
            <v>Нижне-Бытантайский наслег</v>
          </cell>
          <cell r="K636" t="str">
            <v>с</v>
          </cell>
          <cell r="L636" t="str">
            <v>село</v>
          </cell>
          <cell r="M636" t="str">
            <v>Кустур</v>
          </cell>
        </row>
        <row r="637">
          <cell r="B637">
            <v>98659415106</v>
          </cell>
          <cell r="C637" t="str">
            <v>Муниципальные образования Республики Саха (Якутия)</v>
          </cell>
          <cell r="D637">
            <v>98600000</v>
          </cell>
          <cell r="E637" t="str">
            <v>Муниципальные образования Республики Саха (Якутия)</v>
          </cell>
          <cell r="F637">
            <v>98000000</v>
          </cell>
          <cell r="G637" t="str">
            <v>Эвено-Бытантайский национальный муниципальный район</v>
          </cell>
          <cell r="H637">
            <v>98659000</v>
          </cell>
          <cell r="I637" t="str">
            <v>Сельские поселения Эвено-Бытантайского национального муниципального района</v>
          </cell>
          <cell r="J637" t="str">
            <v>Нижне-Бытантайский наслег</v>
          </cell>
          <cell r="K637" t="str">
            <v>с</v>
          </cell>
          <cell r="L637" t="str">
            <v>село</v>
          </cell>
          <cell r="M637" t="str">
            <v>Алы</v>
          </cell>
        </row>
        <row r="638">
          <cell r="B638">
            <v>98659420101</v>
          </cell>
          <cell r="C638" t="str">
            <v>Муниципальные образования Республики Саха (Якутия)</v>
          </cell>
          <cell r="D638">
            <v>98600000</v>
          </cell>
          <cell r="E638" t="str">
            <v>Муниципальные образования Республики Саха (Якутия)</v>
          </cell>
          <cell r="F638">
            <v>98000000</v>
          </cell>
          <cell r="G638" t="str">
            <v>Эвено-Бытантайский национальный муниципальный район</v>
          </cell>
          <cell r="H638">
            <v>98659000</v>
          </cell>
          <cell r="I638" t="str">
            <v>Сельские поселения Эвено-Бытантайского национального муниципального района</v>
          </cell>
          <cell r="J638" t="str">
            <v>Тюгясирский наслег</v>
          </cell>
          <cell r="K638" t="str">
            <v>с</v>
          </cell>
          <cell r="L638" t="str">
            <v>село</v>
          </cell>
          <cell r="M638" t="str">
            <v>Батагай-Алыта</v>
          </cell>
        </row>
        <row r="639">
          <cell r="B639">
            <v>98660101001</v>
          </cell>
          <cell r="C639" t="str">
            <v>Муниципальные образования Республики Саха (Якутия)</v>
          </cell>
          <cell r="D639">
            <v>98600000</v>
          </cell>
          <cell r="E639" t="str">
            <v>Муниципальные образования Республики Саха (Якутия)</v>
          </cell>
          <cell r="F639">
            <v>98000000</v>
          </cell>
          <cell r="G639" t="str">
            <v>Нерюнгринский муниципальный район</v>
          </cell>
          <cell r="H639">
            <v>98660000</v>
          </cell>
          <cell r="I639" t="str">
            <v>Городские поселения Нерюнгринского муниципального района</v>
          </cell>
          <cell r="J639" t="str">
            <v>город Нерюнгри</v>
          </cell>
          <cell r="K639" t="str">
            <v>г</v>
          </cell>
          <cell r="L639" t="str">
            <v>город</v>
          </cell>
          <cell r="M639" t="str">
            <v>Нерюнгри</v>
          </cell>
        </row>
        <row r="640">
          <cell r="B640">
            <v>98660152051</v>
          </cell>
          <cell r="C640" t="str">
            <v>Муниципальные образования Республики Саха (Якутия)</v>
          </cell>
          <cell r="D640">
            <v>98600000</v>
          </cell>
          <cell r="E640" t="str">
            <v>Муниципальные образования Республики Саха (Якутия)</v>
          </cell>
          <cell r="F640">
            <v>98000000</v>
          </cell>
          <cell r="G640" t="str">
            <v>Нерюнгринский муниципальный район</v>
          </cell>
          <cell r="H640">
            <v>98660000</v>
          </cell>
          <cell r="I640" t="str">
            <v>Городские поселения Нерюнгринского муниципального района</v>
          </cell>
          <cell r="J640" t="str">
            <v>поселок Беркакит</v>
          </cell>
          <cell r="K640" t="str">
            <v>п</v>
          </cell>
          <cell r="L640" t="str">
            <v>поселок</v>
          </cell>
          <cell r="M640" t="str">
            <v>Беркакит</v>
          </cell>
        </row>
        <row r="641">
          <cell r="B641">
            <v>98660154051</v>
          </cell>
          <cell r="C641" t="str">
            <v>Муниципальные образования Республики Саха (Якутия)</v>
          </cell>
          <cell r="D641">
            <v>98600000</v>
          </cell>
          <cell r="E641" t="str">
            <v>Муниципальные образования Республики Саха (Якутия)</v>
          </cell>
          <cell r="F641">
            <v>98000000</v>
          </cell>
          <cell r="G641" t="str">
            <v>Нерюнгринский муниципальный район</v>
          </cell>
          <cell r="H641">
            <v>98660000</v>
          </cell>
          <cell r="I641" t="str">
            <v>Городские поселения Нерюнгринского муниципального района</v>
          </cell>
          <cell r="J641" t="str">
            <v>поселок Золотинка</v>
          </cell>
          <cell r="K641" t="str">
            <v>п</v>
          </cell>
          <cell r="L641" t="str">
            <v>поселок</v>
          </cell>
          <cell r="M641" t="str">
            <v>Золотинка</v>
          </cell>
        </row>
        <row r="642">
          <cell r="B642">
            <v>98660158051</v>
          </cell>
          <cell r="C642" t="str">
            <v>Муниципальные образования Республики Саха (Якутия)</v>
          </cell>
          <cell r="D642">
            <v>98600000</v>
          </cell>
          <cell r="E642" t="str">
            <v>Муниципальные образования Республики Саха (Якутия)</v>
          </cell>
          <cell r="F642">
            <v>98000000</v>
          </cell>
          <cell r="G642" t="str">
            <v>Нерюнгринский муниципальный район</v>
          </cell>
          <cell r="H642">
            <v>98660000</v>
          </cell>
          <cell r="I642" t="str">
            <v>Городские поселения Нерюнгринского муниципального района</v>
          </cell>
          <cell r="J642" t="str">
            <v>поселок Серебряный Бор</v>
          </cell>
          <cell r="K642" t="str">
            <v>п</v>
          </cell>
          <cell r="L642" t="str">
            <v>поселок</v>
          </cell>
          <cell r="M642" t="str">
            <v>Серебряный Бор</v>
          </cell>
        </row>
        <row r="643">
          <cell r="B643">
            <v>98660164051</v>
          </cell>
          <cell r="C643" t="str">
            <v>Муниципальные образования Республики Саха (Якутия)</v>
          </cell>
          <cell r="D643">
            <v>98600000</v>
          </cell>
          <cell r="E643" t="str">
            <v>Муниципальные образования Республики Саха (Якутия)</v>
          </cell>
          <cell r="F643">
            <v>98000000</v>
          </cell>
          <cell r="G643" t="str">
            <v>Нерюнгринский муниципальный район</v>
          </cell>
          <cell r="H643">
            <v>98660000</v>
          </cell>
          <cell r="I643" t="str">
            <v>Городские поселения Нерюнгринского муниципального района</v>
          </cell>
          <cell r="J643" t="str">
            <v>поселок Хани</v>
          </cell>
          <cell r="K643" t="str">
            <v>п</v>
          </cell>
          <cell r="L643" t="str">
            <v>поселок</v>
          </cell>
          <cell r="M643" t="str">
            <v>Хани</v>
          </cell>
        </row>
        <row r="644">
          <cell r="B644">
            <v>98660165051</v>
          </cell>
          <cell r="C644" t="str">
            <v>Муниципальные образования Республики Саха (Якутия)</v>
          </cell>
          <cell r="D644">
            <v>98600000</v>
          </cell>
          <cell r="E644" t="str">
            <v>Муниципальные образования Республики Саха (Якутия)</v>
          </cell>
          <cell r="F644">
            <v>98000000</v>
          </cell>
          <cell r="G644" t="str">
            <v>Нерюнгринский муниципальный район</v>
          </cell>
          <cell r="H644">
            <v>98660000</v>
          </cell>
          <cell r="I644" t="str">
            <v>Городские поселения Нерюнгринского муниципального района</v>
          </cell>
          <cell r="J644" t="str">
            <v>поселок Чульман</v>
          </cell>
          <cell r="K644" t="str">
            <v>п</v>
          </cell>
          <cell r="L644" t="str">
            <v>поселок</v>
          </cell>
          <cell r="M644" t="str">
            <v>Чульман</v>
          </cell>
        </row>
        <row r="645">
          <cell r="B645">
            <v>98660165106</v>
          </cell>
          <cell r="C645" t="str">
            <v>Муниципальные образования Республики Саха (Якутия)</v>
          </cell>
          <cell r="D645">
            <v>98600000</v>
          </cell>
          <cell r="E645" t="str">
            <v>Муниципальные образования Республики Саха (Якутия)</v>
          </cell>
          <cell r="F645">
            <v>98000000</v>
          </cell>
          <cell r="G645" t="str">
            <v>Нерюнгринский муниципальный район</v>
          </cell>
          <cell r="H645">
            <v>98660000</v>
          </cell>
          <cell r="I645" t="str">
            <v>Городские поселения Нерюнгринского муниципального района</v>
          </cell>
          <cell r="J645" t="str">
            <v>поселок Чульман</v>
          </cell>
          <cell r="K645" t="str">
            <v>с</v>
          </cell>
          <cell r="L645" t="str">
            <v>село</v>
          </cell>
          <cell r="M645" t="str">
            <v>Большой Хатыми</v>
          </cell>
        </row>
        <row r="646">
          <cell r="B646">
            <v>98660405101</v>
          </cell>
          <cell r="C646" t="str">
            <v>Муниципальные образования Республики Саха (Якутия)</v>
          </cell>
          <cell r="D646">
            <v>98600000</v>
          </cell>
          <cell r="E646" t="str">
            <v>Муниципальные образования Республики Саха (Якутия)</v>
          </cell>
          <cell r="F646">
            <v>98000000</v>
          </cell>
          <cell r="G646" t="str">
            <v>Нерюнгринский муниципальный район</v>
          </cell>
          <cell r="H646">
            <v>98660000</v>
          </cell>
          <cell r="I646" t="str">
            <v>Сельские поселения Нерюнгринского муниципального района</v>
          </cell>
          <cell r="J646" t="str">
            <v>Иенгринский эвенкийский национальный наслег</v>
          </cell>
          <cell r="K646" t="str">
            <v>с</v>
          </cell>
          <cell r="L646" t="str">
            <v>село</v>
          </cell>
          <cell r="M646" t="str">
            <v>Иенгра</v>
          </cell>
        </row>
        <row r="647">
          <cell r="B647">
            <v>25644101001</v>
          </cell>
          <cell r="C647" t="str">
            <v>Муниципальные образования Иркутской области</v>
          </cell>
          <cell r="D647">
            <v>25000000</v>
          </cell>
          <cell r="E647" t="str">
            <v>Муниципальные районы Иркутской области</v>
          </cell>
          <cell r="F647">
            <v>25600000</v>
          </cell>
          <cell r="G647" t="str">
            <v>Усть-Кутский муниципальный район</v>
          </cell>
          <cell r="H647">
            <v>25644000</v>
          </cell>
          <cell r="I647" t="str">
            <v>Городские поселения Усть-Кутского муниципального района</v>
          </cell>
          <cell r="J647" t="str">
            <v>Усть-Кутское</v>
          </cell>
          <cell r="K647" t="str">
            <v>г</v>
          </cell>
          <cell r="L647" t="str">
            <v>город</v>
          </cell>
          <cell r="M647" t="str">
            <v>Усть-Кут</v>
          </cell>
        </row>
        <row r="648">
          <cell r="B648">
            <v>25620101141</v>
          </cell>
          <cell r="C648" t="str">
            <v>Муниципальные образования Иркутской области</v>
          </cell>
          <cell r="D648">
            <v>25000000</v>
          </cell>
          <cell r="E648" t="str">
            <v>Муниципальные районы Иркутской области</v>
          </cell>
          <cell r="F648">
            <v>25600000</v>
          </cell>
          <cell r="G648" t="str">
            <v>Киренский муниципальный район</v>
          </cell>
          <cell r="H648">
            <v>25620000</v>
          </cell>
          <cell r="I648" t="str">
            <v>Городские поселения Киренского муниципального района</v>
          </cell>
          <cell r="J648" t="str">
            <v>Киренское</v>
          </cell>
          <cell r="K648" t="str">
            <v>с</v>
          </cell>
          <cell r="L648" t="str">
            <v>село</v>
          </cell>
          <cell r="M648" t="str">
            <v>Змеиново</v>
          </cell>
        </row>
        <row r="649">
          <cell r="B649">
            <v>25620701912</v>
          </cell>
          <cell r="C649" t="str">
            <v>Муниципальные образования Иркутской области</v>
          </cell>
          <cell r="D649">
            <v>25000000</v>
          </cell>
          <cell r="E649" t="str">
            <v>Муниципальные районы Иркутской области</v>
          </cell>
          <cell r="F649">
            <v>25600000</v>
          </cell>
          <cell r="G649" t="str">
            <v>Киренский муниципальный район</v>
          </cell>
          <cell r="H649">
            <v>25620000</v>
          </cell>
          <cell r="I649" t="str">
            <v>Межселенные территории Киренского муниципального района</v>
          </cell>
          <cell r="J649" t="str">
            <v>Межселенные территории Киренского муниципального района, на территории которых расположены земли следующих населенных пунктов: с Улькан, с Красноярово, п Визирный</v>
          </cell>
          <cell r="K649" t="str">
            <v>п</v>
          </cell>
          <cell r="L649" t="str">
            <v>поселок</v>
          </cell>
          <cell r="M649" t="str">
            <v>Визирный</v>
          </cell>
        </row>
        <row r="650">
          <cell r="B650">
            <v>25602101001</v>
          </cell>
          <cell r="C650" t="str">
            <v>Муниципальные образования Иркутской области</v>
          </cell>
          <cell r="D650">
            <v>25000000</v>
          </cell>
          <cell r="E650" t="str">
            <v>Муниципальные районы Иркутской области</v>
          </cell>
          <cell r="F650">
            <v>25600000</v>
          </cell>
          <cell r="G650" t="str">
            <v>Бодайбинский муниципальный район</v>
          </cell>
          <cell r="H650">
            <v>25602000</v>
          </cell>
          <cell r="I650" t="str">
            <v>Городские поселения Бодайбинского муниципального района</v>
          </cell>
          <cell r="J650" t="str">
            <v>Бодайбинское</v>
          </cell>
          <cell r="K650" t="str">
            <v>г</v>
          </cell>
          <cell r="L650" t="str">
            <v>город</v>
          </cell>
          <cell r="M650" t="str">
            <v>Бодайбо</v>
          </cell>
        </row>
        <row r="651">
          <cell r="B651">
            <v>81606442101</v>
          </cell>
          <cell r="C651" t="str">
            <v>Муниципальные образования Республики Бурятии</v>
          </cell>
          <cell r="D651">
            <v>81000000</v>
          </cell>
          <cell r="E651" t="str">
            <v>Муниципальные районы Республики Бурятии</v>
          </cell>
          <cell r="F651">
            <v>81600000</v>
          </cell>
          <cell r="G651" t="str">
            <v>Баунтовский эвенкийский муниципальный район</v>
          </cell>
          <cell r="H651">
            <v>81606000</v>
          </cell>
          <cell r="I651" t="str">
            <v>Сельские поселения Баунтовского эвенкийского муниципального района</v>
          </cell>
          <cell r="J651" t="str">
            <v>Витимское</v>
          </cell>
          <cell r="K651" t="str">
            <v>с</v>
          </cell>
          <cell r="L651" t="str">
            <v>село</v>
          </cell>
          <cell r="M651" t="str">
            <v>Романовка</v>
          </cell>
        </row>
        <row r="652">
          <cell r="B652">
            <v>76515000116</v>
          </cell>
          <cell r="C652" t="str">
            <v>Муниципальные образования Забайкальского края</v>
          </cell>
          <cell r="D652">
            <v>76000000</v>
          </cell>
          <cell r="E652" t="str">
            <v>Муниципальные округа Забайкальского края</v>
          </cell>
          <cell r="F652">
            <v>76500000</v>
          </cell>
          <cell r="G652" t="str">
            <v>Каларский муниципальный округ</v>
          </cell>
          <cell r="H652">
            <v>76515000</v>
          </cell>
          <cell r="I652">
            <v>0</v>
          </cell>
          <cell r="J652">
            <v>0</v>
          </cell>
          <cell r="K652" t="str">
            <v>с</v>
          </cell>
          <cell r="L652" t="str">
            <v>село</v>
          </cell>
          <cell r="M652" t="str">
            <v>Неляты</v>
          </cell>
        </row>
        <row r="653">
          <cell r="B653">
            <v>76642701907</v>
          </cell>
          <cell r="C653" t="str">
            <v>Муниципальные образования Забайкальского края</v>
          </cell>
          <cell r="D653">
            <v>76000000</v>
          </cell>
          <cell r="E653" t="str">
            <v>Муниципальные округа Забайкальского края</v>
          </cell>
          <cell r="F653">
            <v>76500000</v>
          </cell>
          <cell r="G653" t="str">
            <v>Тунгиро-Олёкминский муниципальный район</v>
          </cell>
          <cell r="H653">
            <v>76642000</v>
          </cell>
          <cell r="I653" t="str">
            <v>Межселенные территории Тунгиро-Олёкминского муниципального района</v>
          </cell>
          <cell r="J653" t="str">
            <v>Межселенная территория Тунгиро-Олёкминского муниципального района, находящаяся вне границ сельских поселений, с расположенными на этой территории с Моклакан, с Средняя Олёкма, с Гуля</v>
          </cell>
          <cell r="K653" t="str">
            <v>с</v>
          </cell>
          <cell r="L653" t="str">
            <v>село</v>
          </cell>
          <cell r="M653" t="str">
            <v>Средняя Олёкма</v>
          </cell>
        </row>
        <row r="654">
          <cell r="B654">
            <v>8606416101</v>
          </cell>
          <cell r="C654" t="str">
            <v>Муниципальные образования Хабаровского края</v>
          </cell>
          <cell r="D654" t="str">
            <v>08000000</v>
          </cell>
          <cell r="E654" t="str">
            <v>Муниципальные районы Хабаровского края</v>
          </cell>
          <cell r="F654" t="str">
            <v>08600000</v>
          </cell>
          <cell r="G654" t="str">
            <v>Аяно-Майский муниципальный район</v>
          </cell>
          <cell r="H654" t="str">
            <v>08606000</v>
          </cell>
          <cell r="I654" t="str">
            <v>Сельские поселения Аяно-Майского муниципального района</v>
          </cell>
          <cell r="J654" t="str">
            <v>Нельканское</v>
          </cell>
          <cell r="K654" t="str">
            <v>с</v>
          </cell>
          <cell r="L654" t="str">
            <v>село</v>
          </cell>
          <cell r="M654" t="str">
            <v>Нелькан</v>
          </cell>
        </row>
        <row r="655">
          <cell r="B655">
            <v>8606402101</v>
          </cell>
          <cell r="C655" t="str">
            <v>Муниципальные образования Хабаровского края</v>
          </cell>
          <cell r="D655" t="str">
            <v>08000000</v>
          </cell>
          <cell r="E655" t="str">
            <v>Муниципальные районы Хабаровского края</v>
          </cell>
          <cell r="F655" t="str">
            <v>08600000</v>
          </cell>
          <cell r="G655" t="str">
            <v>Аяно-Майский муниципальный район</v>
          </cell>
          <cell r="H655" t="str">
            <v>08606000</v>
          </cell>
          <cell r="I655" t="str">
            <v>Сельские поселения Аяно-Майского муниципального района</v>
          </cell>
          <cell r="J655" t="str">
            <v>Аимское</v>
          </cell>
          <cell r="K655" t="str">
            <v>с</v>
          </cell>
          <cell r="L655" t="str">
            <v>село</v>
          </cell>
          <cell r="M655" t="str">
            <v>Аим</v>
          </cell>
        </row>
        <row r="656">
          <cell r="B656">
            <v>44510000051</v>
          </cell>
          <cell r="C656" t="str">
            <v>Муниципальные образования Магаданской области</v>
          </cell>
          <cell r="D656">
            <v>44000000</v>
          </cell>
          <cell r="E656" t="str">
            <v>Муниципальные округа Магаданской области</v>
          </cell>
          <cell r="F656">
            <v>44500000</v>
          </cell>
          <cell r="G656">
            <v>0</v>
          </cell>
          <cell r="H656">
            <v>0</v>
          </cell>
          <cell r="I656">
            <v>0</v>
          </cell>
          <cell r="J656" t="str">
            <v>Среднеканский</v>
          </cell>
          <cell r="K656" t="str">
            <v>пгт</v>
          </cell>
          <cell r="L656" t="str">
            <v>поселок городского типа</v>
          </cell>
          <cell r="M656" t="str">
            <v>Сеймчан</v>
          </cell>
        </row>
        <row r="657">
          <cell r="B657">
            <v>44510000102</v>
          </cell>
          <cell r="C657" t="str">
            <v>Муниципальные образования Магаданской области</v>
          </cell>
          <cell r="D657">
            <v>44000000</v>
          </cell>
          <cell r="E657" t="str">
            <v>Муниципальные округа Магаданской области</v>
          </cell>
          <cell r="F657">
            <v>44500000</v>
          </cell>
          <cell r="G657">
            <v>0</v>
          </cell>
          <cell r="H657">
            <v>0</v>
          </cell>
          <cell r="I657">
            <v>0</v>
          </cell>
          <cell r="J657" t="str">
            <v>Среднеканский</v>
          </cell>
          <cell r="K657" t="str">
            <v>с</v>
          </cell>
          <cell r="L657" t="str">
            <v>село</v>
          </cell>
          <cell r="M657" t="str">
            <v>Балыгычан</v>
          </cell>
        </row>
        <row r="658">
          <cell r="B658">
            <v>25620419104</v>
          </cell>
          <cell r="C658" t="str">
            <v>Муниципальные образования Иркутской области</v>
          </cell>
          <cell r="D658">
            <v>25000000</v>
          </cell>
          <cell r="E658" t="str">
            <v>Муниципальные районы Иркутской области</v>
          </cell>
          <cell r="F658">
            <v>25600000</v>
          </cell>
          <cell r="G658" t="str">
            <v>Киренский муниципальный район</v>
          </cell>
          <cell r="H658">
            <v>25620000</v>
          </cell>
          <cell r="I658" t="str">
            <v>Сельские поселения Киренского муниципального района</v>
          </cell>
          <cell r="J658" t="str">
            <v>Коршуновское</v>
          </cell>
          <cell r="K658" t="str">
            <v>д</v>
          </cell>
          <cell r="L658" t="str">
            <v>деревня</v>
          </cell>
          <cell r="M658" t="str">
            <v>Дарьина</v>
          </cell>
        </row>
        <row r="659">
          <cell r="B659">
            <v>25602402106</v>
          </cell>
          <cell r="C659" t="str">
            <v>Муниципальные образования Иркутской области</v>
          </cell>
          <cell r="D659">
            <v>25000000</v>
          </cell>
          <cell r="E659" t="str">
            <v>Муниципальные районы Иркутской области</v>
          </cell>
          <cell r="F659">
            <v>25600000</v>
          </cell>
          <cell r="G659" t="str">
            <v>Бодайбинский муниципальный район</v>
          </cell>
          <cell r="H659">
            <v>25602000</v>
          </cell>
          <cell r="I659" t="str">
            <v>Сельские поселения Бодайбинского муниципального района</v>
          </cell>
          <cell r="J659" t="str">
            <v>Жуинское</v>
          </cell>
          <cell r="K659" t="str">
            <v>с</v>
          </cell>
          <cell r="L659" t="str">
            <v>село</v>
          </cell>
          <cell r="M659" t="str">
            <v>Большой Патом</v>
          </cell>
        </row>
      </sheetData>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DA39-0D3F-44C4-BCD7-23295B8AEA4F}">
  <sheetPr>
    <tabColor rgb="FF92D050"/>
  </sheetPr>
  <dimension ref="A1:Q77"/>
  <sheetViews>
    <sheetView tabSelected="1" topLeftCell="G40" zoomScale="70" zoomScaleNormal="70" workbookViewId="0">
      <selection activeCell="K55" sqref="K55"/>
    </sheetView>
  </sheetViews>
  <sheetFormatPr defaultRowHeight="15"/>
  <cols>
    <col min="1" max="1" width="4.85546875" style="65" customWidth="1"/>
    <col min="2" max="2" width="25" style="65" customWidth="1"/>
    <col min="3" max="3" width="14" style="65" customWidth="1"/>
    <col min="4" max="4" width="17" style="65" customWidth="1"/>
    <col min="5" max="5" width="38.42578125" style="65" customWidth="1"/>
    <col min="6" max="6" width="17.5703125" style="65" customWidth="1"/>
    <col min="7" max="7" width="14.28515625" style="65" customWidth="1"/>
    <col min="8" max="8" width="15.140625" style="65" customWidth="1"/>
    <col min="9" max="9" width="17.42578125" style="65" customWidth="1"/>
    <col min="10" max="10" width="17.85546875" style="65" customWidth="1"/>
    <col min="11" max="11" width="13.42578125" style="65" customWidth="1"/>
    <col min="12" max="12" width="13.7109375" style="65" customWidth="1"/>
    <col min="13" max="13" width="16.7109375" style="65" customWidth="1"/>
    <col min="14" max="14" width="15.140625" style="65" customWidth="1"/>
    <col min="15" max="15" width="16.140625" style="65" customWidth="1"/>
    <col min="16" max="16" width="28.5703125" style="65" customWidth="1"/>
    <col min="17" max="17" width="30.85546875" customWidth="1"/>
  </cols>
  <sheetData>
    <row r="1" spans="1:17" ht="15.75" customHeight="1">
      <c r="A1" s="254" t="s">
        <v>5190</v>
      </c>
      <c r="B1" s="254"/>
      <c r="C1" s="254"/>
      <c r="D1" s="254"/>
      <c r="E1" s="254"/>
      <c r="F1" s="254"/>
      <c r="G1" s="254"/>
      <c r="H1" s="254"/>
      <c r="I1" s="254"/>
      <c r="J1" s="254"/>
    </row>
    <row r="2" spans="1:17" ht="60" customHeight="1">
      <c r="A2" s="84" t="s">
        <v>717</v>
      </c>
      <c r="B2" s="85" t="s">
        <v>5191</v>
      </c>
      <c r="C2" s="85" t="s">
        <v>5192</v>
      </c>
      <c r="D2" s="86" t="s">
        <v>5193</v>
      </c>
      <c r="E2" s="86" t="s">
        <v>5194</v>
      </c>
      <c r="F2" s="87" t="s">
        <v>5195</v>
      </c>
      <c r="G2" s="86" t="s">
        <v>4</v>
      </c>
      <c r="H2" s="86" t="s">
        <v>5196</v>
      </c>
      <c r="I2" s="87" t="s">
        <v>5197</v>
      </c>
      <c r="J2" s="87" t="s">
        <v>5198</v>
      </c>
      <c r="K2" s="87" t="s">
        <v>5199</v>
      </c>
      <c r="L2" s="88" t="s">
        <v>5200</v>
      </c>
      <c r="M2" s="87" t="s">
        <v>5201</v>
      </c>
      <c r="N2" s="296" t="s">
        <v>9</v>
      </c>
      <c r="O2" s="296" t="s">
        <v>10</v>
      </c>
      <c r="P2" s="1" t="s">
        <v>5202</v>
      </c>
      <c r="Q2" s="23" t="s">
        <v>5203</v>
      </c>
    </row>
    <row r="3" spans="1:17">
      <c r="A3" s="65">
        <v>1</v>
      </c>
      <c r="B3" s="65" t="str">
        <f>VLOOKUP(G3,ОКТМО!B:M,12,0)</f>
        <v>Чагда</v>
      </c>
      <c r="D3" s="65" t="s">
        <v>317</v>
      </c>
      <c r="E3" s="65" t="str">
        <f>VLOOKUP(G3,ОКТМО!B:M,6,0)</f>
        <v>Алданский муниципальный район</v>
      </c>
      <c r="F3" s="65" t="str">
        <f>VLOOKUP(G3,ОКТМО!B:M,12,0)</f>
        <v>Чагда</v>
      </c>
      <c r="G3" s="65">
        <v>98603460101</v>
      </c>
      <c r="H3" s="65">
        <v>2</v>
      </c>
      <c r="I3" s="65">
        <v>20</v>
      </c>
      <c r="J3" s="65">
        <v>1000</v>
      </c>
      <c r="K3" s="65">
        <f>I3*J3*H3</f>
        <v>40000</v>
      </c>
      <c r="L3" s="65">
        <v>80</v>
      </c>
      <c r="N3" s="65" t="s">
        <v>5204</v>
      </c>
      <c r="O3" s="65" t="s">
        <v>5205</v>
      </c>
      <c r="P3" s="65" t="s">
        <v>5206</v>
      </c>
      <c r="Q3" s="65" t="s">
        <v>5207</v>
      </c>
    </row>
    <row r="4" spans="1:17">
      <c r="A4" s="65">
        <v>2</v>
      </c>
      <c r="B4" s="65" t="str">
        <f>VLOOKUP(G4,ОКТМО!B:M,12,0)</f>
        <v>Чагда</v>
      </c>
      <c r="D4" s="65" t="s">
        <v>317</v>
      </c>
      <c r="E4" s="65" t="str">
        <f>VLOOKUP(G4,ОКТМО!B:M,6,0)</f>
        <v>Алданский муниципальный район</v>
      </c>
      <c r="F4" s="65" t="str">
        <f>VLOOKUP(G4,ОКТМО!B:M,12,0)</f>
        <v>Чагда</v>
      </c>
      <c r="G4" s="65">
        <v>98603460101</v>
      </c>
      <c r="H4" s="65">
        <v>2</v>
      </c>
      <c r="I4" s="65">
        <v>20</v>
      </c>
      <c r="J4" s="65">
        <v>1000</v>
      </c>
      <c r="K4" s="65">
        <f>I4*J4*H4</f>
        <v>40000</v>
      </c>
      <c r="L4" s="65">
        <v>80</v>
      </c>
      <c r="N4" s="65" t="s">
        <v>5208</v>
      </c>
      <c r="O4" s="65" t="s">
        <v>5209</v>
      </c>
      <c r="P4" s="65" t="s">
        <v>5210</v>
      </c>
      <c r="Q4" s="65" t="s">
        <v>5207</v>
      </c>
    </row>
    <row r="5" spans="1:17">
      <c r="A5" s="65">
        <v>3</v>
      </c>
      <c r="B5" s="65" t="str">
        <f>VLOOKUP(G5,ОКТМО!B:M,12,0)</f>
        <v>Белькачи</v>
      </c>
      <c r="D5" s="65" t="s">
        <v>317</v>
      </c>
      <c r="E5" s="65" t="str">
        <f>VLOOKUP(G5,ОКТМО!B:M,6,0)</f>
        <v>Усть-Майский муниципальный район</v>
      </c>
      <c r="F5" s="65" t="str">
        <f>VLOOKUP(G5,ОКТМО!B:M,12,0)</f>
        <v>Белькачи</v>
      </c>
      <c r="G5" s="65">
        <v>98654405101</v>
      </c>
      <c r="H5" s="65">
        <v>2</v>
      </c>
      <c r="I5" s="65">
        <v>20</v>
      </c>
      <c r="J5" s="65">
        <v>2000</v>
      </c>
      <c r="K5" s="65">
        <f>I5*J5*H5</f>
        <v>80000</v>
      </c>
      <c r="L5" s="65">
        <v>160</v>
      </c>
      <c r="N5" s="65" t="s">
        <v>5211</v>
      </c>
      <c r="O5" s="65" t="s">
        <v>5212</v>
      </c>
      <c r="P5" s="65" t="s">
        <v>5213</v>
      </c>
      <c r="Q5" s="65" t="s">
        <v>5207</v>
      </c>
    </row>
    <row r="6" spans="1:17">
      <c r="A6" s="65">
        <v>4</v>
      </c>
      <c r="B6" s="65" t="str">
        <f>VLOOKUP(G6,ОКТМО!B:M,12,0)</f>
        <v>Белькачи</v>
      </c>
      <c r="D6" s="65" t="s">
        <v>317</v>
      </c>
      <c r="E6" s="65" t="str">
        <f>VLOOKUP(G6,ОКТМО!B:M,6,0)</f>
        <v>Усть-Майский муниципальный район</v>
      </c>
      <c r="F6" s="65" t="str">
        <f>VLOOKUP(G6,ОКТМО!B:M,12,0)</f>
        <v>Белькачи</v>
      </c>
      <c r="G6" s="65">
        <v>98654405101</v>
      </c>
      <c r="H6" s="65">
        <v>2</v>
      </c>
      <c r="I6" s="65">
        <v>20</v>
      </c>
      <c r="J6" s="65">
        <v>1000</v>
      </c>
      <c r="K6" s="65">
        <f>I6*J6*H6</f>
        <v>40000</v>
      </c>
      <c r="L6" s="65">
        <v>80</v>
      </c>
      <c r="N6" s="65" t="s">
        <v>5214</v>
      </c>
      <c r="O6" s="65" t="s">
        <v>5215</v>
      </c>
      <c r="P6" s="65" t="s">
        <v>5216</v>
      </c>
      <c r="Q6" s="65" t="s">
        <v>5207</v>
      </c>
    </row>
    <row r="7" spans="1:17">
      <c r="A7" s="65">
        <v>5</v>
      </c>
      <c r="B7" s="65" t="str">
        <f>VLOOKUP(G7,ОКТМО!B:M,12,0)</f>
        <v>Эжанцы</v>
      </c>
      <c r="D7" s="65" t="s">
        <v>317</v>
      </c>
      <c r="E7" s="65" t="str">
        <f>VLOOKUP(G7,ОКТМО!B:M,6,0)</f>
        <v>Усть-Майский муниципальный район</v>
      </c>
      <c r="F7" s="65" t="str">
        <f>VLOOKUP(G7,ОКТМО!B:M,12,0)</f>
        <v>Эжанцы</v>
      </c>
      <c r="G7" s="65">
        <v>98654425101</v>
      </c>
      <c r="H7" s="65">
        <v>2</v>
      </c>
      <c r="I7" s="65">
        <v>20</v>
      </c>
      <c r="J7" s="65">
        <v>2000</v>
      </c>
      <c r="K7" s="65">
        <f>I7*J7*H7</f>
        <v>80000</v>
      </c>
      <c r="L7" s="65">
        <v>160</v>
      </c>
      <c r="N7" s="65" t="s">
        <v>5217</v>
      </c>
      <c r="O7" s="65" t="s">
        <v>5218</v>
      </c>
      <c r="P7" s="65" t="s">
        <v>5219</v>
      </c>
      <c r="Q7" s="65" t="s">
        <v>5207</v>
      </c>
    </row>
    <row r="8" spans="1:17">
      <c r="A8" s="65">
        <v>6</v>
      </c>
      <c r="B8" s="65" t="str">
        <f>VLOOKUP(G8,ОКТМО!B:M,12,0)</f>
        <v>Кюпцы</v>
      </c>
      <c r="D8" s="65" t="s">
        <v>317</v>
      </c>
      <c r="E8" s="65" t="str">
        <f>VLOOKUP(G8,ОКТМО!B:M,6,0)</f>
        <v>Усть-Майский муниципальный район</v>
      </c>
      <c r="F8" s="65" t="str">
        <f>VLOOKUP(G8,ОКТМО!B:M,12,0)</f>
        <v>Кюпцы</v>
      </c>
      <c r="G8" s="65">
        <v>98654410101</v>
      </c>
      <c r="H8" s="65">
        <v>2</v>
      </c>
      <c r="I8" s="65">
        <v>20</v>
      </c>
      <c r="J8" s="65">
        <v>2200</v>
      </c>
      <c r="K8" s="65">
        <f t="shared" ref="K8:K71" si="0">I8*J8*H8</f>
        <v>88000</v>
      </c>
      <c r="L8" s="65">
        <v>176</v>
      </c>
      <c r="N8" s="65" t="s">
        <v>5220</v>
      </c>
      <c r="O8" s="65" t="s">
        <v>5221</v>
      </c>
      <c r="P8" s="65" t="s">
        <v>5222</v>
      </c>
      <c r="Q8" s="65" t="s">
        <v>5207</v>
      </c>
    </row>
    <row r="9" spans="1:17">
      <c r="A9" s="65">
        <v>7</v>
      </c>
      <c r="B9" s="65" t="str">
        <f>VLOOKUP(G9,ОКТМО!B:M,12,0)</f>
        <v>Кюпцы</v>
      </c>
      <c r="D9" s="65" t="s">
        <v>317</v>
      </c>
      <c r="E9" s="65" t="str">
        <f>VLOOKUP(G9,ОКТМО!B:M,6,0)</f>
        <v>Усть-Майский муниципальный район</v>
      </c>
      <c r="F9" s="65" t="str">
        <f>VLOOKUP(G9,ОКТМО!B:M,12,0)</f>
        <v>Кюпцы</v>
      </c>
      <c r="G9" s="65">
        <v>98654410101</v>
      </c>
      <c r="H9" s="65">
        <v>2</v>
      </c>
      <c r="I9" s="65">
        <v>20</v>
      </c>
      <c r="J9" s="65">
        <v>1000</v>
      </c>
      <c r="K9" s="65">
        <f t="shared" si="0"/>
        <v>40000</v>
      </c>
      <c r="L9" s="65">
        <v>80</v>
      </c>
      <c r="N9" s="65" t="s">
        <v>5223</v>
      </c>
      <c r="O9" s="65" t="s">
        <v>5224</v>
      </c>
      <c r="P9" s="65" t="s">
        <v>5225</v>
      </c>
      <c r="Q9" s="65" t="s">
        <v>5207</v>
      </c>
    </row>
    <row r="10" spans="1:17">
      <c r="A10" s="65">
        <v>8</v>
      </c>
      <c r="B10" s="65" t="str">
        <f>VLOOKUP(G10,ОКТМО!B:M,12,0)</f>
        <v>Кюпцы</v>
      </c>
      <c r="D10" s="65" t="s">
        <v>317</v>
      </c>
      <c r="E10" s="65" t="str">
        <f>VLOOKUP(G10,ОКТМО!B:M,6,0)</f>
        <v>Усть-Майский муниципальный район</v>
      </c>
      <c r="F10" s="65" t="str">
        <f>VLOOKUP(G10,ОКТМО!B:M,12,0)</f>
        <v>Кюпцы</v>
      </c>
      <c r="G10" s="65">
        <v>98654410101</v>
      </c>
      <c r="H10" s="65">
        <v>2</v>
      </c>
      <c r="I10" s="65">
        <v>20</v>
      </c>
      <c r="J10" s="65">
        <v>1500</v>
      </c>
      <c r="K10" s="65">
        <f t="shared" si="0"/>
        <v>60000</v>
      </c>
      <c r="L10" s="65">
        <v>120</v>
      </c>
      <c r="N10" s="65" t="s">
        <v>5226</v>
      </c>
      <c r="O10" s="65" t="s">
        <v>5227</v>
      </c>
      <c r="P10" s="65" t="s">
        <v>5228</v>
      </c>
      <c r="Q10" s="65" t="s">
        <v>5207</v>
      </c>
    </row>
    <row r="11" spans="1:17">
      <c r="A11" s="65">
        <v>9</v>
      </c>
      <c r="B11" s="65" t="str">
        <f>VLOOKUP(G11,ОКТМО!B:M,12,0)</f>
        <v>Кюпцы</v>
      </c>
      <c r="D11" s="65" t="s">
        <v>317</v>
      </c>
      <c r="E11" s="65" t="str">
        <f>VLOOKUP(G11,ОКТМО!B:M,6,0)</f>
        <v>Усть-Майский муниципальный район</v>
      </c>
      <c r="F11" s="65" t="str">
        <f>VLOOKUP(G11,ОКТМО!B:M,12,0)</f>
        <v>Кюпцы</v>
      </c>
      <c r="G11" s="65">
        <v>98654410101</v>
      </c>
      <c r="H11" s="65">
        <v>2</v>
      </c>
      <c r="I11" s="65">
        <v>20</v>
      </c>
      <c r="J11" s="65">
        <v>1500</v>
      </c>
      <c r="K11" s="65">
        <f t="shared" si="0"/>
        <v>60000</v>
      </c>
      <c r="L11" s="65">
        <v>120</v>
      </c>
      <c r="N11" s="65" t="s">
        <v>5229</v>
      </c>
      <c r="O11" s="65" t="s">
        <v>5230</v>
      </c>
      <c r="P11" s="65" t="s">
        <v>5231</v>
      </c>
      <c r="Q11" s="65" t="s">
        <v>5207</v>
      </c>
    </row>
    <row r="12" spans="1:17">
      <c r="A12" s="65">
        <v>10</v>
      </c>
      <c r="B12" s="65" t="str">
        <f>VLOOKUP(G12,ОКТМО!B:M,12,0)</f>
        <v>Хандыга</v>
      </c>
      <c r="D12" s="65" t="s">
        <v>317</v>
      </c>
      <c r="E12" s="65" t="str">
        <f>VLOOKUP(G12,ОКТМО!B:M,6,0)</f>
        <v>Томпонский муниципальный район</v>
      </c>
      <c r="F12" s="65" t="str">
        <f>VLOOKUP(G12,ОКТМО!B:M,12,0)</f>
        <v>Хандыга</v>
      </c>
      <c r="G12" s="65">
        <v>98650151051</v>
      </c>
      <c r="H12" s="65">
        <v>2</v>
      </c>
      <c r="I12" s="65">
        <v>20</v>
      </c>
      <c r="J12" s="65">
        <v>1000</v>
      </c>
      <c r="K12" s="65">
        <f t="shared" si="0"/>
        <v>40000</v>
      </c>
      <c r="L12" s="65">
        <v>40</v>
      </c>
      <c r="N12" s="65" t="s">
        <v>5232</v>
      </c>
      <c r="O12" s="65" t="s">
        <v>5233</v>
      </c>
      <c r="P12" s="65" t="s">
        <v>5234</v>
      </c>
      <c r="Q12" s="65" t="s">
        <v>5207</v>
      </c>
    </row>
    <row r="13" spans="1:17">
      <c r="A13" s="65">
        <v>11</v>
      </c>
      <c r="B13" s="65" t="str">
        <f>VLOOKUP(G13,ОКТМО!B:M,12,0)</f>
        <v>Хандыга</v>
      </c>
      <c r="D13" s="65" t="s">
        <v>317</v>
      </c>
      <c r="E13" s="65" t="str">
        <f>VLOOKUP(G13,ОКТМО!B:M,6,0)</f>
        <v>Томпонский муниципальный район</v>
      </c>
      <c r="F13" s="65" t="str">
        <f>VLOOKUP(G13,ОКТМО!B:M,12,0)</f>
        <v>Хандыга</v>
      </c>
      <c r="G13" s="65">
        <v>98650151051</v>
      </c>
      <c r="H13" s="65">
        <v>2</v>
      </c>
      <c r="I13" s="65">
        <v>20</v>
      </c>
      <c r="J13" s="65">
        <v>1000</v>
      </c>
      <c r="K13" s="65">
        <f t="shared" si="0"/>
        <v>40000</v>
      </c>
      <c r="L13" s="65">
        <v>40</v>
      </c>
      <c r="N13" s="65" t="s">
        <v>5235</v>
      </c>
      <c r="O13" s="65" t="s">
        <v>5236</v>
      </c>
      <c r="P13" s="65" t="s">
        <v>5234</v>
      </c>
      <c r="Q13" s="65" t="s">
        <v>5207</v>
      </c>
    </row>
    <row r="14" spans="1:17">
      <c r="A14" s="65">
        <v>12</v>
      </c>
      <c r="B14" s="65" t="str">
        <f>VLOOKUP(G14,ОКТМО!B:M,12,0)</f>
        <v>Кескил</v>
      </c>
      <c r="D14" s="65" t="s">
        <v>317</v>
      </c>
      <c r="E14" s="65" t="str">
        <f>VLOOKUP(G14,ОКТМО!B:M,6,0)</f>
        <v>Томпонский муниципальный район</v>
      </c>
      <c r="F14" s="65" t="str">
        <f>VLOOKUP(G14,ОКТМО!B:M,12,0)</f>
        <v>Кескил</v>
      </c>
      <c r="G14" s="65">
        <v>98650430101</v>
      </c>
      <c r="H14" s="65">
        <v>2</v>
      </c>
      <c r="I14" s="65">
        <v>20</v>
      </c>
      <c r="J14" s="65">
        <v>1500</v>
      </c>
      <c r="K14" s="65">
        <f t="shared" si="0"/>
        <v>60000</v>
      </c>
      <c r="L14" s="65">
        <v>60</v>
      </c>
      <c r="N14" s="65" t="s">
        <v>5237</v>
      </c>
      <c r="O14" s="65" t="s">
        <v>5238</v>
      </c>
      <c r="P14" s="65" t="s">
        <v>5239</v>
      </c>
      <c r="Q14" s="65" t="s">
        <v>5207</v>
      </c>
    </row>
    <row r="15" spans="1:17">
      <c r="A15" s="65">
        <v>13</v>
      </c>
      <c r="B15" s="65" t="str">
        <f>VLOOKUP(G15,ОКТМО!B:M,12,0)</f>
        <v>Кескил</v>
      </c>
      <c r="D15" s="65" t="s">
        <v>317</v>
      </c>
      <c r="E15" s="65" t="str">
        <f>VLOOKUP(G15,ОКТМО!B:M,6,0)</f>
        <v>Томпонский муниципальный район</v>
      </c>
      <c r="F15" s="65" t="str">
        <f>VLOOKUP(G15,ОКТМО!B:M,12,0)</f>
        <v>Кескил</v>
      </c>
      <c r="G15" s="65">
        <v>98650430101</v>
      </c>
      <c r="H15" s="65">
        <v>2</v>
      </c>
      <c r="I15" s="65">
        <v>20</v>
      </c>
      <c r="J15" s="65">
        <v>1000</v>
      </c>
      <c r="K15" s="65">
        <f t="shared" si="0"/>
        <v>40000</v>
      </c>
      <c r="L15" s="65">
        <v>40</v>
      </c>
      <c r="N15" s="65" t="s">
        <v>5240</v>
      </c>
      <c r="O15" s="65" t="s">
        <v>5241</v>
      </c>
      <c r="P15" s="65" t="s">
        <v>5242</v>
      </c>
      <c r="Q15" s="65" t="s">
        <v>5207</v>
      </c>
    </row>
    <row r="16" spans="1:17">
      <c r="A16" s="65">
        <v>14</v>
      </c>
      <c r="B16" s="65" t="str">
        <f>VLOOKUP(G16,ОКТМО!B:M,12,0)</f>
        <v>Хара-Алдан</v>
      </c>
      <c r="D16" s="65" t="s">
        <v>317</v>
      </c>
      <c r="E16" s="65" t="str">
        <f>VLOOKUP(G16,ОКТМО!B:M,6,0)</f>
        <v>Таттинский муниципальный район</v>
      </c>
      <c r="F16" s="65" t="str">
        <f>VLOOKUP(G16,ОКТМО!B:M,12,0)</f>
        <v>Хара-Алдан</v>
      </c>
      <c r="G16" s="65">
        <v>98604465101</v>
      </c>
      <c r="H16" s="65">
        <v>2</v>
      </c>
      <c r="I16" s="65">
        <v>20</v>
      </c>
      <c r="J16" s="65">
        <v>2000</v>
      </c>
      <c r="K16" s="65">
        <f t="shared" si="0"/>
        <v>80000</v>
      </c>
      <c r="L16" s="65">
        <v>80</v>
      </c>
      <c r="N16" s="65" t="s">
        <v>5243</v>
      </c>
      <c r="O16" s="65" t="s">
        <v>5244</v>
      </c>
      <c r="P16" s="65" t="s">
        <v>5245</v>
      </c>
      <c r="Q16" s="65" t="s">
        <v>5207</v>
      </c>
    </row>
    <row r="17" spans="1:17">
      <c r="A17" s="65">
        <v>15</v>
      </c>
      <c r="B17" s="65" t="str">
        <f>VLOOKUP(G17,ОКТМО!B:M,12,0)</f>
        <v>Сыгыннах</v>
      </c>
      <c r="D17" s="65" t="s">
        <v>317</v>
      </c>
      <c r="E17" s="65" t="str">
        <f>VLOOKUP(G17,ОКТМО!B:M,6,0)</f>
        <v>Намский муниципальный район</v>
      </c>
      <c r="F17" s="65" t="str">
        <f>VLOOKUP(G17,ОКТМО!B:M,12,0)</f>
        <v>Сыгыннах</v>
      </c>
      <c r="G17" s="65">
        <v>98635405101</v>
      </c>
      <c r="H17" s="65">
        <v>2</v>
      </c>
      <c r="I17" s="65">
        <v>20</v>
      </c>
      <c r="J17" s="65">
        <v>2000</v>
      </c>
      <c r="K17" s="65">
        <f t="shared" si="0"/>
        <v>80000</v>
      </c>
      <c r="L17" s="65" t="s">
        <v>535</v>
      </c>
      <c r="N17" s="65" t="s">
        <v>5246</v>
      </c>
      <c r="O17" s="65" t="s">
        <v>5247</v>
      </c>
      <c r="P17" s="65" t="s">
        <v>5248</v>
      </c>
      <c r="Q17" s="65" t="s">
        <v>5207</v>
      </c>
    </row>
    <row r="18" spans="1:17">
      <c r="A18" s="65">
        <v>16</v>
      </c>
      <c r="B18" s="65" t="str">
        <f>VLOOKUP(G18,ОКТМО!B:M,12,0)</f>
        <v>Сыгыннах</v>
      </c>
      <c r="D18" s="65" t="s">
        <v>317</v>
      </c>
      <c r="E18" s="65" t="str">
        <f>VLOOKUP(G18,ОКТМО!B:M,6,0)</f>
        <v>Намский муниципальный район</v>
      </c>
      <c r="F18" s="65" t="str">
        <f>VLOOKUP(G18,ОКТМО!B:M,12,0)</f>
        <v>Сыгыннах</v>
      </c>
      <c r="G18" s="65">
        <v>98635405101</v>
      </c>
      <c r="H18" s="65">
        <v>2</v>
      </c>
      <c r="I18" s="65">
        <v>20</v>
      </c>
      <c r="J18" s="65">
        <v>2000</v>
      </c>
      <c r="K18" s="65">
        <f t="shared" si="0"/>
        <v>80000</v>
      </c>
      <c r="L18" s="65" t="s">
        <v>535</v>
      </c>
      <c r="N18" s="65" t="s">
        <v>5249</v>
      </c>
      <c r="O18" s="65" t="s">
        <v>5250</v>
      </c>
      <c r="P18" s="65" t="s">
        <v>5251</v>
      </c>
      <c r="Q18" s="65" t="s">
        <v>5207</v>
      </c>
    </row>
    <row r="19" spans="1:17">
      <c r="A19" s="65">
        <v>17</v>
      </c>
      <c r="B19" s="65" t="str">
        <f>VLOOKUP(G19,ОКТМО!B:M,12,0)</f>
        <v>Сыгыннах</v>
      </c>
      <c r="D19" s="65" t="s">
        <v>317</v>
      </c>
      <c r="E19" s="65" t="str">
        <f>VLOOKUP(G19,ОКТМО!B:M,6,0)</f>
        <v>Намский муниципальный район</v>
      </c>
      <c r="F19" s="65" t="str">
        <f>VLOOKUP(G19,ОКТМО!B:M,12,0)</f>
        <v>Сыгыннах</v>
      </c>
      <c r="G19" s="65">
        <v>98635405101</v>
      </c>
      <c r="H19" s="65">
        <v>2</v>
      </c>
      <c r="I19" s="65">
        <v>20</v>
      </c>
      <c r="J19" s="65">
        <v>2000</v>
      </c>
      <c r="K19" s="65">
        <f t="shared" si="0"/>
        <v>80000</v>
      </c>
      <c r="L19" s="65" t="s">
        <v>535</v>
      </c>
      <c r="N19" s="65" t="s">
        <v>5252</v>
      </c>
      <c r="O19" s="65" t="s">
        <v>5253</v>
      </c>
      <c r="P19" s="65" t="s">
        <v>5254</v>
      </c>
      <c r="Q19" s="65" t="s">
        <v>5207</v>
      </c>
    </row>
    <row r="20" spans="1:17">
      <c r="A20" s="65">
        <v>18</v>
      </c>
      <c r="B20" s="65" t="str">
        <f>VLOOKUP(G20,ОКТМО!B:M,12,0)</f>
        <v>Верхняя Амга</v>
      </c>
      <c r="D20" s="65" t="s">
        <v>458</v>
      </c>
      <c r="E20" s="65" t="str">
        <f>VLOOKUP(G20,ОКТМО!B:M,6,0)</f>
        <v>Алданский муниципальный район</v>
      </c>
      <c r="F20" s="65" t="str">
        <f>VLOOKUP(G20,ОКТМО!B:M,12,0)</f>
        <v>Верхняя Амга</v>
      </c>
      <c r="G20" s="65">
        <v>98603105111</v>
      </c>
      <c r="H20" s="65">
        <v>2</v>
      </c>
      <c r="I20" s="65">
        <v>20</v>
      </c>
      <c r="J20" s="65">
        <v>2000</v>
      </c>
      <c r="K20" s="65">
        <f t="shared" si="0"/>
        <v>80000</v>
      </c>
      <c r="L20" s="65" t="s">
        <v>535</v>
      </c>
      <c r="N20" s="65" t="s">
        <v>6662</v>
      </c>
      <c r="O20" s="65" t="s">
        <v>6663</v>
      </c>
      <c r="P20" s="65" t="s">
        <v>5255</v>
      </c>
      <c r="Q20" s="65" t="s">
        <v>5207</v>
      </c>
    </row>
    <row r="21" spans="1:17">
      <c r="A21" s="65">
        <v>19</v>
      </c>
      <c r="B21" s="65" t="str">
        <f>VLOOKUP(G21,ОКТМО!B:M,12,0)</f>
        <v>Верхняя Амга</v>
      </c>
      <c r="D21" s="65" t="s">
        <v>458</v>
      </c>
      <c r="E21" s="65" t="str">
        <f>VLOOKUP(G21,ОКТМО!B:M,6,0)</f>
        <v>Алданский муниципальный район</v>
      </c>
      <c r="F21" s="65" t="str">
        <f>VLOOKUP(G21,ОКТМО!B:M,12,0)</f>
        <v>Верхняя Амга</v>
      </c>
      <c r="G21" s="65">
        <v>98603105111</v>
      </c>
      <c r="H21" s="65">
        <v>2</v>
      </c>
      <c r="I21" s="65">
        <v>20</v>
      </c>
      <c r="J21" s="65">
        <v>2000</v>
      </c>
      <c r="K21" s="65">
        <f t="shared" si="0"/>
        <v>80000</v>
      </c>
      <c r="L21" s="65" t="s">
        <v>535</v>
      </c>
      <c r="N21" s="65" t="s">
        <v>6664</v>
      </c>
      <c r="O21" s="65" t="s">
        <v>6665</v>
      </c>
      <c r="P21" s="65" t="s">
        <v>5256</v>
      </c>
      <c r="Q21" s="65" t="s">
        <v>5207</v>
      </c>
    </row>
    <row r="22" spans="1:17">
      <c r="A22" s="65">
        <v>20</v>
      </c>
      <c r="B22" s="65" t="str">
        <f>VLOOKUP(G22,ОКТМО!B:M,12,0)</f>
        <v>Амга</v>
      </c>
      <c r="D22" s="251" t="s">
        <v>458</v>
      </c>
      <c r="E22" s="65" t="str">
        <f>VLOOKUP(G22,ОКТМО!B:M,6,0)</f>
        <v>Амгинский муниципальный район</v>
      </c>
      <c r="F22" s="65" t="str">
        <f>VLOOKUP(G22,ОКТМО!B:M,12,0)</f>
        <v>Амга</v>
      </c>
      <c r="G22" s="65">
        <v>98608432101</v>
      </c>
      <c r="H22" s="65">
        <v>2</v>
      </c>
      <c r="I22" s="65">
        <v>20</v>
      </c>
      <c r="J22" s="65">
        <v>2000</v>
      </c>
      <c r="K22" s="65">
        <f t="shared" si="0"/>
        <v>80000</v>
      </c>
      <c r="L22" s="65" t="s">
        <v>535</v>
      </c>
      <c r="N22" s="65" t="s">
        <v>6666</v>
      </c>
      <c r="O22" s="65" t="s">
        <v>6667</v>
      </c>
      <c r="P22" s="65" t="s">
        <v>5257</v>
      </c>
      <c r="Q22" s="65" t="s">
        <v>5207</v>
      </c>
    </row>
    <row r="23" spans="1:17">
      <c r="A23" s="65">
        <v>21</v>
      </c>
      <c r="B23" s="65" t="str">
        <f>VLOOKUP(G23,ОКТМО!B:M,12,0)</f>
        <v>Амга</v>
      </c>
      <c r="D23" s="251" t="s">
        <v>458</v>
      </c>
      <c r="E23" s="65" t="str">
        <f>VLOOKUP(G23,ОКТМО!B:M,6,0)</f>
        <v>Амгинский муниципальный район</v>
      </c>
      <c r="F23" s="65" t="str">
        <f>VLOOKUP(G23,ОКТМО!B:M,12,0)</f>
        <v>Амга</v>
      </c>
      <c r="G23" s="65">
        <f>98608432101</f>
        <v>98608432101</v>
      </c>
      <c r="H23" s="65">
        <v>2</v>
      </c>
      <c r="I23" s="65">
        <v>20</v>
      </c>
      <c r="J23" s="65">
        <v>2000</v>
      </c>
      <c r="K23" s="65">
        <f t="shared" si="0"/>
        <v>80000</v>
      </c>
      <c r="L23" s="65" t="s">
        <v>535</v>
      </c>
      <c r="N23" s="65" t="s">
        <v>6668</v>
      </c>
      <c r="O23" s="65" t="s">
        <v>6669</v>
      </c>
      <c r="P23" s="65" t="s">
        <v>5258</v>
      </c>
      <c r="Q23" s="65" t="s">
        <v>5207</v>
      </c>
    </row>
    <row r="24" spans="1:17">
      <c r="A24" s="65">
        <v>22</v>
      </c>
      <c r="B24" s="65" t="str">
        <f>VLOOKUP(G24,ОКТМО!B:M,12,0)</f>
        <v>Бетюнцы</v>
      </c>
      <c r="D24" s="251" t="s">
        <v>458</v>
      </c>
      <c r="E24" s="65" t="str">
        <f>VLOOKUP(G24,ОКТМО!B:M,6,0)</f>
        <v>Амгинский муниципальный район</v>
      </c>
      <c r="F24" s="65" t="str">
        <f>VLOOKUP(G24,ОКТМО!B:M,12,0)</f>
        <v>Бетюнцы</v>
      </c>
      <c r="G24" s="65">
        <v>98608440101</v>
      </c>
      <c r="H24" s="65">
        <v>2</v>
      </c>
      <c r="I24" s="65">
        <v>20</v>
      </c>
      <c r="J24" s="65">
        <v>2000</v>
      </c>
      <c r="K24" s="65">
        <f t="shared" si="0"/>
        <v>80000</v>
      </c>
      <c r="L24" s="65" t="s">
        <v>535</v>
      </c>
      <c r="N24" s="65" t="s">
        <v>6671</v>
      </c>
      <c r="O24" s="65" t="s">
        <v>6672</v>
      </c>
      <c r="P24" s="65" t="s">
        <v>6670</v>
      </c>
      <c r="Q24" s="65" t="s">
        <v>5207</v>
      </c>
    </row>
    <row r="25" spans="1:17">
      <c r="A25" s="65">
        <v>23</v>
      </c>
      <c r="B25" s="65" t="str">
        <f>VLOOKUP(G25,ОКТМО!B:M,12,0)</f>
        <v>Абага</v>
      </c>
      <c r="D25" s="251" t="s">
        <v>458</v>
      </c>
      <c r="E25" s="65" t="str">
        <f>VLOOKUP(G25,ОКТМО!B:M,6,0)</f>
        <v>Амгинский муниципальный район</v>
      </c>
      <c r="F25" s="65" t="str">
        <f>VLOOKUP(G25,ОКТМО!B:M,12,0)</f>
        <v>Абага</v>
      </c>
      <c r="G25" s="65">
        <v>98608405101</v>
      </c>
      <c r="H25" s="65">
        <v>2</v>
      </c>
      <c r="I25" s="65">
        <v>20</v>
      </c>
      <c r="J25" s="65">
        <v>2000</v>
      </c>
      <c r="K25" s="65">
        <f t="shared" si="0"/>
        <v>80000</v>
      </c>
      <c r="L25" s="65" t="s">
        <v>535</v>
      </c>
      <c r="N25" s="65" t="s">
        <v>6673</v>
      </c>
      <c r="O25" s="65" t="s">
        <v>6674</v>
      </c>
      <c r="P25" s="65" t="s">
        <v>5259</v>
      </c>
      <c r="Q25" s="65" t="s">
        <v>5207</v>
      </c>
    </row>
    <row r="26" spans="1:17">
      <c r="A26" s="65">
        <v>24</v>
      </c>
      <c r="B26" s="65" t="str">
        <f>VLOOKUP(G26,ОКТМО!B:M,12,0)</f>
        <v>Михайловка</v>
      </c>
      <c r="D26" s="251" t="s">
        <v>458</v>
      </c>
      <c r="E26" s="65" t="str">
        <f>VLOOKUP(G26,ОКТМО!B:M,6,0)</f>
        <v>Амгинский муниципальный район</v>
      </c>
      <c r="F26" s="65" t="str">
        <f>VLOOKUP(G26,ОКТМО!B:M,12,0)</f>
        <v>Михайловка</v>
      </c>
      <c r="G26" s="65">
        <v>98608460101</v>
      </c>
      <c r="H26" s="65">
        <v>2</v>
      </c>
      <c r="I26" s="65">
        <v>20</v>
      </c>
      <c r="J26" s="65">
        <v>1500</v>
      </c>
      <c r="K26" s="65">
        <f t="shared" si="0"/>
        <v>60000</v>
      </c>
      <c r="L26" s="65" t="s">
        <v>535</v>
      </c>
      <c r="N26" s="65" t="s">
        <v>6675</v>
      </c>
      <c r="O26" s="65" t="s">
        <v>6676</v>
      </c>
      <c r="P26" s="65" t="s">
        <v>5260</v>
      </c>
      <c r="Q26" s="65" t="s">
        <v>5207</v>
      </c>
    </row>
    <row r="27" spans="1:17">
      <c r="A27" s="65">
        <v>25</v>
      </c>
      <c r="B27" s="65" t="str">
        <f>VLOOKUP(G27,ОКТМО!B:M,12,0)</f>
        <v>Мындагай</v>
      </c>
      <c r="D27" s="251" t="s">
        <v>458</v>
      </c>
      <c r="E27" s="65" t="str">
        <f>VLOOKUP(G27,ОКТМО!B:M,6,0)</f>
        <v>Чурапчинский муниципальный район</v>
      </c>
      <c r="F27" s="65" t="str">
        <f>VLOOKUP(G27,ОКТМО!B:M,12,0)</f>
        <v>Мындагай</v>
      </c>
      <c r="G27" s="65">
        <v>98658415101</v>
      </c>
      <c r="H27" s="65">
        <v>2</v>
      </c>
      <c r="I27" s="65">
        <v>20</v>
      </c>
      <c r="J27" s="65">
        <v>2000</v>
      </c>
      <c r="K27" s="65">
        <f t="shared" si="0"/>
        <v>80000</v>
      </c>
      <c r="L27" s="65" t="s">
        <v>535</v>
      </c>
      <c r="N27" s="65" t="s">
        <v>6677</v>
      </c>
      <c r="O27" s="65" t="s">
        <v>6678</v>
      </c>
      <c r="P27" s="65" t="s">
        <v>5261</v>
      </c>
      <c r="Q27" s="65" t="s">
        <v>5207</v>
      </c>
    </row>
    <row r="28" spans="1:17">
      <c r="A28" s="65">
        <v>26</v>
      </c>
      <c r="B28" s="65" t="str">
        <f>VLOOKUP(G28,ОКТМО!B:M,12,0)</f>
        <v>Мындагай</v>
      </c>
      <c r="D28" s="251" t="s">
        <v>458</v>
      </c>
      <c r="E28" s="65" t="str">
        <f>VLOOKUP(G28,ОКТМО!B:M,6,0)</f>
        <v>Чурапчинский муниципальный район</v>
      </c>
      <c r="F28" s="65" t="str">
        <f>VLOOKUP(G28,ОКТМО!B:M,12,0)</f>
        <v>Мындагай</v>
      </c>
      <c r="G28" s="65">
        <v>98658415101</v>
      </c>
      <c r="H28" s="65">
        <v>2</v>
      </c>
      <c r="I28" s="65">
        <v>20</v>
      </c>
      <c r="J28" s="65">
        <v>2000</v>
      </c>
      <c r="K28" s="65">
        <f t="shared" si="0"/>
        <v>80000</v>
      </c>
      <c r="L28" s="65" t="s">
        <v>535</v>
      </c>
      <c r="N28" s="65" t="s">
        <v>6679</v>
      </c>
      <c r="O28" s="65" t="s">
        <v>6680</v>
      </c>
      <c r="P28" s="65" t="s">
        <v>5262</v>
      </c>
      <c r="Q28" s="65" t="s">
        <v>5207</v>
      </c>
    </row>
    <row r="29" spans="1:17">
      <c r="A29" s="65">
        <v>27</v>
      </c>
      <c r="B29" s="65" t="str">
        <f>VLOOKUP(G29,ОКТМО!B:M,12,0)</f>
        <v>Мырыла</v>
      </c>
      <c r="D29" s="65" t="s">
        <v>458</v>
      </c>
      <c r="E29" s="65" t="str">
        <f>VLOOKUP(G29,ОКТМО!B:M,6,0)</f>
        <v>Чурапчинский муниципальный район</v>
      </c>
      <c r="F29" s="65" t="str">
        <f>VLOOKUP(G29,ОКТМО!B:M,12,0)</f>
        <v>Мырыла</v>
      </c>
      <c r="G29" s="65">
        <v>98658435101</v>
      </c>
      <c r="H29" s="65">
        <v>2</v>
      </c>
      <c r="I29" s="65">
        <v>20</v>
      </c>
      <c r="J29" s="65">
        <v>4000</v>
      </c>
      <c r="K29" s="65">
        <f t="shared" si="0"/>
        <v>160000</v>
      </c>
      <c r="L29" s="65" t="s">
        <v>535</v>
      </c>
      <c r="N29" s="65" t="s">
        <v>6681</v>
      </c>
      <c r="O29" s="65" t="s">
        <v>6682</v>
      </c>
      <c r="P29" s="65" t="s">
        <v>5263</v>
      </c>
      <c r="Q29" s="65" t="s">
        <v>5207</v>
      </c>
    </row>
    <row r="30" spans="1:17">
      <c r="A30" s="65">
        <v>28</v>
      </c>
      <c r="B30" s="65" t="str">
        <f>VLOOKUP(G30,ОКТМО!B:M,12,0)</f>
        <v>Чымнайи</v>
      </c>
      <c r="D30" s="65" t="s">
        <v>458</v>
      </c>
      <c r="E30" s="65" t="str">
        <f>VLOOKUP(G30,ОКТМО!B:M,6,0)</f>
        <v>Таттинский муниципальный район</v>
      </c>
      <c r="F30" s="65" t="str">
        <f>VLOOKUP(G30,ОКТМО!B:M,12,0)</f>
        <v>Чымнайи</v>
      </c>
      <c r="G30" s="65">
        <v>98604460101</v>
      </c>
      <c r="H30" s="65">
        <v>2</v>
      </c>
      <c r="I30" s="65">
        <v>20</v>
      </c>
      <c r="J30" s="65">
        <v>2000</v>
      </c>
      <c r="K30" s="65">
        <f t="shared" si="0"/>
        <v>80000</v>
      </c>
      <c r="L30" s="65" t="s">
        <v>535</v>
      </c>
      <c r="N30" s="65" t="s">
        <v>6683</v>
      </c>
      <c r="O30" s="65" t="s">
        <v>6684</v>
      </c>
      <c r="P30" s="65" t="s">
        <v>5264</v>
      </c>
      <c r="Q30" s="65" t="s">
        <v>5207</v>
      </c>
    </row>
    <row r="31" spans="1:17">
      <c r="A31" s="65">
        <v>29</v>
      </c>
      <c r="B31" s="65" t="str">
        <f>VLOOKUP(G31,ОКТМО!B:M,12,0)</f>
        <v>Орто-Нахара</v>
      </c>
      <c r="D31" s="65" t="s">
        <v>45</v>
      </c>
      <c r="E31" s="65" t="str">
        <f>VLOOKUP(G31,ОКТМО!B:M,6,0)</f>
        <v>Ленский муниципальный район</v>
      </c>
      <c r="F31" s="65" t="str">
        <f>VLOOKUP(G31,ОКТМО!B:M,12,0)</f>
        <v>Орто-Нахара</v>
      </c>
      <c r="G31" s="65">
        <v>98627433101</v>
      </c>
      <c r="H31" s="65">
        <v>2</v>
      </c>
      <c r="I31" s="65">
        <v>10</v>
      </c>
      <c r="J31" s="65">
        <v>1000</v>
      </c>
      <c r="K31" s="65">
        <f t="shared" si="0"/>
        <v>20000</v>
      </c>
      <c r="L31" s="65" t="s">
        <v>535</v>
      </c>
      <c r="N31" s="65" t="s">
        <v>6685</v>
      </c>
      <c r="O31" s="65" t="s">
        <v>6686</v>
      </c>
      <c r="P31" s="65" t="s">
        <v>6693</v>
      </c>
      <c r="Q31" s="65" t="s">
        <v>5207</v>
      </c>
    </row>
    <row r="32" spans="1:17">
      <c r="A32" s="65">
        <v>30</v>
      </c>
      <c r="B32" s="65" t="str">
        <f>VLOOKUP(G32,ОКТМО!B:M,12,0)</f>
        <v>Орто-Нахара</v>
      </c>
      <c r="D32" s="65" t="s">
        <v>45</v>
      </c>
      <c r="E32" s="65" t="str">
        <f>VLOOKUP(G32,ОКТМО!B:M,6,0)</f>
        <v>Ленский муниципальный район</v>
      </c>
      <c r="F32" s="65" t="str">
        <f>VLOOKUP(G32,ОКТМО!B:M,12,0)</f>
        <v>Орто-Нахара</v>
      </c>
      <c r="G32" s="65">
        <v>98627433101</v>
      </c>
      <c r="H32" s="65">
        <v>2</v>
      </c>
      <c r="I32" s="65">
        <v>10</v>
      </c>
      <c r="J32" s="65">
        <v>1000</v>
      </c>
      <c r="K32" s="65">
        <f t="shared" si="0"/>
        <v>20000</v>
      </c>
      <c r="L32" s="65" t="s">
        <v>535</v>
      </c>
      <c r="N32" s="65" t="s">
        <v>6687</v>
      </c>
      <c r="O32" s="65" t="s">
        <v>6688</v>
      </c>
      <c r="P32" s="65" t="s">
        <v>6694</v>
      </c>
      <c r="Q32" s="65" t="s">
        <v>5207</v>
      </c>
    </row>
    <row r="33" spans="1:17">
      <c r="A33" s="65">
        <v>31</v>
      </c>
      <c r="B33" s="65" t="str">
        <f>VLOOKUP(G33,ОКТМО!B:M,12,0)</f>
        <v>Орто-Нахара</v>
      </c>
      <c r="D33" s="65" t="s">
        <v>45</v>
      </c>
      <c r="E33" s="65" t="str">
        <f>VLOOKUP(G33,ОКТМО!B:M,6,0)</f>
        <v>Ленский муниципальный район</v>
      </c>
      <c r="F33" s="65" t="str">
        <f>VLOOKUP(G33,ОКТМО!B:M,12,0)</f>
        <v>Орто-Нахара</v>
      </c>
      <c r="G33" s="65">
        <v>98627433101</v>
      </c>
      <c r="H33" s="65">
        <v>2</v>
      </c>
      <c r="I33" s="65">
        <v>10</v>
      </c>
      <c r="J33" s="65">
        <v>1000</v>
      </c>
      <c r="K33" s="65">
        <f t="shared" si="0"/>
        <v>20000</v>
      </c>
      <c r="L33" s="65" t="s">
        <v>535</v>
      </c>
      <c r="N33" s="65" t="s">
        <v>6689</v>
      </c>
      <c r="O33" s="65" t="s">
        <v>6690</v>
      </c>
      <c r="P33" s="65" t="s">
        <v>6695</v>
      </c>
      <c r="Q33" s="65" t="s">
        <v>5207</v>
      </c>
    </row>
    <row r="34" spans="1:17">
      <c r="A34" s="65">
        <v>32</v>
      </c>
      <c r="B34" s="65" t="str">
        <f>VLOOKUP(G34,ОКТМО!B:M,12,0)</f>
        <v>Орто-Нахара</v>
      </c>
      <c r="D34" s="65" t="s">
        <v>45</v>
      </c>
      <c r="E34" s="65" t="str">
        <f>VLOOKUP(G34,ОКТМО!B:M,6,0)</f>
        <v>Ленский муниципальный район</v>
      </c>
      <c r="F34" s="65" t="str">
        <f>VLOOKUP(G34,ОКТМО!B:M,12,0)</f>
        <v>Орто-Нахара</v>
      </c>
      <c r="G34" s="65">
        <v>98627433101</v>
      </c>
      <c r="H34" s="65">
        <v>2</v>
      </c>
      <c r="I34" s="65">
        <v>10</v>
      </c>
      <c r="J34" s="65">
        <v>1000</v>
      </c>
      <c r="K34" s="65">
        <f t="shared" si="0"/>
        <v>20000</v>
      </c>
      <c r="L34" s="65" t="s">
        <v>535</v>
      </c>
      <c r="N34" s="65" t="s">
        <v>6691</v>
      </c>
      <c r="O34" s="65" t="s">
        <v>6692</v>
      </c>
      <c r="P34" s="65" t="s">
        <v>6696</v>
      </c>
      <c r="Q34" s="65" t="s">
        <v>5207</v>
      </c>
    </row>
    <row r="35" spans="1:17">
      <c r="A35" s="65">
        <v>33</v>
      </c>
      <c r="B35" s="65" t="str">
        <f>VLOOKUP(G35,ОКТМО!B:M,12,0)</f>
        <v>Тяня</v>
      </c>
      <c r="D35" s="65" t="s">
        <v>275</v>
      </c>
      <c r="E35" s="65" t="str">
        <f>VLOOKUP(G35,ОКТМО!B:M,6,0)</f>
        <v>Олекминский муниципальный район</v>
      </c>
      <c r="F35" s="65" t="str">
        <f>VLOOKUP(G35,ОКТМО!B:M,12,0)</f>
        <v>Тяня</v>
      </c>
      <c r="G35" s="65">
        <v>98641475101</v>
      </c>
      <c r="H35" s="65">
        <v>2</v>
      </c>
      <c r="I35" s="65">
        <v>20</v>
      </c>
      <c r="J35" s="65">
        <v>2000</v>
      </c>
      <c r="K35" s="65">
        <f t="shared" si="0"/>
        <v>80000</v>
      </c>
      <c r="L35" s="65" t="s">
        <v>535</v>
      </c>
      <c r="N35" s="65" t="s">
        <v>6697</v>
      </c>
      <c r="O35" s="65" t="s">
        <v>6698</v>
      </c>
      <c r="P35" s="65" t="s">
        <v>6699</v>
      </c>
      <c r="Q35" s="65" t="s">
        <v>5207</v>
      </c>
    </row>
    <row r="36" spans="1:17">
      <c r="A36" s="65">
        <v>34</v>
      </c>
      <c r="B36" s="65" t="str">
        <f>VLOOKUP(G36,ОКТМО!B:M,12,0)</f>
        <v>Батамай</v>
      </c>
      <c r="D36" s="65" t="s">
        <v>11</v>
      </c>
      <c r="E36" s="65" t="str">
        <f>VLOOKUP(G36,ОКТМО!B:M,6,0)</f>
        <v>Ленский муниципальный район</v>
      </c>
      <c r="F36" s="65" t="str">
        <f>VLOOKUP(G36,ОКТМО!B:M,12,0)</f>
        <v>Батамай</v>
      </c>
      <c r="G36" s="65">
        <v>98627436106</v>
      </c>
      <c r="H36" s="65">
        <v>2</v>
      </c>
      <c r="I36" s="65">
        <v>20</v>
      </c>
      <c r="J36" s="65">
        <v>3000</v>
      </c>
      <c r="K36" s="65">
        <f t="shared" si="0"/>
        <v>120000</v>
      </c>
      <c r="L36" s="65" t="s">
        <v>535</v>
      </c>
      <c r="N36" s="65" t="s">
        <v>6703</v>
      </c>
      <c r="O36" s="65" t="s">
        <v>6704</v>
      </c>
      <c r="P36" s="65" t="s">
        <v>6701</v>
      </c>
      <c r="Q36" s="65" t="s">
        <v>6700</v>
      </c>
    </row>
    <row r="37" spans="1:17">
      <c r="A37" s="65">
        <v>35</v>
      </c>
      <c r="B37" s="65" t="str">
        <f>VLOOKUP(G37,ОКТМО!B:M,12,0)</f>
        <v>Батамай</v>
      </c>
      <c r="D37" s="65" t="s">
        <v>11</v>
      </c>
      <c r="E37" s="65" t="str">
        <f>VLOOKUP(G37,ОКТМО!B:M,6,0)</f>
        <v>Ленский муниципальный район</v>
      </c>
      <c r="F37" s="65" t="str">
        <f>VLOOKUP(G37,ОКТМО!B:M,12,0)</f>
        <v>Батамай</v>
      </c>
      <c r="G37" s="65">
        <v>98627436106</v>
      </c>
      <c r="H37" s="65">
        <v>4</v>
      </c>
      <c r="I37" s="65">
        <v>20</v>
      </c>
      <c r="J37" s="65">
        <v>5000</v>
      </c>
      <c r="K37" s="65">
        <f t="shared" si="0"/>
        <v>400000</v>
      </c>
      <c r="L37" s="65" t="s">
        <v>535</v>
      </c>
      <c r="N37" s="65" t="s">
        <v>6705</v>
      </c>
      <c r="O37" s="65" t="s">
        <v>6706</v>
      </c>
      <c r="P37" s="65" t="s">
        <v>6702</v>
      </c>
      <c r="Q37" s="65" t="s">
        <v>6700</v>
      </c>
    </row>
    <row r="38" spans="1:17">
      <c r="A38" s="65">
        <v>36</v>
      </c>
      <c r="B38" s="65" t="str">
        <f>VLOOKUP(G38,ОКТМО!B:M,12,0)</f>
        <v>Батамай</v>
      </c>
      <c r="D38" s="65" t="s">
        <v>11</v>
      </c>
      <c r="E38" s="65" t="str">
        <f>VLOOKUP(G38,ОКТМО!B:M,6,0)</f>
        <v>Ленский муниципальный район</v>
      </c>
      <c r="F38" s="65" t="str">
        <f>VLOOKUP(G38,ОКТМО!B:M,12,0)</f>
        <v>Батамай</v>
      </c>
      <c r="G38" s="65">
        <v>98627436106</v>
      </c>
      <c r="H38" s="65">
        <v>2</v>
      </c>
      <c r="I38" s="65">
        <v>20</v>
      </c>
      <c r="J38" s="65">
        <v>1250</v>
      </c>
      <c r="K38" s="65">
        <f t="shared" si="0"/>
        <v>50000</v>
      </c>
      <c r="L38" s="65" t="s">
        <v>535</v>
      </c>
      <c r="N38" s="65" t="s">
        <v>6707</v>
      </c>
      <c r="O38" s="65" t="s">
        <v>6708</v>
      </c>
      <c r="P38" s="65" t="s">
        <v>6709</v>
      </c>
      <c r="Q38" s="65" t="s">
        <v>6700</v>
      </c>
    </row>
    <row r="39" spans="1:17">
      <c r="A39" s="65">
        <v>37</v>
      </c>
      <c r="B39" s="65" t="str">
        <f>VLOOKUP(G39,ОКТМО!B:M,12,0)</f>
        <v>Турукта</v>
      </c>
      <c r="D39" s="65" t="s">
        <v>11</v>
      </c>
      <c r="E39" s="65" t="str">
        <f>VLOOKUP(G39,ОКТМО!B:M,6,0)</f>
        <v>Ленский муниципальный район</v>
      </c>
      <c r="F39" s="65" t="str">
        <f>VLOOKUP(G39,ОКТМО!B:M,12,0)</f>
        <v>Турукта</v>
      </c>
      <c r="G39" s="65">
        <v>98627430106</v>
      </c>
      <c r="H39" s="65">
        <v>6</v>
      </c>
      <c r="I39" s="65">
        <v>20</v>
      </c>
      <c r="J39" s="65">
        <v>2000</v>
      </c>
      <c r="K39" s="65">
        <f t="shared" si="0"/>
        <v>240000</v>
      </c>
      <c r="L39" s="65" t="s">
        <v>535</v>
      </c>
      <c r="N39" s="65" t="s">
        <v>6710</v>
      </c>
      <c r="O39" s="65" t="s">
        <v>6711</v>
      </c>
      <c r="P39" s="65" t="s">
        <v>6718</v>
      </c>
      <c r="Q39" s="65" t="s">
        <v>6700</v>
      </c>
    </row>
    <row r="40" spans="1:17">
      <c r="A40" s="65">
        <v>38</v>
      </c>
      <c r="B40" s="65" t="str">
        <f>VLOOKUP(G40,ОКТМО!B:M,12,0)</f>
        <v>Нерюктяйинск 1-й</v>
      </c>
      <c r="D40" s="65" t="s">
        <v>11</v>
      </c>
      <c r="E40" s="65" t="str">
        <f>VLOOKUP(G40,ОКТМО!B:M,6,0)</f>
        <v>Олекминский муниципальный район</v>
      </c>
      <c r="F40" s="65" t="str">
        <f>VLOOKUP(G40,ОКТМО!B:M,12,0)</f>
        <v>Нерюктяйинск 1-й</v>
      </c>
      <c r="G40" s="65">
        <v>98641445101</v>
      </c>
      <c r="H40" s="65">
        <v>2</v>
      </c>
      <c r="I40" s="65">
        <v>20</v>
      </c>
      <c r="J40" s="65">
        <v>3000</v>
      </c>
      <c r="K40" s="65">
        <f t="shared" si="0"/>
        <v>120000</v>
      </c>
      <c r="L40" s="65" t="s">
        <v>535</v>
      </c>
      <c r="N40" s="65" t="s">
        <v>6713</v>
      </c>
      <c r="O40" s="65" t="s">
        <v>6714</v>
      </c>
      <c r="P40" s="65" t="s">
        <v>6712</v>
      </c>
      <c r="Q40" s="65" t="s">
        <v>6700</v>
      </c>
    </row>
    <row r="41" spans="1:17">
      <c r="A41" s="65">
        <v>39</v>
      </c>
      <c r="B41" s="65" t="str">
        <f>VLOOKUP(G41,ОКТМО!B:M,12,0)</f>
        <v>Кыллах</v>
      </c>
      <c r="D41" s="65" t="s">
        <v>11</v>
      </c>
      <c r="E41" s="65" t="str">
        <f>VLOOKUP(G41,ОКТМО!B:M,6,0)</f>
        <v>Олекминский муниципальный район</v>
      </c>
      <c r="F41" s="65" t="str">
        <f>VLOOKUP(G41,ОКТМО!B:M,12,0)</f>
        <v>Кыллах</v>
      </c>
      <c r="G41" s="65">
        <v>98641430101</v>
      </c>
      <c r="H41" s="65">
        <v>2</v>
      </c>
      <c r="I41" s="65">
        <v>20</v>
      </c>
      <c r="J41" s="65">
        <v>3000</v>
      </c>
      <c r="K41" s="65">
        <f t="shared" si="0"/>
        <v>120000</v>
      </c>
      <c r="L41" s="65" t="s">
        <v>535</v>
      </c>
      <c r="N41" s="65" t="s">
        <v>6715</v>
      </c>
      <c r="O41" s="65" t="s">
        <v>6716</v>
      </c>
      <c r="P41" s="65" t="s">
        <v>6719</v>
      </c>
      <c r="Q41" s="65" t="s">
        <v>6700</v>
      </c>
    </row>
    <row r="42" spans="1:17">
      <c r="A42" s="65">
        <v>40</v>
      </c>
      <c r="B42" s="65" t="str">
        <f>VLOOKUP(G42,ОКТМО!B:M,12,0)</f>
        <v>Олёкминск</v>
      </c>
      <c r="D42" s="65" t="s">
        <v>11</v>
      </c>
      <c r="E42" s="65" t="str">
        <f>VLOOKUP(G42,ОКТМО!B:M,6,0)</f>
        <v>Олекминский муниципальный район</v>
      </c>
      <c r="F42" s="65" t="str">
        <f>VLOOKUP(G42,ОКТМО!B:M,12,0)</f>
        <v>Олёкминск</v>
      </c>
      <c r="G42" s="65">
        <v>98641101001</v>
      </c>
      <c r="H42" s="65">
        <v>2</v>
      </c>
      <c r="I42" s="65">
        <v>20</v>
      </c>
      <c r="J42" s="65">
        <v>3000</v>
      </c>
      <c r="K42" s="65">
        <f t="shared" si="0"/>
        <v>120000</v>
      </c>
      <c r="L42" s="65" t="s">
        <v>535</v>
      </c>
      <c r="N42" s="65" t="s">
        <v>6720</v>
      </c>
      <c r="O42" s="65" t="s">
        <v>6721</v>
      </c>
      <c r="P42" s="65" t="s">
        <v>6717</v>
      </c>
      <c r="Q42" s="65" t="s">
        <v>6700</v>
      </c>
    </row>
    <row r="43" spans="1:17">
      <c r="A43" s="65">
        <v>41</v>
      </c>
      <c r="B43" s="65" t="str">
        <f>VLOOKUP(G43,ОКТМО!B:M,12,0)</f>
        <v>Олёкминск</v>
      </c>
      <c r="D43" s="65" t="s">
        <v>11</v>
      </c>
      <c r="E43" s="65" t="str">
        <f>VLOOKUP(G43,ОКТМО!B:M,6,0)</f>
        <v>Олекминский муниципальный район</v>
      </c>
      <c r="F43" s="65" t="str">
        <f>VLOOKUP(G43,ОКТМО!B:M,12,0)</f>
        <v>Олёкминск</v>
      </c>
      <c r="G43" s="65">
        <v>98641101001</v>
      </c>
      <c r="H43" s="65">
        <v>5</v>
      </c>
      <c r="I43" s="65">
        <v>20</v>
      </c>
      <c r="J43" s="65">
        <v>1000</v>
      </c>
      <c r="K43" s="65">
        <f t="shared" si="0"/>
        <v>100000</v>
      </c>
      <c r="L43" s="65" t="s">
        <v>535</v>
      </c>
      <c r="N43" s="65" t="s">
        <v>6722</v>
      </c>
      <c r="O43" s="65" t="s">
        <v>6723</v>
      </c>
      <c r="P43" s="65" t="s">
        <v>6724</v>
      </c>
      <c r="Q43" s="65" t="s">
        <v>6700</v>
      </c>
    </row>
    <row r="44" spans="1:17">
      <c r="A44" s="65">
        <v>42</v>
      </c>
      <c r="B44" s="65" t="str">
        <f>VLOOKUP(G44,ОКТМО!B:M,12,0)</f>
        <v>Олёкминск</v>
      </c>
      <c r="D44" s="65" t="s">
        <v>11</v>
      </c>
      <c r="E44" s="65" t="str">
        <f>VLOOKUP(G44,ОКТМО!B:M,6,0)</f>
        <v>Олекминский муниципальный район</v>
      </c>
      <c r="F44" s="65" t="str">
        <f>VLOOKUP(G44,ОКТМО!B:M,12,0)</f>
        <v>Олёкминск</v>
      </c>
      <c r="G44" s="65">
        <v>98641101001</v>
      </c>
      <c r="H44" s="65">
        <v>3</v>
      </c>
      <c r="I44" s="65">
        <v>20</v>
      </c>
      <c r="J44" s="65">
        <v>2000</v>
      </c>
      <c r="K44" s="65">
        <f t="shared" si="0"/>
        <v>120000</v>
      </c>
      <c r="L44" s="65" t="s">
        <v>535</v>
      </c>
      <c r="N44" s="65" t="s">
        <v>6725</v>
      </c>
      <c r="O44" s="65" t="s">
        <v>6726</v>
      </c>
      <c r="P44" s="65" t="s">
        <v>6724</v>
      </c>
      <c r="Q44" s="65" t="s">
        <v>6700</v>
      </c>
    </row>
    <row r="45" spans="1:17">
      <c r="A45" s="65">
        <v>43</v>
      </c>
      <c r="B45" s="65" t="str">
        <f>VLOOKUP(G45,ОКТМО!B:M,12,0)</f>
        <v>Олёкминск</v>
      </c>
      <c r="D45" s="65" t="s">
        <v>3197</v>
      </c>
      <c r="E45" s="65" t="str">
        <f>VLOOKUP(G45,ОКТМО!B:M,6,0)</f>
        <v>Олекминский муниципальный район</v>
      </c>
      <c r="F45" s="65" t="str">
        <f>VLOOKUP(G45,ОКТМО!B:M,12,0)</f>
        <v>Олёкминск</v>
      </c>
      <c r="G45" s="65">
        <v>98641101001</v>
      </c>
      <c r="H45" s="65">
        <v>2</v>
      </c>
      <c r="I45" s="65">
        <v>20</v>
      </c>
      <c r="J45" s="65">
        <v>1500</v>
      </c>
      <c r="K45" s="65">
        <f t="shared" si="0"/>
        <v>60000</v>
      </c>
      <c r="L45" s="65" t="s">
        <v>535</v>
      </c>
      <c r="N45" s="65" t="s">
        <v>6727</v>
      </c>
      <c r="O45" s="65" t="s">
        <v>6728</v>
      </c>
      <c r="P45" s="65" t="s">
        <v>6724</v>
      </c>
      <c r="Q45" s="65" t="s">
        <v>6700</v>
      </c>
    </row>
    <row r="46" spans="1:17">
      <c r="A46" s="65">
        <v>44</v>
      </c>
      <c r="B46" s="65" t="str">
        <f>VLOOKUP(G46,ОКТМО!B:M,12,0)</f>
        <v>Октёмцы</v>
      </c>
      <c r="D46" s="65" t="s">
        <v>11</v>
      </c>
      <c r="E46" s="65" t="str">
        <f>VLOOKUP(G46,ОКТМО!B:M,6,0)</f>
        <v>Хангаласский муниципальный район</v>
      </c>
      <c r="F46" s="65" t="str">
        <f>VLOOKUP(G46,ОКТМО!B:M,12,0)</f>
        <v>Октёмцы</v>
      </c>
      <c r="G46" s="65">
        <v>98644440101</v>
      </c>
      <c r="H46" s="65">
        <v>4</v>
      </c>
      <c r="I46" s="65">
        <v>20</v>
      </c>
      <c r="J46" s="65">
        <v>5500</v>
      </c>
      <c r="K46" s="65">
        <f t="shared" si="0"/>
        <v>440000</v>
      </c>
      <c r="L46" s="65" t="s">
        <v>535</v>
      </c>
      <c r="N46" s="65" t="s">
        <v>6729</v>
      </c>
      <c r="O46" s="65" t="s">
        <v>6730</v>
      </c>
      <c r="P46" s="65" t="s">
        <v>6731</v>
      </c>
      <c r="Q46" s="65" t="s">
        <v>6700</v>
      </c>
    </row>
    <row r="47" spans="1:17">
      <c r="A47" s="65">
        <v>45</v>
      </c>
      <c r="B47" s="65" t="str">
        <f>VLOOKUP(G47,ОКТМО!B:M,12,0)</f>
        <v>Якутск</v>
      </c>
      <c r="D47" s="65" t="s">
        <v>11</v>
      </c>
      <c r="E47" s="65" t="str">
        <f>VLOOKUP(G47,ОКТМО!B:M,6,0)</f>
        <v>Городской округ Город Якутск</v>
      </c>
      <c r="F47" s="65" t="str">
        <f>VLOOKUP(G47,ОКТМО!B:M,12,0)</f>
        <v>Якутск</v>
      </c>
      <c r="G47" s="65">
        <v>98701000001</v>
      </c>
      <c r="H47" s="65">
        <v>2</v>
      </c>
      <c r="I47" s="65">
        <v>20</v>
      </c>
      <c r="J47" s="65">
        <v>2250</v>
      </c>
      <c r="K47" s="65">
        <f t="shared" si="0"/>
        <v>90000</v>
      </c>
      <c r="L47" s="65" t="s">
        <v>535</v>
      </c>
      <c r="N47" s="65" t="s">
        <v>6733</v>
      </c>
      <c r="O47" s="65" t="s">
        <v>6734</v>
      </c>
      <c r="P47" s="65" t="s">
        <v>6742</v>
      </c>
      <c r="Q47" s="65" t="s">
        <v>6700</v>
      </c>
    </row>
    <row r="48" spans="1:17">
      <c r="A48" s="65">
        <v>46</v>
      </c>
      <c r="B48" s="65" t="str">
        <f>VLOOKUP(G48,ОКТМО!B:M,12,0)</f>
        <v>Якутск</v>
      </c>
      <c r="D48" s="65" t="s">
        <v>11</v>
      </c>
      <c r="E48" s="65" t="str">
        <f>VLOOKUP(G48,ОКТМО!B:M,6,0)</f>
        <v>Городской округ Город Якутск</v>
      </c>
      <c r="F48" s="65" t="str">
        <f>VLOOKUP(G48,ОКТМО!B:M,12,0)</f>
        <v>Якутск</v>
      </c>
      <c r="G48" s="65">
        <v>98701000001</v>
      </c>
      <c r="H48" s="65">
        <v>3</v>
      </c>
      <c r="I48" s="65">
        <v>20</v>
      </c>
      <c r="J48" s="65">
        <v>1500</v>
      </c>
      <c r="K48" s="65">
        <f t="shared" si="0"/>
        <v>90000</v>
      </c>
      <c r="L48" s="65" t="s">
        <v>535</v>
      </c>
      <c r="N48" s="65" t="s">
        <v>6735</v>
      </c>
      <c r="O48" s="65" t="s">
        <v>6736</v>
      </c>
      <c r="P48" s="65" t="s">
        <v>6741</v>
      </c>
      <c r="Q48" s="65" t="s">
        <v>6700</v>
      </c>
    </row>
    <row r="49" spans="1:17">
      <c r="A49" s="65">
        <v>47</v>
      </c>
      <c r="B49" s="65" t="str">
        <f>VLOOKUP(G49,ОКТМО!B:M,12,0)</f>
        <v>Якутск</v>
      </c>
      <c r="D49" s="65" t="s">
        <v>11</v>
      </c>
      <c r="E49" s="65" t="str">
        <f>VLOOKUP(G49,ОКТМО!B:M,6,0)</f>
        <v>Городской округ Город Якутск</v>
      </c>
      <c r="F49" s="65" t="str">
        <f>VLOOKUP(G49,ОКТМО!B:M,12,0)</f>
        <v>Якутск</v>
      </c>
      <c r="G49" s="65">
        <v>98701000001</v>
      </c>
      <c r="H49" s="65" t="s">
        <v>535</v>
      </c>
      <c r="I49" s="65" t="s">
        <v>535</v>
      </c>
      <c r="J49" s="65">
        <v>8000</v>
      </c>
      <c r="K49" s="65" t="s">
        <v>535</v>
      </c>
      <c r="L49" s="77" t="s">
        <v>6732</v>
      </c>
      <c r="N49" s="65" t="s">
        <v>6737</v>
      </c>
      <c r="O49" s="65" t="s">
        <v>6738</v>
      </c>
      <c r="P49" s="65" t="s">
        <v>6741</v>
      </c>
      <c r="Q49" s="65" t="s">
        <v>6700</v>
      </c>
    </row>
    <row r="50" spans="1:17">
      <c r="A50" s="65">
        <v>48</v>
      </c>
      <c r="B50" s="65" t="str">
        <f>VLOOKUP(G50,ОКТМО!B:M,12,0)</f>
        <v>Якутск</v>
      </c>
      <c r="D50" s="65" t="s">
        <v>11</v>
      </c>
      <c r="E50" s="65" t="str">
        <f>VLOOKUP(G50,ОКТМО!B:M,6,0)</f>
        <v>Городской округ Город Якутск</v>
      </c>
      <c r="F50" s="65" t="str">
        <f>VLOOKUP(G50,ОКТМО!B:M,12,0)</f>
        <v>Якутск</v>
      </c>
      <c r="G50" s="65">
        <v>98701000001</v>
      </c>
      <c r="H50" s="65">
        <v>2</v>
      </c>
      <c r="I50" s="65">
        <v>20</v>
      </c>
      <c r="J50" s="65">
        <v>2000</v>
      </c>
      <c r="K50" s="65">
        <f t="shared" ref="K50" si="1">I50*J50*H50</f>
        <v>80000</v>
      </c>
      <c r="L50" s="65" t="s">
        <v>535</v>
      </c>
      <c r="N50" s="65" t="s">
        <v>6739</v>
      </c>
      <c r="O50" s="65" t="s">
        <v>6740</v>
      </c>
      <c r="P50" s="65" t="s">
        <v>6741</v>
      </c>
      <c r="Q50" s="65" t="s">
        <v>6700</v>
      </c>
    </row>
    <row r="51" spans="1:17">
      <c r="A51" s="65">
        <v>49</v>
      </c>
      <c r="B51" s="65" t="str">
        <f>VLOOKUP(G51,ОКТМО!B:M,12,0)</f>
        <v>Ымыяхтах</v>
      </c>
      <c r="D51" s="65" t="s">
        <v>11</v>
      </c>
      <c r="E51" s="65" t="str">
        <f>VLOOKUP(G51,ОКТМО!B:M,6,0)</f>
        <v>Намский муниципальный район</v>
      </c>
      <c r="F51" s="65" t="str">
        <f>VLOOKUP(G51,ОКТМО!B:M,12,0)</f>
        <v>Ымыяхтах</v>
      </c>
      <c r="G51" s="65">
        <v>98635415101</v>
      </c>
      <c r="H51" s="65">
        <v>3</v>
      </c>
      <c r="I51" s="65">
        <v>20</v>
      </c>
      <c r="J51" s="65">
        <v>3500</v>
      </c>
      <c r="K51" s="65">
        <f t="shared" si="0"/>
        <v>210000</v>
      </c>
      <c r="L51" s="65" t="s">
        <v>535</v>
      </c>
      <c r="N51" s="65" t="s">
        <v>6743</v>
      </c>
      <c r="O51" s="65" t="s">
        <v>6744</v>
      </c>
      <c r="P51" s="65" t="s">
        <v>6751</v>
      </c>
      <c r="Q51" s="65" t="s">
        <v>6700</v>
      </c>
    </row>
    <row r="52" spans="1:17">
      <c r="A52" s="65">
        <v>50</v>
      </c>
      <c r="B52" s="65" t="str">
        <f>VLOOKUP(G52,ОКТМО!B:M,12,0)</f>
        <v>Ымыяхтах</v>
      </c>
      <c r="D52" s="65" t="s">
        <v>11</v>
      </c>
      <c r="E52" s="65" t="str">
        <f>VLOOKUP(G52,ОКТМО!B:M,6,0)</f>
        <v>Намский муниципальный район</v>
      </c>
      <c r="F52" s="65" t="str">
        <f>VLOOKUP(G52,ОКТМО!B:M,12,0)</f>
        <v>Ымыяхтах</v>
      </c>
      <c r="G52" s="65">
        <v>98635415101</v>
      </c>
      <c r="H52" s="65" t="s">
        <v>535</v>
      </c>
      <c r="I52" s="65" t="s">
        <v>535</v>
      </c>
      <c r="J52" s="65">
        <v>5000</v>
      </c>
      <c r="K52" s="65" t="s">
        <v>535</v>
      </c>
      <c r="L52" s="77" t="s">
        <v>6732</v>
      </c>
      <c r="N52" s="65" t="s">
        <v>6745</v>
      </c>
      <c r="O52" s="65" t="s">
        <v>6746</v>
      </c>
      <c r="P52" s="65" t="s">
        <v>6751</v>
      </c>
      <c r="Q52" s="65" t="s">
        <v>6700</v>
      </c>
    </row>
    <row r="53" spans="1:17">
      <c r="A53" s="65">
        <v>51</v>
      </c>
      <c r="B53" s="65" t="str">
        <f>VLOOKUP(G53,ОКТМО!B:M,12,0)</f>
        <v>Ымыяхтах</v>
      </c>
      <c r="D53" s="65" t="s">
        <v>11</v>
      </c>
      <c r="E53" s="65" t="str">
        <f>VLOOKUP(G53,ОКТМО!B:M,6,0)</f>
        <v>Намский муниципальный район</v>
      </c>
      <c r="F53" s="65" t="str">
        <f>VLOOKUP(G53,ОКТМО!B:M,12,0)</f>
        <v>Ымыяхтах</v>
      </c>
      <c r="G53" s="65">
        <v>98635415101</v>
      </c>
      <c r="H53" s="65" t="s">
        <v>535</v>
      </c>
      <c r="I53" s="65" t="s">
        <v>535</v>
      </c>
      <c r="J53" s="65">
        <v>8000</v>
      </c>
      <c r="K53" s="65" t="s">
        <v>535</v>
      </c>
      <c r="L53" s="77" t="s">
        <v>6732</v>
      </c>
      <c r="N53" s="65" t="s">
        <v>6747</v>
      </c>
      <c r="O53" s="65" t="s">
        <v>6748</v>
      </c>
      <c r="P53" s="65" t="s">
        <v>6753</v>
      </c>
      <c r="Q53" s="65" t="s">
        <v>6700</v>
      </c>
    </row>
    <row r="54" spans="1:17">
      <c r="A54" s="65">
        <v>52</v>
      </c>
      <c r="B54" s="65" t="str">
        <f>VLOOKUP(G54,ОКТМО!B:M,12,0)</f>
        <v>Ымыяхтах</v>
      </c>
      <c r="D54" s="65" t="s">
        <v>11</v>
      </c>
      <c r="E54" s="65" t="str">
        <f>VLOOKUP(G54,ОКТМО!B:M,6,0)</f>
        <v>Намский муниципальный район</v>
      </c>
      <c r="F54" s="65" t="str">
        <f>VLOOKUP(G54,ОКТМО!B:M,12,0)</f>
        <v>Ымыяхтах</v>
      </c>
      <c r="G54" s="65">
        <v>98635415101</v>
      </c>
      <c r="H54" s="65">
        <v>3</v>
      </c>
      <c r="I54" s="65">
        <v>20</v>
      </c>
      <c r="J54" s="65">
        <v>1000</v>
      </c>
      <c r="K54" s="65">
        <f t="shared" si="0"/>
        <v>60000</v>
      </c>
      <c r="L54" s="65" t="s">
        <v>535</v>
      </c>
      <c r="N54" s="65" t="s">
        <v>6749</v>
      </c>
      <c r="O54" s="65" t="s">
        <v>6750</v>
      </c>
      <c r="P54" s="65" t="s">
        <v>6752</v>
      </c>
      <c r="Q54" s="65" t="s">
        <v>6700</v>
      </c>
    </row>
    <row r="55" spans="1:17">
      <c r="A55" s="65">
        <v>53</v>
      </c>
      <c r="B55" s="65" t="str">
        <f>VLOOKUP(G55,ОКТМО!B:M,12,0)</f>
        <v>Партизан</v>
      </c>
      <c r="D55" s="65" t="s">
        <v>11</v>
      </c>
      <c r="E55" s="65" t="str">
        <f>VLOOKUP(G55,ОКТМО!B:M,6,0)</f>
        <v>Намский муниципальный район</v>
      </c>
      <c r="F55" s="65" t="str">
        <f>VLOOKUP(G55,ОКТМО!B:M,12,0)</f>
        <v>Партизан</v>
      </c>
      <c r="G55" s="65">
        <v>98635435101</v>
      </c>
      <c r="H55" s="65">
        <v>3</v>
      </c>
      <c r="I55" s="65">
        <v>20</v>
      </c>
      <c r="J55" s="65">
        <v>4500</v>
      </c>
      <c r="K55" s="65">
        <f t="shared" si="0"/>
        <v>270000</v>
      </c>
      <c r="L55" s="65" t="s">
        <v>535</v>
      </c>
      <c r="N55" s="65" t="s">
        <v>6755</v>
      </c>
      <c r="O55" s="65" t="s">
        <v>6756</v>
      </c>
      <c r="P55" s="65" t="s">
        <v>6754</v>
      </c>
      <c r="Q55" s="65" t="s">
        <v>6700</v>
      </c>
    </row>
    <row r="56" spans="1:17">
      <c r="A56" s="65">
        <v>54</v>
      </c>
      <c r="B56" s="65" t="str">
        <f>VLOOKUP(G56,ОКТМО!B:M,12,0)</f>
        <v>Партизан</v>
      </c>
      <c r="D56" s="65" t="s">
        <v>11</v>
      </c>
      <c r="E56" s="65" t="str">
        <f>VLOOKUP(G56,ОКТМО!B:M,6,0)</f>
        <v>Намский муниципальный район</v>
      </c>
      <c r="F56" s="65" t="str">
        <f>VLOOKUP(G56,ОКТМО!B:M,12,0)</f>
        <v>Партизан</v>
      </c>
      <c r="G56" s="65">
        <v>98635435101</v>
      </c>
      <c r="H56" s="65" t="s">
        <v>535</v>
      </c>
      <c r="I56" s="65" t="s">
        <v>535</v>
      </c>
      <c r="J56" s="65">
        <v>6000</v>
      </c>
      <c r="K56" s="65" t="s">
        <v>535</v>
      </c>
      <c r="L56" s="77" t="s">
        <v>6732</v>
      </c>
      <c r="N56" s="65" t="s">
        <v>6757</v>
      </c>
      <c r="O56" s="65" t="s">
        <v>6758</v>
      </c>
      <c r="P56" s="65" t="s">
        <v>6759</v>
      </c>
      <c r="Q56" s="65" t="s">
        <v>6700</v>
      </c>
    </row>
    <row r="57" spans="1:17">
      <c r="A57" s="65">
        <v>55</v>
      </c>
      <c r="B57" s="65" t="str">
        <f>VLOOKUP(G57,ОКТМО!B:M,12,0)</f>
        <v>Партизан</v>
      </c>
      <c r="D57" s="65" t="s">
        <v>11</v>
      </c>
      <c r="E57" s="65" t="str">
        <f>VLOOKUP(G57,ОКТМО!B:M,6,0)</f>
        <v>Намский муниципальный район</v>
      </c>
      <c r="F57" s="65" t="str">
        <f>VLOOKUP(G57,ОКТМО!B:M,12,0)</f>
        <v>Партизан</v>
      </c>
      <c r="G57" s="65">
        <v>98635435101</v>
      </c>
      <c r="H57" s="65">
        <v>3</v>
      </c>
      <c r="I57" s="65">
        <v>20</v>
      </c>
      <c r="J57" s="65">
        <v>1000</v>
      </c>
      <c r="K57" s="65">
        <f t="shared" si="0"/>
        <v>60000</v>
      </c>
      <c r="L57" s="65" t="s">
        <v>535</v>
      </c>
      <c r="N57" s="65" t="s">
        <v>6760</v>
      </c>
      <c r="O57" s="65" t="s">
        <v>6761</v>
      </c>
      <c r="P57" s="65" t="s">
        <v>6766</v>
      </c>
      <c r="Q57" s="65" t="s">
        <v>6700</v>
      </c>
    </row>
    <row r="58" spans="1:17">
      <c r="A58" s="65">
        <v>56</v>
      </c>
      <c r="B58" s="65" t="str">
        <f>VLOOKUP(G58,ОКТМО!B:M,12,0)</f>
        <v>Партизан</v>
      </c>
      <c r="D58" s="65" t="s">
        <v>11</v>
      </c>
      <c r="E58" s="65" t="str">
        <f>VLOOKUP(G58,ОКТМО!B:M,6,0)</f>
        <v>Намский муниципальный район</v>
      </c>
      <c r="F58" s="65" t="str">
        <f>VLOOKUP(G58,ОКТМО!B:M,12,0)</f>
        <v>Партизан</v>
      </c>
      <c r="G58" s="65">
        <v>98635435101</v>
      </c>
      <c r="H58" s="65" t="s">
        <v>535</v>
      </c>
      <c r="I58" s="65" t="s">
        <v>535</v>
      </c>
      <c r="J58" s="65">
        <v>4000</v>
      </c>
      <c r="K58" s="65" t="s">
        <v>535</v>
      </c>
      <c r="L58" s="77" t="s">
        <v>6732</v>
      </c>
      <c r="N58" s="65" t="s">
        <v>6762</v>
      </c>
      <c r="O58" s="65" t="s">
        <v>6763</v>
      </c>
      <c r="P58" s="65" t="s">
        <v>6766</v>
      </c>
      <c r="Q58" s="65" t="s">
        <v>6700</v>
      </c>
    </row>
    <row r="59" spans="1:17">
      <c r="A59" s="65">
        <v>57</v>
      </c>
      <c r="B59" s="65" t="str">
        <f>VLOOKUP(G59,ОКТМО!B:M,12,0)</f>
        <v>Партизан</v>
      </c>
      <c r="D59" s="65" t="s">
        <v>11</v>
      </c>
      <c r="E59" s="65" t="str">
        <f>VLOOKUP(G59,ОКТМО!B:M,6,0)</f>
        <v>Намский муниципальный район</v>
      </c>
      <c r="F59" s="65" t="str">
        <f>VLOOKUP(G59,ОКТМО!B:M,12,0)</f>
        <v>Партизан</v>
      </c>
      <c r="G59" s="65">
        <v>98635435101</v>
      </c>
      <c r="H59" s="65">
        <v>3</v>
      </c>
      <c r="I59" s="65">
        <v>20</v>
      </c>
      <c r="J59" s="65">
        <v>3000</v>
      </c>
      <c r="K59" s="65">
        <f t="shared" si="0"/>
        <v>180000</v>
      </c>
      <c r="L59" s="65" t="s">
        <v>535</v>
      </c>
      <c r="N59" s="65" t="s">
        <v>6764</v>
      </c>
      <c r="O59" s="65" t="s">
        <v>6765</v>
      </c>
      <c r="P59" s="65" t="s">
        <v>6766</v>
      </c>
      <c r="Q59" s="65" t="s">
        <v>6700</v>
      </c>
    </row>
    <row r="60" spans="1:17">
      <c r="A60" s="65">
        <v>58</v>
      </c>
      <c r="B60" s="65" t="str">
        <f>VLOOKUP(G60,ОКТМО!B:M,12,0)</f>
        <v>Намцы</v>
      </c>
      <c r="D60" s="65" t="s">
        <v>11</v>
      </c>
      <c r="E60" s="65" t="str">
        <f>VLOOKUP(G60,ОКТМО!B:M,6,0)</f>
        <v>Намский муниципальный район</v>
      </c>
      <c r="F60" s="65" t="str">
        <f>VLOOKUP(G60,ОКТМО!B:M,12,0)</f>
        <v>Намцы</v>
      </c>
      <c r="G60" s="65">
        <v>98635425101</v>
      </c>
      <c r="H60" s="65" t="s">
        <v>535</v>
      </c>
      <c r="I60" s="65" t="s">
        <v>535</v>
      </c>
      <c r="J60" s="65">
        <v>10000</v>
      </c>
      <c r="K60" s="65" t="s">
        <v>535</v>
      </c>
      <c r="L60" s="77" t="s">
        <v>6732</v>
      </c>
      <c r="N60" s="65" t="s">
        <v>6767</v>
      </c>
      <c r="O60" s="65" t="s">
        <v>6768</v>
      </c>
      <c r="P60" s="65" t="s">
        <v>6769</v>
      </c>
      <c r="Q60" s="65" t="s">
        <v>6700</v>
      </c>
    </row>
    <row r="61" spans="1:17">
      <c r="A61" s="65">
        <v>59</v>
      </c>
      <c r="B61" s="65" t="str">
        <f>VLOOKUP(G61,ОКТМО!B:M,12,0)</f>
        <v>Намцы</v>
      </c>
      <c r="D61" s="65" t="s">
        <v>11</v>
      </c>
      <c r="E61" s="65" t="str">
        <f>VLOOKUP(G61,ОКТМО!B:M,6,0)</f>
        <v>Намский муниципальный район</v>
      </c>
      <c r="F61" s="65" t="str">
        <f>VLOOKUP(G61,ОКТМО!B:M,12,0)</f>
        <v>Намцы</v>
      </c>
      <c r="G61" s="65">
        <v>98635425101</v>
      </c>
      <c r="H61" s="65">
        <v>3</v>
      </c>
      <c r="I61" s="65">
        <v>20</v>
      </c>
      <c r="J61" s="65">
        <v>5000</v>
      </c>
      <c r="K61" s="65">
        <f t="shared" si="0"/>
        <v>300000</v>
      </c>
      <c r="L61" s="65" t="s">
        <v>535</v>
      </c>
      <c r="N61" s="65" t="s">
        <v>6770</v>
      </c>
      <c r="O61" s="65" t="s">
        <v>6771</v>
      </c>
      <c r="P61" s="65" t="s">
        <v>6769</v>
      </c>
      <c r="Q61" s="65" t="s">
        <v>6700</v>
      </c>
    </row>
    <row r="62" spans="1:17">
      <c r="A62" s="65">
        <v>60</v>
      </c>
      <c r="B62" s="65" t="str">
        <f>VLOOKUP(G62,ОКТМО!B:M,12,0)</f>
        <v>Графский Берег</v>
      </c>
      <c r="D62" s="65" t="s">
        <v>11</v>
      </c>
      <c r="E62" s="65" t="str">
        <f>VLOOKUP(G62,ОКТМО!B:M,6,0)</f>
        <v>Намский муниципальный район</v>
      </c>
      <c r="F62" s="65" t="str">
        <f>VLOOKUP(G62,ОКТМО!B:M,12,0)</f>
        <v>Графский Берег</v>
      </c>
      <c r="G62" s="65">
        <v>98635455106</v>
      </c>
      <c r="H62" s="65">
        <v>3</v>
      </c>
      <c r="I62" s="65">
        <v>20</v>
      </c>
      <c r="J62" s="65">
        <v>3000</v>
      </c>
      <c r="K62" s="65">
        <f t="shared" si="0"/>
        <v>180000</v>
      </c>
      <c r="L62" s="65" t="s">
        <v>535</v>
      </c>
      <c r="N62" s="65" t="s">
        <v>6773</v>
      </c>
      <c r="O62" s="65" t="s">
        <v>6774</v>
      </c>
      <c r="P62" s="65" t="s">
        <v>6772</v>
      </c>
      <c r="Q62" s="65" t="s">
        <v>6700</v>
      </c>
    </row>
    <row r="63" spans="1:17">
      <c r="A63" s="65">
        <v>61</v>
      </c>
      <c r="B63" s="65" t="str">
        <f>VLOOKUP(G63,ОКТМО!B:M,12,0)</f>
        <v>Графский Берег</v>
      </c>
      <c r="D63" s="65" t="s">
        <v>11</v>
      </c>
      <c r="E63" s="65" t="str">
        <f>VLOOKUP(G63,ОКТМО!B:M,6,0)</f>
        <v>Намский муниципальный район</v>
      </c>
      <c r="F63" s="65" t="str">
        <f>VLOOKUP(G63,ОКТМО!B:M,12,0)</f>
        <v>Графский Берег</v>
      </c>
      <c r="G63" s="65">
        <v>98635455106</v>
      </c>
      <c r="H63" s="65">
        <v>3</v>
      </c>
      <c r="I63" s="65">
        <v>20</v>
      </c>
      <c r="J63" s="65">
        <v>2000</v>
      </c>
      <c r="K63" s="65">
        <f t="shared" si="0"/>
        <v>120000</v>
      </c>
      <c r="L63" s="65" t="s">
        <v>535</v>
      </c>
      <c r="N63" s="65" t="s">
        <v>6775</v>
      </c>
      <c r="O63" s="65" t="s">
        <v>6776</v>
      </c>
      <c r="P63" s="65" t="s">
        <v>6777</v>
      </c>
      <c r="Q63" s="65" t="s">
        <v>6700</v>
      </c>
    </row>
    <row r="64" spans="1:17">
      <c r="A64" s="65">
        <v>62</v>
      </c>
      <c r="B64" s="65" t="str">
        <f>VLOOKUP(G64,ОКТМО!B:M,12,0)</f>
        <v>Сангар</v>
      </c>
      <c r="D64" s="65" t="s">
        <v>11</v>
      </c>
      <c r="E64" s="65" t="str">
        <f>VLOOKUP(G64,ОКТМО!B:M,6,0)</f>
        <v>Кобяйский муниципальный район</v>
      </c>
      <c r="F64" s="65" t="str">
        <f>VLOOKUP(G64,ОКТМО!B:M,12,0)</f>
        <v>Сангар</v>
      </c>
      <c r="G64" s="65">
        <v>98624151051</v>
      </c>
      <c r="H64" s="65">
        <v>3</v>
      </c>
      <c r="I64" s="65">
        <v>20</v>
      </c>
      <c r="J64" s="65">
        <v>2000</v>
      </c>
      <c r="K64" s="65">
        <f t="shared" si="0"/>
        <v>120000</v>
      </c>
      <c r="L64" s="65" t="s">
        <v>535</v>
      </c>
      <c r="N64" s="65" t="s">
        <v>6780</v>
      </c>
      <c r="O64" s="65" t="s">
        <v>6781</v>
      </c>
      <c r="P64" s="65" t="s">
        <v>6782</v>
      </c>
      <c r="Q64" s="65" t="s">
        <v>6700</v>
      </c>
    </row>
    <row r="65" spans="1:17">
      <c r="A65" s="65">
        <v>63</v>
      </c>
      <c r="B65" s="65" t="str">
        <f>VLOOKUP(G65,ОКТМО!B:M,12,0)</f>
        <v>Сангар</v>
      </c>
      <c r="D65" s="65" t="s">
        <v>11</v>
      </c>
      <c r="E65" s="65" t="str">
        <f>VLOOKUP(G65,ОКТМО!B:M,6,0)</f>
        <v>Кобяйский муниципальный район</v>
      </c>
      <c r="F65" s="65" t="str">
        <f>VLOOKUP(G65,ОКТМО!B:M,12,0)</f>
        <v>Сангар</v>
      </c>
      <c r="G65" s="65">
        <v>98624151051</v>
      </c>
      <c r="H65" s="65">
        <v>3</v>
      </c>
      <c r="I65" s="65">
        <v>20</v>
      </c>
      <c r="J65" s="65">
        <v>2000</v>
      </c>
      <c r="K65" s="65">
        <f t="shared" si="0"/>
        <v>120000</v>
      </c>
      <c r="L65" s="65" t="s">
        <v>535</v>
      </c>
      <c r="N65" s="65" t="s">
        <v>6778</v>
      </c>
      <c r="O65" s="65" t="s">
        <v>6779</v>
      </c>
      <c r="P65" s="65" t="s">
        <v>6782</v>
      </c>
      <c r="Q65" s="65" t="s">
        <v>6700</v>
      </c>
    </row>
    <row r="66" spans="1:17">
      <c r="A66" s="65">
        <v>64</v>
      </c>
      <c r="B66" s="65" t="str">
        <f>VLOOKUP(G66,ОКТМО!B:M,12,0)</f>
        <v>Сангар</v>
      </c>
      <c r="D66" s="65" t="s">
        <v>11</v>
      </c>
      <c r="E66" s="65" t="str">
        <f>VLOOKUP(G66,ОКТМО!B:M,6,0)</f>
        <v>Кобяйский муниципальный район</v>
      </c>
      <c r="F66" s="65" t="str">
        <f>VLOOKUP(G66,ОКТМО!B:M,12,0)</f>
        <v>Сангар</v>
      </c>
      <c r="G66" s="65">
        <v>98624151051</v>
      </c>
      <c r="H66" s="65">
        <v>3</v>
      </c>
      <c r="I66" s="65">
        <v>20</v>
      </c>
      <c r="J66" s="65">
        <v>2000</v>
      </c>
      <c r="K66" s="65">
        <f t="shared" si="0"/>
        <v>120000</v>
      </c>
      <c r="L66" s="65" t="s">
        <v>535</v>
      </c>
      <c r="N66" s="65" t="s">
        <v>6783</v>
      </c>
      <c r="O66" s="65" t="s">
        <v>6784</v>
      </c>
      <c r="P66" s="65" t="s">
        <v>6785</v>
      </c>
      <c r="Q66" s="65" t="s">
        <v>6700</v>
      </c>
    </row>
    <row r="67" spans="1:17">
      <c r="A67" s="65">
        <v>65</v>
      </c>
      <c r="B67" s="65" t="str">
        <f>VLOOKUP(G67,ОКТМО!B:M,12,0)</f>
        <v>Сангар</v>
      </c>
      <c r="D67" s="65" t="s">
        <v>11</v>
      </c>
      <c r="E67" s="65" t="str">
        <f>VLOOKUP(G67,ОКТМО!B:M,6,0)</f>
        <v>Кобяйский муниципальный район</v>
      </c>
      <c r="F67" s="65" t="str">
        <f>VLOOKUP(G67,ОКТМО!B:M,12,0)</f>
        <v>Сангар</v>
      </c>
      <c r="G67" s="65">
        <v>98624151051</v>
      </c>
      <c r="H67" s="65">
        <v>3</v>
      </c>
      <c r="I67" s="65">
        <v>20</v>
      </c>
      <c r="J67" s="65">
        <v>2000</v>
      </c>
      <c r="K67" s="65">
        <f t="shared" si="0"/>
        <v>120000</v>
      </c>
      <c r="L67" s="65" t="s">
        <v>535</v>
      </c>
      <c r="N67" s="65" t="s">
        <v>6788</v>
      </c>
      <c r="O67" s="65" t="s">
        <v>6789</v>
      </c>
      <c r="P67" s="65" t="s">
        <v>6790</v>
      </c>
      <c r="Q67" s="65" t="s">
        <v>6700</v>
      </c>
    </row>
    <row r="68" spans="1:17">
      <c r="A68" s="65">
        <v>66</v>
      </c>
      <c r="B68" s="65" t="str">
        <f>VLOOKUP(G68,ОКТМО!B:M,12,0)</f>
        <v>Сангар</v>
      </c>
      <c r="D68" s="65" t="s">
        <v>11</v>
      </c>
      <c r="E68" s="65" t="str">
        <f>VLOOKUP(G68,ОКТМО!B:M,6,0)</f>
        <v>Кобяйский муниципальный район</v>
      </c>
      <c r="F68" s="65" t="str">
        <f>VLOOKUP(G68,ОКТМО!B:M,12,0)</f>
        <v>Сангар</v>
      </c>
      <c r="G68" s="65">
        <v>98624151051</v>
      </c>
      <c r="H68" s="65">
        <v>3</v>
      </c>
      <c r="I68" s="65">
        <v>20</v>
      </c>
      <c r="J68" s="65">
        <v>2000</v>
      </c>
      <c r="K68" s="65">
        <f t="shared" si="0"/>
        <v>120000</v>
      </c>
      <c r="L68" s="65" t="s">
        <v>535</v>
      </c>
      <c r="N68" s="65" t="s">
        <v>6786</v>
      </c>
      <c r="O68" s="65" t="s">
        <v>6787</v>
      </c>
      <c r="P68" s="252" t="s">
        <v>6791</v>
      </c>
      <c r="Q68" s="65" t="s">
        <v>6700</v>
      </c>
    </row>
    <row r="69" spans="1:17">
      <c r="A69" s="65">
        <v>67</v>
      </c>
      <c r="B69" s="65" t="str">
        <f>VLOOKUP(G69,ОКТМО!B:M,12,0)</f>
        <v>Зырянка</v>
      </c>
      <c r="D69" s="65" t="s">
        <v>666</v>
      </c>
      <c r="E69" s="65" t="str">
        <f>VLOOKUP(G69,ОКТМО!B:M,6,0)</f>
        <v>Верхнеколымский муниципальный район</v>
      </c>
      <c r="F69" s="65" t="str">
        <f>VLOOKUP(G69,ОКТМО!B:M,12,0)</f>
        <v>Зырянка</v>
      </c>
      <c r="G69" s="65">
        <v>98615151051</v>
      </c>
      <c r="H69" s="65">
        <v>2</v>
      </c>
      <c r="I69" s="65">
        <v>20</v>
      </c>
      <c r="J69" s="65">
        <v>1500</v>
      </c>
      <c r="K69" s="65">
        <f t="shared" si="0"/>
        <v>60000</v>
      </c>
      <c r="L69" s="65" t="s">
        <v>535</v>
      </c>
      <c r="N69" s="65" t="s">
        <v>6792</v>
      </c>
      <c r="O69" s="65" t="s">
        <v>6793</v>
      </c>
      <c r="P69" s="252" t="s">
        <v>6794</v>
      </c>
      <c r="Q69" s="65" t="s">
        <v>6700</v>
      </c>
    </row>
    <row r="70" spans="1:17">
      <c r="A70" s="65">
        <v>68</v>
      </c>
      <c r="B70" s="65" t="str">
        <f>VLOOKUP(G70,ОКТМО!B:M,12,0)</f>
        <v>Зырянка</v>
      </c>
      <c r="D70" s="65" t="s">
        <v>666</v>
      </c>
      <c r="E70" s="65" t="str">
        <f>VLOOKUP(G70,ОКТМО!B:M,6,0)</f>
        <v>Верхнеколымский муниципальный район</v>
      </c>
      <c r="F70" s="65" t="str">
        <f>VLOOKUP(G70,ОКТМО!B:M,12,0)</f>
        <v>Зырянка</v>
      </c>
      <c r="G70" s="65">
        <v>98615151051</v>
      </c>
      <c r="H70" s="65">
        <v>2</v>
      </c>
      <c r="I70" s="65">
        <v>20</v>
      </c>
      <c r="J70" s="65">
        <v>3000</v>
      </c>
      <c r="K70" s="65">
        <f t="shared" si="0"/>
        <v>120000</v>
      </c>
      <c r="L70" s="65" t="s">
        <v>535</v>
      </c>
      <c r="N70" s="65" t="s">
        <v>6796</v>
      </c>
      <c r="O70" s="65" t="s">
        <v>6797</v>
      </c>
      <c r="P70" s="65" t="s">
        <v>6795</v>
      </c>
      <c r="Q70" s="65" t="s">
        <v>6700</v>
      </c>
    </row>
    <row r="71" spans="1:17">
      <c r="A71" s="65">
        <v>69</v>
      </c>
      <c r="B71" s="65" t="str">
        <f>VLOOKUP(G71,ОКТМО!B:M,12,0)</f>
        <v>Зырянка</v>
      </c>
      <c r="D71" s="65" t="s">
        <v>697</v>
      </c>
      <c r="E71" s="65" t="str">
        <f>VLOOKUP(G71,ОКТМО!B:M,6,0)</f>
        <v>Верхнеколымский муниципальный район</v>
      </c>
      <c r="F71" s="65" t="str">
        <f>VLOOKUP(G71,ОКТМО!B:M,12,0)</f>
        <v>Зырянка</v>
      </c>
      <c r="G71" s="65">
        <v>98615151051</v>
      </c>
      <c r="H71" s="65">
        <v>1</v>
      </c>
      <c r="I71" s="65">
        <v>20</v>
      </c>
      <c r="J71" s="65">
        <v>2500</v>
      </c>
      <c r="K71" s="65">
        <f t="shared" si="0"/>
        <v>50000</v>
      </c>
      <c r="L71" s="65" t="s">
        <v>535</v>
      </c>
      <c r="N71" s="65" t="s">
        <v>6798</v>
      </c>
      <c r="O71" s="65" t="s">
        <v>6799</v>
      </c>
      <c r="P71" s="65" t="s">
        <v>6802</v>
      </c>
      <c r="Q71" s="65" t="s">
        <v>6700</v>
      </c>
    </row>
    <row r="72" spans="1:17">
      <c r="A72" s="65">
        <v>70</v>
      </c>
      <c r="B72" s="65" t="str">
        <f>VLOOKUP(G72,ОКТМО!B:M,12,0)</f>
        <v>Зырянка</v>
      </c>
      <c r="D72" s="65" t="s">
        <v>697</v>
      </c>
      <c r="E72" s="65" t="str">
        <f>VLOOKUP(G72,ОКТМО!B:M,6,0)</f>
        <v>Верхнеколымский муниципальный район</v>
      </c>
      <c r="F72" s="65" t="str">
        <f>VLOOKUP(G72,ОКТМО!B:M,12,0)</f>
        <v>Зырянка</v>
      </c>
      <c r="G72" s="65">
        <v>98615151051</v>
      </c>
      <c r="H72" s="65">
        <v>2</v>
      </c>
      <c r="I72" s="65">
        <v>20</v>
      </c>
      <c r="J72" s="65">
        <v>2000</v>
      </c>
      <c r="K72" s="65">
        <f t="shared" ref="K72:K77" si="2">I72*J72*H72</f>
        <v>80000</v>
      </c>
      <c r="L72" s="65" t="s">
        <v>535</v>
      </c>
      <c r="N72" s="65" t="s">
        <v>6800</v>
      </c>
      <c r="O72" s="65" t="s">
        <v>6801</v>
      </c>
      <c r="P72" s="65" t="s">
        <v>6803</v>
      </c>
      <c r="Q72" s="65" t="s">
        <v>6700</v>
      </c>
    </row>
    <row r="73" spans="1:17">
      <c r="A73" s="65">
        <v>71</v>
      </c>
      <c r="B73" s="65" t="str">
        <f>VLOOKUP(G73,ОКТМО!B:M,12,0)</f>
        <v>Среднеколымск</v>
      </c>
      <c r="D73" s="65" t="s">
        <v>666</v>
      </c>
      <c r="E73" s="65" t="str">
        <f>VLOOKUP(G73,ОКТМО!B:M,6,0)</f>
        <v>Среднеколымский муниципальный район</v>
      </c>
      <c r="F73" s="65" t="str">
        <f>VLOOKUP(G73,ОКТМО!B:M,12,0)</f>
        <v>Среднеколымск</v>
      </c>
      <c r="G73" s="65">
        <v>98646101001</v>
      </c>
      <c r="H73" s="65">
        <v>2</v>
      </c>
      <c r="I73" s="65">
        <v>20</v>
      </c>
      <c r="J73" s="65">
        <v>2500</v>
      </c>
      <c r="K73" s="65">
        <f t="shared" si="2"/>
        <v>100000</v>
      </c>
      <c r="L73" s="65" t="s">
        <v>535</v>
      </c>
      <c r="N73" s="65" t="s">
        <v>6805</v>
      </c>
      <c r="O73" s="65" t="s">
        <v>6806</v>
      </c>
      <c r="P73" s="252" t="s">
        <v>6804</v>
      </c>
      <c r="Q73" s="65" t="s">
        <v>6700</v>
      </c>
    </row>
    <row r="74" spans="1:17">
      <c r="A74" s="65">
        <v>72</v>
      </c>
      <c r="B74" s="65" t="str">
        <f>VLOOKUP(G74,ОКТМО!B:M,12,0)</f>
        <v>Среднеколымск</v>
      </c>
      <c r="D74" s="65" t="s">
        <v>666</v>
      </c>
      <c r="E74" s="65" t="str">
        <f>VLOOKUP(G74,ОКТМО!B:M,6,0)</f>
        <v>Среднеколымский муниципальный район</v>
      </c>
      <c r="F74" s="65" t="str">
        <f>VLOOKUP(G74,ОКТМО!B:M,12,0)</f>
        <v>Среднеколымск</v>
      </c>
      <c r="G74" s="65">
        <v>98646101001</v>
      </c>
      <c r="H74" s="65">
        <v>2</v>
      </c>
      <c r="I74" s="65">
        <v>20</v>
      </c>
      <c r="J74" s="65">
        <v>2750</v>
      </c>
      <c r="K74" s="65">
        <f t="shared" si="2"/>
        <v>110000</v>
      </c>
      <c r="L74" s="65" t="s">
        <v>535</v>
      </c>
      <c r="N74" s="65" t="s">
        <v>6810</v>
      </c>
      <c r="O74" s="65" t="s">
        <v>6811</v>
      </c>
      <c r="P74" s="65" t="s">
        <v>6807</v>
      </c>
      <c r="Q74" s="65" t="s">
        <v>6700</v>
      </c>
    </row>
    <row r="75" spans="1:17">
      <c r="A75" s="65">
        <v>73</v>
      </c>
      <c r="B75" s="65" t="str">
        <f>VLOOKUP(G75,ОКТМО!B:M,12,0)</f>
        <v>Среднеколымск</v>
      </c>
      <c r="D75" s="65" t="s">
        <v>666</v>
      </c>
      <c r="E75" s="65" t="str">
        <f>VLOOKUP(G75,ОКТМО!B:M,6,0)</f>
        <v>Среднеколымский муниципальный район</v>
      </c>
      <c r="F75" s="65" t="str">
        <f>VLOOKUP(G75,ОКТМО!B:M,12,0)</f>
        <v>Среднеколымск</v>
      </c>
      <c r="G75" s="65">
        <v>98646101001</v>
      </c>
      <c r="H75" s="65">
        <v>2</v>
      </c>
      <c r="I75" s="65">
        <v>20</v>
      </c>
      <c r="J75" s="65">
        <v>1000</v>
      </c>
      <c r="K75" s="65">
        <f t="shared" si="2"/>
        <v>40000</v>
      </c>
      <c r="L75" s="65" t="s">
        <v>535</v>
      </c>
      <c r="N75" s="65" t="s">
        <v>6808</v>
      </c>
      <c r="O75" s="65" t="s">
        <v>6809</v>
      </c>
      <c r="P75" s="65" t="s">
        <v>6807</v>
      </c>
      <c r="Q75" s="65" t="s">
        <v>6700</v>
      </c>
    </row>
    <row r="76" spans="1:17">
      <c r="A76" s="65">
        <v>74</v>
      </c>
      <c r="B76" s="65" t="str">
        <f>VLOOKUP(G76,ОКТМО!B:M,12,0)</f>
        <v>Среднеколымск</v>
      </c>
      <c r="D76" s="65" t="s">
        <v>666</v>
      </c>
      <c r="E76" s="65" t="str">
        <f>VLOOKUP(G76,ОКТМО!B:M,6,0)</f>
        <v>Среднеколымский муниципальный район</v>
      </c>
      <c r="F76" s="65" t="str">
        <f>VLOOKUP(G76,ОКТМО!B:M,12,0)</f>
        <v>Среднеколымск</v>
      </c>
      <c r="G76" s="65">
        <v>98646101001</v>
      </c>
      <c r="H76" s="65">
        <v>2</v>
      </c>
      <c r="I76" s="65">
        <v>20</v>
      </c>
      <c r="J76" s="65">
        <v>2000</v>
      </c>
      <c r="K76" s="65">
        <f t="shared" si="2"/>
        <v>80000</v>
      </c>
      <c r="L76" s="65" t="s">
        <v>535</v>
      </c>
      <c r="N76" s="65" t="s">
        <v>6816</v>
      </c>
      <c r="O76" s="65" t="s">
        <v>6817</v>
      </c>
      <c r="P76" s="65" t="s">
        <v>6812</v>
      </c>
      <c r="Q76" s="65" t="s">
        <v>6700</v>
      </c>
    </row>
    <row r="77" spans="1:17">
      <c r="A77" s="65">
        <v>75</v>
      </c>
      <c r="B77" s="65" t="str">
        <f>VLOOKUP(G77,ОКТМО!B:M,12,0)</f>
        <v>Среднеколымск</v>
      </c>
      <c r="D77" s="65" t="s">
        <v>666</v>
      </c>
      <c r="E77" s="65" t="str">
        <f>VLOOKUP(G77,ОКТМО!B:M,6,0)</f>
        <v>Среднеколымский муниципальный район</v>
      </c>
      <c r="F77" s="65" t="str">
        <f>VLOOKUP(G77,ОКТМО!B:M,12,0)</f>
        <v>Среднеколымск</v>
      </c>
      <c r="G77" s="65">
        <v>98646101001</v>
      </c>
      <c r="H77" s="65">
        <v>2</v>
      </c>
      <c r="I77" s="65">
        <v>20</v>
      </c>
      <c r="J77" s="65">
        <v>2000</v>
      </c>
      <c r="K77" s="65">
        <f t="shared" si="2"/>
        <v>80000</v>
      </c>
      <c r="L77" s="65" t="s">
        <v>535</v>
      </c>
      <c r="N77" s="65" t="s">
        <v>6814</v>
      </c>
      <c r="O77" s="65" t="s">
        <v>6815</v>
      </c>
      <c r="P77" s="65" t="s">
        <v>6813</v>
      </c>
      <c r="Q77" s="65" t="s">
        <v>6700</v>
      </c>
    </row>
  </sheetData>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A9E8-E0D4-4A0A-A49F-589101280D12}">
  <sheetPr>
    <tabColor rgb="FF92D050"/>
  </sheetPr>
  <dimension ref="A1:L735"/>
  <sheetViews>
    <sheetView zoomScale="85" zoomScaleNormal="85" workbookViewId="0">
      <selection activeCell="A2" sqref="A2:K735"/>
    </sheetView>
  </sheetViews>
  <sheetFormatPr defaultRowHeight="15"/>
  <cols>
    <col min="1" max="1" width="8.28515625" style="93" bestFit="1" customWidth="1"/>
    <col min="2" max="2" width="53.28515625" style="160" customWidth="1"/>
    <col min="3" max="3" width="136.140625" style="98" customWidth="1"/>
    <col min="4" max="4" width="18.28515625" style="93" bestFit="1" customWidth="1"/>
    <col min="5" max="5" width="12.85546875" style="98" customWidth="1"/>
    <col min="6" max="6" width="13.85546875" style="98" bestFit="1" customWidth="1"/>
    <col min="7" max="7" width="14.42578125" style="98" bestFit="1" customWidth="1"/>
    <col min="8" max="8" width="13.140625" style="98" bestFit="1" customWidth="1"/>
    <col min="9" max="9" width="17" style="93" bestFit="1" customWidth="1"/>
    <col min="10" max="10" width="40.28515625" style="96" customWidth="1"/>
    <col min="11" max="11" width="6.140625" style="98" bestFit="1" customWidth="1"/>
    <col min="12" max="12" width="30" style="99" bestFit="1" customWidth="1"/>
  </cols>
  <sheetData>
    <row r="1" spans="1:12" ht="51">
      <c r="A1" s="89" t="s">
        <v>5265</v>
      </c>
      <c r="B1" s="90" t="s">
        <v>5266</v>
      </c>
      <c r="C1" s="91" t="s">
        <v>5267</v>
      </c>
      <c r="D1" s="89" t="s">
        <v>5268</v>
      </c>
      <c r="E1" s="91" t="s">
        <v>5269</v>
      </c>
      <c r="F1" s="91" t="s">
        <v>5270</v>
      </c>
      <c r="G1" s="91" t="s">
        <v>5271</v>
      </c>
      <c r="H1" s="91" t="s">
        <v>5272</v>
      </c>
      <c r="I1" s="89" t="s">
        <v>5273</v>
      </c>
      <c r="J1" s="89" t="s">
        <v>5274</v>
      </c>
      <c r="K1" s="92" t="s">
        <v>5275</v>
      </c>
      <c r="L1" s="91" t="s">
        <v>5276</v>
      </c>
    </row>
    <row r="2" spans="1:12" ht="38.25">
      <c r="A2" s="93">
        <v>1</v>
      </c>
      <c r="B2" s="94" t="s">
        <v>5277</v>
      </c>
      <c r="C2" s="95" t="s">
        <v>5278</v>
      </c>
      <c r="D2" s="96" t="s">
        <v>5279</v>
      </c>
      <c r="E2" s="95"/>
      <c r="F2" s="96">
        <v>180</v>
      </c>
      <c r="G2" s="96"/>
      <c r="H2" s="95"/>
      <c r="I2" s="97">
        <v>36894</v>
      </c>
      <c r="J2" s="96" t="s">
        <v>831</v>
      </c>
      <c r="K2" s="98">
        <f>YEAR(I2)</f>
        <v>2001</v>
      </c>
      <c r="L2" s="99" t="s">
        <v>5280</v>
      </c>
    </row>
    <row r="3" spans="1:12" ht="25.5">
      <c r="A3" s="93">
        <v>2</v>
      </c>
      <c r="B3" s="94" t="s">
        <v>5277</v>
      </c>
      <c r="C3" s="95" t="s">
        <v>5281</v>
      </c>
      <c r="D3" s="96" t="s">
        <v>5279</v>
      </c>
      <c r="E3" s="95"/>
      <c r="F3" s="96"/>
      <c r="G3" s="96"/>
      <c r="H3" s="95"/>
      <c r="I3" s="97">
        <v>36895</v>
      </c>
      <c r="J3" s="100" t="s">
        <v>994</v>
      </c>
      <c r="K3" s="98">
        <f t="shared" ref="K3:K66" si="0">YEAR(I3)</f>
        <v>2001</v>
      </c>
      <c r="L3" s="99" t="s">
        <v>5280</v>
      </c>
    </row>
    <row r="4" spans="1:12" ht="51">
      <c r="A4" s="93">
        <v>3</v>
      </c>
      <c r="B4" s="94" t="s">
        <v>5282</v>
      </c>
      <c r="C4" s="95" t="s">
        <v>5283</v>
      </c>
      <c r="D4" s="96" t="s">
        <v>5284</v>
      </c>
      <c r="E4" s="95">
        <v>2</v>
      </c>
      <c r="F4" s="96"/>
      <c r="G4" s="96"/>
      <c r="H4" s="95"/>
      <c r="I4" s="97">
        <v>36901</v>
      </c>
      <c r="J4" s="96" t="s">
        <v>980</v>
      </c>
      <c r="K4" s="98">
        <f t="shared" si="0"/>
        <v>2001</v>
      </c>
      <c r="L4" s="99" t="s">
        <v>5285</v>
      </c>
    </row>
    <row r="5" spans="1:12" ht="25.5">
      <c r="A5" s="93">
        <v>4</v>
      </c>
      <c r="B5" s="94" t="s">
        <v>5286</v>
      </c>
      <c r="C5" s="95" t="s">
        <v>5287</v>
      </c>
      <c r="D5" s="96" t="s">
        <v>5288</v>
      </c>
      <c r="E5" s="95"/>
      <c r="F5" s="96">
        <v>670</v>
      </c>
      <c r="G5" s="96">
        <v>180</v>
      </c>
      <c r="H5" s="95"/>
      <c r="I5" s="97">
        <v>36906</v>
      </c>
      <c r="J5" s="96" t="s">
        <v>917</v>
      </c>
      <c r="K5" s="98">
        <f t="shared" si="0"/>
        <v>2001</v>
      </c>
      <c r="L5" s="99" t="s">
        <v>5280</v>
      </c>
    </row>
    <row r="6" spans="1:12" ht="38.25">
      <c r="A6" s="93">
        <v>5</v>
      </c>
      <c r="B6" s="94" t="s">
        <v>5289</v>
      </c>
      <c r="C6" s="95" t="s">
        <v>5290</v>
      </c>
      <c r="D6" s="96" t="s">
        <v>5284</v>
      </c>
      <c r="E6" s="95">
        <v>2</v>
      </c>
      <c r="F6" s="96"/>
      <c r="G6" s="96"/>
      <c r="H6" s="95"/>
      <c r="I6" s="97">
        <v>36913</v>
      </c>
      <c r="J6" s="96" t="s">
        <v>838</v>
      </c>
      <c r="K6" s="98">
        <f t="shared" si="0"/>
        <v>2001</v>
      </c>
      <c r="L6" s="99" t="s">
        <v>5291</v>
      </c>
    </row>
    <row r="7" spans="1:12" ht="51">
      <c r="A7" s="93">
        <v>6</v>
      </c>
      <c r="B7" s="94" t="s">
        <v>5282</v>
      </c>
      <c r="C7" s="95" t="s">
        <v>5292</v>
      </c>
      <c r="D7" s="96" t="s">
        <v>5284</v>
      </c>
      <c r="E7" s="95">
        <v>3</v>
      </c>
      <c r="F7" s="96"/>
      <c r="G7" s="96"/>
      <c r="H7" s="95"/>
      <c r="I7" s="97">
        <v>36919</v>
      </c>
      <c r="J7" s="96" t="s">
        <v>911</v>
      </c>
      <c r="K7" s="98">
        <f t="shared" si="0"/>
        <v>2001</v>
      </c>
      <c r="L7" s="99" t="s">
        <v>5285</v>
      </c>
    </row>
    <row r="8" spans="1:12" ht="63.75">
      <c r="A8" s="93">
        <v>7</v>
      </c>
      <c r="B8" s="94" t="s">
        <v>5293</v>
      </c>
      <c r="C8" s="95" t="s">
        <v>5294</v>
      </c>
      <c r="D8" s="96" t="s">
        <v>5288</v>
      </c>
      <c r="E8" s="95"/>
      <c r="F8" s="96">
        <v>3698</v>
      </c>
      <c r="G8" s="96">
        <v>1208</v>
      </c>
      <c r="H8" s="95"/>
      <c r="I8" s="97">
        <v>36924</v>
      </c>
      <c r="J8" s="100" t="s">
        <v>994</v>
      </c>
      <c r="K8" s="98">
        <f t="shared" si="0"/>
        <v>2001</v>
      </c>
      <c r="L8" s="99" t="s">
        <v>5285</v>
      </c>
    </row>
    <row r="9" spans="1:12" ht="25.5">
      <c r="A9" s="93">
        <v>8</v>
      </c>
      <c r="B9" s="94" t="s">
        <v>5286</v>
      </c>
      <c r="C9" s="95" t="s">
        <v>5295</v>
      </c>
      <c r="D9" s="96" t="s">
        <v>5284</v>
      </c>
      <c r="E9" s="95">
        <v>2</v>
      </c>
      <c r="F9" s="96">
        <v>4</v>
      </c>
      <c r="G9" s="96"/>
      <c r="H9" s="95"/>
      <c r="I9" s="97">
        <v>36925</v>
      </c>
      <c r="J9" s="96" t="s">
        <v>917</v>
      </c>
      <c r="K9" s="98">
        <f t="shared" si="0"/>
        <v>2001</v>
      </c>
      <c r="L9" s="99" t="s">
        <v>5280</v>
      </c>
    </row>
    <row r="10" spans="1:12" ht="51">
      <c r="A10" s="93">
        <v>9</v>
      </c>
      <c r="B10" s="94" t="s">
        <v>5282</v>
      </c>
      <c r="C10" s="95" t="s">
        <v>5296</v>
      </c>
      <c r="D10" s="96" t="s">
        <v>5284</v>
      </c>
      <c r="E10" s="95">
        <v>3</v>
      </c>
      <c r="F10" s="96"/>
      <c r="G10" s="96"/>
      <c r="H10" s="95"/>
      <c r="I10" s="97">
        <v>36926</v>
      </c>
      <c r="J10" s="96" t="s">
        <v>831</v>
      </c>
      <c r="K10" s="98">
        <f t="shared" si="0"/>
        <v>2001</v>
      </c>
      <c r="L10" s="99" t="s">
        <v>5280</v>
      </c>
    </row>
    <row r="11" spans="1:12" ht="51">
      <c r="A11" s="93">
        <v>10</v>
      </c>
      <c r="B11" s="94" t="s">
        <v>5282</v>
      </c>
      <c r="C11" s="95" t="s">
        <v>5297</v>
      </c>
      <c r="D11" s="96" t="s">
        <v>5284</v>
      </c>
      <c r="E11" s="95">
        <v>3</v>
      </c>
      <c r="F11" s="96"/>
      <c r="G11" s="96"/>
      <c r="H11" s="95"/>
      <c r="I11" s="97">
        <v>36931</v>
      </c>
      <c r="J11" s="96" t="s">
        <v>925</v>
      </c>
      <c r="K11" s="98">
        <f t="shared" si="0"/>
        <v>2001</v>
      </c>
      <c r="L11" s="99" t="s">
        <v>5285</v>
      </c>
    </row>
    <row r="12" spans="1:12" ht="25.5">
      <c r="A12" s="93">
        <v>11</v>
      </c>
      <c r="B12" s="94" t="s">
        <v>5286</v>
      </c>
      <c r="C12" s="95" t="s">
        <v>5298</v>
      </c>
      <c r="D12" s="96" t="s">
        <v>5299</v>
      </c>
      <c r="E12" s="95"/>
      <c r="F12" s="96">
        <v>435</v>
      </c>
      <c r="G12" s="96"/>
      <c r="H12" s="95"/>
      <c r="I12" s="97">
        <v>36937</v>
      </c>
      <c r="J12" s="96" t="s">
        <v>885</v>
      </c>
      <c r="K12" s="98">
        <f t="shared" si="0"/>
        <v>2001</v>
      </c>
      <c r="L12" s="99" t="s">
        <v>5280</v>
      </c>
    </row>
    <row r="13" spans="1:12" ht="38.25">
      <c r="A13" s="93">
        <v>12</v>
      </c>
      <c r="B13" s="94" t="s">
        <v>5300</v>
      </c>
      <c r="C13" s="95" t="s">
        <v>5301</v>
      </c>
      <c r="D13" s="96" t="s">
        <v>5288</v>
      </c>
      <c r="E13" s="95">
        <v>1</v>
      </c>
      <c r="F13" s="96">
        <v>659</v>
      </c>
      <c r="G13" s="96"/>
      <c r="H13" s="95"/>
      <c r="I13" s="97">
        <v>36937</v>
      </c>
      <c r="J13" s="96" t="s">
        <v>974</v>
      </c>
      <c r="K13" s="98">
        <f t="shared" si="0"/>
        <v>2001</v>
      </c>
      <c r="L13" s="99" t="s">
        <v>5285</v>
      </c>
    </row>
    <row r="14" spans="1:12" ht="51">
      <c r="A14" s="93">
        <v>13</v>
      </c>
      <c r="B14" s="94" t="s">
        <v>5282</v>
      </c>
      <c r="C14" s="95" t="s">
        <v>5302</v>
      </c>
      <c r="D14" s="96" t="s">
        <v>5284</v>
      </c>
      <c r="E14" s="95">
        <v>2</v>
      </c>
      <c r="F14" s="96">
        <v>5</v>
      </c>
      <c r="G14" s="96">
        <v>3</v>
      </c>
      <c r="H14" s="95"/>
      <c r="I14" s="97">
        <v>36940</v>
      </c>
      <c r="J14" s="96" t="s">
        <v>974</v>
      </c>
      <c r="K14" s="98">
        <f t="shared" si="0"/>
        <v>2001</v>
      </c>
      <c r="L14" s="99" t="s">
        <v>5285</v>
      </c>
    </row>
    <row r="15" spans="1:12" ht="38.25">
      <c r="A15" s="93">
        <v>14</v>
      </c>
      <c r="B15" s="94" t="s">
        <v>5286</v>
      </c>
      <c r="C15" s="95" t="s">
        <v>5303</v>
      </c>
      <c r="D15" s="96" t="s">
        <v>5279</v>
      </c>
      <c r="E15" s="95"/>
      <c r="F15" s="96"/>
      <c r="G15" s="96"/>
      <c r="H15" s="95"/>
      <c r="I15" s="97">
        <v>36949</v>
      </c>
      <c r="J15" s="96" t="s">
        <v>844</v>
      </c>
      <c r="K15" s="98">
        <f t="shared" si="0"/>
        <v>2001</v>
      </c>
      <c r="L15" s="99" t="s">
        <v>5280</v>
      </c>
    </row>
    <row r="16" spans="1:12" ht="51">
      <c r="A16" s="93">
        <v>15</v>
      </c>
      <c r="B16" s="94" t="s">
        <v>5282</v>
      </c>
      <c r="C16" s="95" t="s">
        <v>5304</v>
      </c>
      <c r="D16" s="96" t="s">
        <v>5284</v>
      </c>
      <c r="E16" s="95">
        <v>2</v>
      </c>
      <c r="F16" s="96"/>
      <c r="G16" s="96"/>
      <c r="H16" s="95"/>
      <c r="I16" s="97">
        <v>36956</v>
      </c>
      <c r="J16" s="96" t="s">
        <v>831</v>
      </c>
      <c r="K16" s="98">
        <f t="shared" si="0"/>
        <v>2001</v>
      </c>
      <c r="L16" s="99" t="s">
        <v>5285</v>
      </c>
    </row>
    <row r="17" spans="1:12" ht="25.5">
      <c r="A17" s="93">
        <v>16</v>
      </c>
      <c r="B17" s="94" t="s">
        <v>5305</v>
      </c>
      <c r="C17" s="95" t="s">
        <v>5306</v>
      </c>
      <c r="D17" s="96" t="s">
        <v>5284</v>
      </c>
      <c r="E17" s="95">
        <v>2</v>
      </c>
      <c r="F17" s="96">
        <v>2</v>
      </c>
      <c r="G17" s="96"/>
      <c r="H17" s="95"/>
      <c r="I17" s="97">
        <v>36967</v>
      </c>
      <c r="J17" s="101" t="s">
        <v>738</v>
      </c>
      <c r="K17" s="98">
        <f t="shared" si="0"/>
        <v>2001</v>
      </c>
      <c r="L17" s="99" t="s">
        <v>5307</v>
      </c>
    </row>
    <row r="18" spans="1:12" ht="51">
      <c r="A18" s="93">
        <v>17</v>
      </c>
      <c r="B18" s="94" t="s">
        <v>5282</v>
      </c>
      <c r="C18" s="95" t="s">
        <v>5308</v>
      </c>
      <c r="D18" s="96" t="s">
        <v>5284</v>
      </c>
      <c r="E18" s="95">
        <v>2</v>
      </c>
      <c r="F18" s="96">
        <v>3</v>
      </c>
      <c r="G18" s="96"/>
      <c r="H18" s="95"/>
      <c r="I18" s="97">
        <v>36998</v>
      </c>
      <c r="J18" s="101" t="s">
        <v>738</v>
      </c>
      <c r="K18" s="98">
        <f t="shared" si="0"/>
        <v>2001</v>
      </c>
      <c r="L18" s="99" t="s">
        <v>5285</v>
      </c>
    </row>
    <row r="19" spans="1:12" ht="51">
      <c r="A19" s="93">
        <v>18</v>
      </c>
      <c r="B19" s="94" t="s">
        <v>5282</v>
      </c>
      <c r="C19" s="95" t="s">
        <v>5309</v>
      </c>
      <c r="D19" s="96" t="s">
        <v>5284</v>
      </c>
      <c r="E19" s="95">
        <v>2</v>
      </c>
      <c r="F19" s="96"/>
      <c r="G19" s="96"/>
      <c r="H19" s="95"/>
      <c r="I19" s="97">
        <v>36999</v>
      </c>
      <c r="J19" s="96" t="s">
        <v>934</v>
      </c>
      <c r="K19" s="98">
        <f t="shared" si="0"/>
        <v>2001</v>
      </c>
      <c r="L19" s="99" t="s">
        <v>5285</v>
      </c>
    </row>
    <row r="20" spans="1:12" ht="25.5">
      <c r="A20" s="93">
        <v>19</v>
      </c>
      <c r="B20" s="94" t="s">
        <v>5286</v>
      </c>
      <c r="C20" s="95" t="s">
        <v>5310</v>
      </c>
      <c r="D20" s="96" t="s">
        <v>5279</v>
      </c>
      <c r="E20" s="95"/>
      <c r="F20" s="96"/>
      <c r="G20" s="96"/>
      <c r="H20" s="95"/>
      <c r="I20" s="97">
        <v>36997</v>
      </c>
      <c r="J20" s="96" t="s">
        <v>989</v>
      </c>
      <c r="K20" s="98">
        <f t="shared" si="0"/>
        <v>2001</v>
      </c>
      <c r="L20" s="99" t="s">
        <v>5280</v>
      </c>
    </row>
    <row r="21" spans="1:12" ht="51">
      <c r="A21" s="93">
        <v>20</v>
      </c>
      <c r="B21" s="94" t="s">
        <v>5282</v>
      </c>
      <c r="C21" s="95" t="s">
        <v>5311</v>
      </c>
      <c r="D21" s="96" t="s">
        <v>5284</v>
      </c>
      <c r="E21" s="95">
        <v>2</v>
      </c>
      <c r="F21" s="96">
        <v>98</v>
      </c>
      <c r="G21" s="96"/>
      <c r="H21" s="95"/>
      <c r="I21" s="97">
        <v>37075</v>
      </c>
      <c r="J21" s="96" t="s">
        <v>838</v>
      </c>
      <c r="K21" s="98">
        <f t="shared" si="0"/>
        <v>2001</v>
      </c>
      <c r="L21" s="99" t="s">
        <v>5285</v>
      </c>
    </row>
    <row r="22" spans="1:12" ht="51">
      <c r="A22" s="93">
        <v>21</v>
      </c>
      <c r="B22" s="94" t="s">
        <v>5312</v>
      </c>
      <c r="C22" s="95" t="s">
        <v>5313</v>
      </c>
      <c r="D22" s="96" t="s">
        <v>5284</v>
      </c>
      <c r="E22" s="95">
        <v>3</v>
      </c>
      <c r="F22" s="96"/>
      <c r="G22" s="96"/>
      <c r="H22" s="95"/>
      <c r="I22" s="97">
        <v>37121</v>
      </c>
      <c r="J22" s="96" t="s">
        <v>925</v>
      </c>
      <c r="K22" s="98">
        <f t="shared" si="0"/>
        <v>2001</v>
      </c>
      <c r="L22" s="99" t="s">
        <v>5314</v>
      </c>
    </row>
    <row r="23" spans="1:12" ht="63.75">
      <c r="A23" s="93">
        <v>22</v>
      </c>
      <c r="B23" s="94" t="s">
        <v>5315</v>
      </c>
      <c r="C23" s="95" t="s">
        <v>5316</v>
      </c>
      <c r="D23" s="96" t="s">
        <v>5284</v>
      </c>
      <c r="E23" s="95">
        <v>2</v>
      </c>
      <c r="F23" s="96"/>
      <c r="G23" s="96"/>
      <c r="H23" s="95"/>
      <c r="I23" s="97">
        <v>37184</v>
      </c>
      <c r="J23" s="96" t="s">
        <v>925</v>
      </c>
      <c r="K23" s="98">
        <f t="shared" si="0"/>
        <v>2001</v>
      </c>
      <c r="L23" s="99" t="s">
        <v>5291</v>
      </c>
    </row>
    <row r="24" spans="1:12" ht="51">
      <c r="A24" s="93">
        <v>23</v>
      </c>
      <c r="B24" s="94" t="s">
        <v>5317</v>
      </c>
      <c r="C24" s="95" t="s">
        <v>5318</v>
      </c>
      <c r="D24" s="96" t="s">
        <v>5279</v>
      </c>
      <c r="E24" s="95">
        <v>11</v>
      </c>
      <c r="F24" s="96"/>
      <c r="G24" s="96"/>
      <c r="H24" s="95"/>
      <c r="I24" s="97">
        <v>37204</v>
      </c>
      <c r="J24" s="96" t="s">
        <v>938</v>
      </c>
      <c r="K24" s="98">
        <f t="shared" si="0"/>
        <v>2001</v>
      </c>
      <c r="L24" s="99" t="s">
        <v>5319</v>
      </c>
    </row>
    <row r="25" spans="1:12" ht="51">
      <c r="A25" s="93">
        <v>24</v>
      </c>
      <c r="B25" s="94" t="s">
        <v>5282</v>
      </c>
      <c r="C25" s="95" t="s">
        <v>5320</v>
      </c>
      <c r="D25" s="96" t="s">
        <v>5284</v>
      </c>
      <c r="E25" s="95">
        <v>3</v>
      </c>
      <c r="F25" s="96"/>
      <c r="G25" s="96"/>
      <c r="H25" s="95"/>
      <c r="I25" s="97">
        <v>37210</v>
      </c>
      <c r="J25" s="96" t="s">
        <v>885</v>
      </c>
      <c r="K25" s="98">
        <f t="shared" si="0"/>
        <v>2001</v>
      </c>
      <c r="L25" s="99" t="s">
        <v>5285</v>
      </c>
    </row>
    <row r="26" spans="1:12" ht="38.25">
      <c r="A26" s="93">
        <v>25</v>
      </c>
      <c r="B26" s="94" t="s">
        <v>5321</v>
      </c>
      <c r="C26" s="95" t="s">
        <v>5322</v>
      </c>
      <c r="D26" s="96" t="s">
        <v>5284</v>
      </c>
      <c r="E26" s="95">
        <v>4</v>
      </c>
      <c r="F26" s="96"/>
      <c r="G26" s="96"/>
      <c r="H26" s="95"/>
      <c r="I26" s="97">
        <v>37219</v>
      </c>
      <c r="J26" s="96" t="s">
        <v>870</v>
      </c>
      <c r="K26" s="98">
        <f t="shared" si="0"/>
        <v>2001</v>
      </c>
      <c r="L26" s="99" t="s">
        <v>5291</v>
      </c>
    </row>
    <row r="27" spans="1:12" ht="38.25">
      <c r="A27" s="93">
        <v>26</v>
      </c>
      <c r="B27" s="94" t="s">
        <v>5293</v>
      </c>
      <c r="C27" s="95" t="s">
        <v>5323</v>
      </c>
      <c r="D27" s="96" t="s">
        <v>5299</v>
      </c>
      <c r="E27" s="95"/>
      <c r="F27" s="102">
        <v>420</v>
      </c>
      <c r="G27" s="102"/>
      <c r="H27" s="95"/>
      <c r="I27" s="97">
        <v>37273</v>
      </c>
      <c r="J27" s="96" t="s">
        <v>917</v>
      </c>
      <c r="K27" s="98">
        <f t="shared" si="0"/>
        <v>2002</v>
      </c>
      <c r="L27" s="99" t="s">
        <v>5285</v>
      </c>
    </row>
    <row r="28" spans="1:12" ht="38.25">
      <c r="A28" s="93">
        <v>27</v>
      </c>
      <c r="B28" s="94" t="s">
        <v>5286</v>
      </c>
      <c r="C28" s="95" t="s">
        <v>5324</v>
      </c>
      <c r="D28" s="96" t="s">
        <v>5279</v>
      </c>
      <c r="E28" s="95"/>
      <c r="F28" s="95"/>
      <c r="G28" s="95"/>
      <c r="H28" s="95"/>
      <c r="I28" s="97">
        <v>37299</v>
      </c>
      <c r="J28" s="96" t="s">
        <v>942</v>
      </c>
      <c r="K28" s="98">
        <f t="shared" si="0"/>
        <v>2002</v>
      </c>
      <c r="L28" s="99" t="s">
        <v>5280</v>
      </c>
    </row>
    <row r="29" spans="1:12" ht="38.25">
      <c r="A29" s="93">
        <v>28</v>
      </c>
      <c r="B29" s="94" t="s">
        <v>5293</v>
      </c>
      <c r="C29" s="95" t="s">
        <v>5325</v>
      </c>
      <c r="D29" s="96" t="s">
        <v>5299</v>
      </c>
      <c r="E29" s="95"/>
      <c r="F29" s="95">
        <v>324</v>
      </c>
      <c r="G29" s="95"/>
      <c r="H29" s="95"/>
      <c r="I29" s="97">
        <v>37521</v>
      </c>
      <c r="J29" s="96" t="s">
        <v>974</v>
      </c>
      <c r="K29" s="98">
        <f t="shared" si="0"/>
        <v>2002</v>
      </c>
      <c r="L29" s="99" t="s">
        <v>5285</v>
      </c>
    </row>
    <row r="30" spans="1:12" ht="38.25">
      <c r="A30" s="93">
        <v>29</v>
      </c>
      <c r="B30" s="94" t="s">
        <v>5286</v>
      </c>
      <c r="C30" s="95" t="s">
        <v>5326</v>
      </c>
      <c r="D30" s="96" t="s">
        <v>5288</v>
      </c>
      <c r="E30" s="95"/>
      <c r="F30" s="95">
        <v>2300</v>
      </c>
      <c r="G30" s="95"/>
      <c r="H30" s="95"/>
      <c r="I30" s="97">
        <v>37588</v>
      </c>
      <c r="J30" s="96" t="s">
        <v>831</v>
      </c>
      <c r="K30" s="98">
        <f t="shared" si="0"/>
        <v>2002</v>
      </c>
      <c r="L30" s="99" t="s">
        <v>5280</v>
      </c>
    </row>
    <row r="31" spans="1:12" ht="25.5">
      <c r="A31" s="93">
        <v>30</v>
      </c>
      <c r="B31" s="94" t="s">
        <v>5286</v>
      </c>
      <c r="C31" s="95" t="s">
        <v>5327</v>
      </c>
      <c r="D31" s="96" t="s">
        <v>5288</v>
      </c>
      <c r="E31" s="95"/>
      <c r="F31" s="95">
        <v>1200</v>
      </c>
      <c r="G31" s="95"/>
      <c r="H31" s="95"/>
      <c r="I31" s="97">
        <v>37590</v>
      </c>
      <c r="J31" s="96" t="s">
        <v>892</v>
      </c>
      <c r="K31" s="98">
        <f t="shared" si="0"/>
        <v>2002</v>
      </c>
      <c r="L31" s="99" t="s">
        <v>5280</v>
      </c>
    </row>
    <row r="32" spans="1:12" ht="38.25">
      <c r="A32" s="93">
        <v>31</v>
      </c>
      <c r="B32" s="94" t="s">
        <v>5286</v>
      </c>
      <c r="C32" s="95" t="s">
        <v>5328</v>
      </c>
      <c r="D32" s="96" t="s">
        <v>5288</v>
      </c>
      <c r="E32" s="95"/>
      <c r="F32" s="95">
        <v>615</v>
      </c>
      <c r="G32" s="95"/>
      <c r="H32" s="95"/>
      <c r="I32" s="97">
        <v>37593</v>
      </c>
      <c r="J32" s="96" t="s">
        <v>925</v>
      </c>
      <c r="K32" s="98">
        <f t="shared" si="0"/>
        <v>2002</v>
      </c>
      <c r="L32" s="99" t="s">
        <v>5280</v>
      </c>
    </row>
    <row r="33" spans="1:12" ht="38.25">
      <c r="A33" s="93">
        <v>32</v>
      </c>
      <c r="B33" s="94" t="s">
        <v>5286</v>
      </c>
      <c r="C33" s="95" t="s">
        <v>5329</v>
      </c>
      <c r="D33" s="96" t="s">
        <v>5299</v>
      </c>
      <c r="E33" s="95"/>
      <c r="F33" s="95">
        <v>238</v>
      </c>
      <c r="G33" s="95"/>
      <c r="H33" s="95"/>
      <c r="I33" s="97">
        <v>37596</v>
      </c>
      <c r="J33" s="96" t="s">
        <v>917</v>
      </c>
      <c r="K33" s="98">
        <f t="shared" si="0"/>
        <v>2002</v>
      </c>
      <c r="L33" s="99" t="s">
        <v>5280</v>
      </c>
    </row>
    <row r="34" spans="1:12" ht="76.5">
      <c r="A34" s="93">
        <v>33</v>
      </c>
      <c r="B34" s="94" t="s">
        <v>5286</v>
      </c>
      <c r="C34" s="95" t="s">
        <v>5330</v>
      </c>
      <c r="D34" s="96" t="s">
        <v>5279</v>
      </c>
      <c r="E34" s="95"/>
      <c r="F34" s="95"/>
      <c r="G34" s="95"/>
      <c r="I34" s="103">
        <v>37609</v>
      </c>
      <c r="J34" s="101" t="s">
        <v>738</v>
      </c>
      <c r="K34" s="98">
        <f t="shared" si="0"/>
        <v>2002</v>
      </c>
      <c r="L34" s="99" t="s">
        <v>5280</v>
      </c>
    </row>
    <row r="35" spans="1:12" ht="38.25">
      <c r="A35" s="93">
        <v>34</v>
      </c>
      <c r="B35" s="94" t="s">
        <v>5293</v>
      </c>
      <c r="C35" s="95" t="s">
        <v>5331</v>
      </c>
      <c r="D35" s="93" t="s">
        <v>5279</v>
      </c>
      <c r="E35" s="93"/>
      <c r="F35" s="98">
        <v>13</v>
      </c>
      <c r="I35" s="103">
        <v>37622</v>
      </c>
      <c r="J35" s="96" t="s">
        <v>974</v>
      </c>
      <c r="K35" s="98">
        <f t="shared" si="0"/>
        <v>2003</v>
      </c>
      <c r="L35" s="99" t="s">
        <v>5285</v>
      </c>
    </row>
    <row r="36" spans="1:12" ht="25.5">
      <c r="A36" s="93">
        <v>35</v>
      </c>
      <c r="B36" s="94" t="s">
        <v>5286</v>
      </c>
      <c r="C36" s="95" t="s">
        <v>5332</v>
      </c>
      <c r="D36" s="93" t="s">
        <v>5284</v>
      </c>
      <c r="E36" s="104" t="s">
        <v>5333</v>
      </c>
      <c r="I36" s="103">
        <v>37622</v>
      </c>
      <c r="J36" s="96" t="s">
        <v>911</v>
      </c>
      <c r="K36" s="98">
        <f t="shared" si="0"/>
        <v>2003</v>
      </c>
      <c r="L36" s="99" t="s">
        <v>5280</v>
      </c>
    </row>
    <row r="37" spans="1:12" ht="63.75">
      <c r="A37" s="93">
        <v>36</v>
      </c>
      <c r="B37" s="94" t="s">
        <v>5334</v>
      </c>
      <c r="C37" s="105" t="s">
        <v>5335</v>
      </c>
      <c r="D37" s="93" t="s">
        <v>5284</v>
      </c>
      <c r="E37" s="93">
        <v>2</v>
      </c>
      <c r="F37" s="98">
        <v>5</v>
      </c>
      <c r="I37" s="103">
        <v>37623</v>
      </c>
      <c r="J37" s="96" t="s">
        <v>965</v>
      </c>
      <c r="K37" s="98">
        <f t="shared" si="0"/>
        <v>2003</v>
      </c>
      <c r="L37" s="99" t="s">
        <v>5307</v>
      </c>
    </row>
    <row r="38" spans="1:12" ht="51">
      <c r="A38" s="93">
        <v>37</v>
      </c>
      <c r="B38" s="94" t="s">
        <v>5282</v>
      </c>
      <c r="C38" s="95" t="s">
        <v>5336</v>
      </c>
      <c r="D38" s="93" t="s">
        <v>5284</v>
      </c>
      <c r="E38" s="93"/>
      <c r="I38" s="103">
        <v>37630</v>
      </c>
      <c r="J38" s="96" t="s">
        <v>921</v>
      </c>
      <c r="K38" s="98">
        <f t="shared" si="0"/>
        <v>2003</v>
      </c>
      <c r="L38" s="99" t="s">
        <v>5285</v>
      </c>
    </row>
    <row r="39" spans="1:12" ht="51">
      <c r="A39" s="93">
        <v>38</v>
      </c>
      <c r="B39" s="94" t="s">
        <v>5282</v>
      </c>
      <c r="C39" s="106" t="s">
        <v>5337</v>
      </c>
      <c r="D39" s="93" t="s">
        <v>5284</v>
      </c>
      <c r="E39" s="93">
        <v>2</v>
      </c>
      <c r="I39" s="103">
        <v>37635</v>
      </c>
      <c r="J39" s="96" t="s">
        <v>831</v>
      </c>
      <c r="K39" s="98">
        <f t="shared" si="0"/>
        <v>2003</v>
      </c>
      <c r="L39" s="99" t="s">
        <v>5285</v>
      </c>
    </row>
    <row r="40" spans="1:12" ht="51">
      <c r="A40" s="93">
        <v>39</v>
      </c>
      <c r="B40" s="94" t="s">
        <v>5282</v>
      </c>
      <c r="C40" s="95" t="s">
        <v>5338</v>
      </c>
      <c r="D40" s="93" t="s">
        <v>5284</v>
      </c>
      <c r="E40" s="93">
        <v>2</v>
      </c>
      <c r="F40" s="98">
        <v>3</v>
      </c>
      <c r="I40" s="103">
        <v>37637</v>
      </c>
      <c r="J40" s="96" t="s">
        <v>917</v>
      </c>
      <c r="K40" s="98">
        <f t="shared" si="0"/>
        <v>2003</v>
      </c>
      <c r="L40" s="99" t="s">
        <v>5285</v>
      </c>
    </row>
    <row r="41" spans="1:12" ht="38.25">
      <c r="A41" s="93">
        <v>40</v>
      </c>
      <c r="B41" s="94" t="s">
        <v>5339</v>
      </c>
      <c r="C41" s="95" t="s">
        <v>5340</v>
      </c>
      <c r="D41" s="93" t="s">
        <v>5284</v>
      </c>
      <c r="E41" s="93">
        <v>3</v>
      </c>
      <c r="F41" s="98">
        <v>3</v>
      </c>
      <c r="I41" s="103">
        <v>37639</v>
      </c>
      <c r="J41" s="101" t="s">
        <v>738</v>
      </c>
      <c r="K41" s="98">
        <f t="shared" si="0"/>
        <v>2003</v>
      </c>
      <c r="L41" s="99" t="s">
        <v>5291</v>
      </c>
    </row>
    <row r="42" spans="1:12" ht="51">
      <c r="A42" s="93">
        <v>41</v>
      </c>
      <c r="B42" s="94" t="s">
        <v>5282</v>
      </c>
      <c r="C42" s="95" t="s">
        <v>5341</v>
      </c>
      <c r="D42" s="93" t="s">
        <v>5284</v>
      </c>
      <c r="E42" s="93"/>
      <c r="I42" s="103">
        <v>37644</v>
      </c>
      <c r="J42" s="96" t="s">
        <v>831</v>
      </c>
      <c r="K42" s="98">
        <f t="shared" si="0"/>
        <v>2003</v>
      </c>
      <c r="L42" s="99" t="s">
        <v>5291</v>
      </c>
    </row>
    <row r="43" spans="1:12" ht="38.25">
      <c r="A43" s="93">
        <v>42</v>
      </c>
      <c r="B43" s="94" t="s">
        <v>5286</v>
      </c>
      <c r="C43" s="95" t="s">
        <v>5342</v>
      </c>
      <c r="D43" s="93" t="s">
        <v>5279</v>
      </c>
      <c r="E43" s="93"/>
      <c r="I43" s="103">
        <v>37650</v>
      </c>
      <c r="J43" s="100" t="s">
        <v>994</v>
      </c>
      <c r="K43" s="98">
        <f t="shared" si="0"/>
        <v>2003</v>
      </c>
      <c r="L43" s="99" t="s">
        <v>5280</v>
      </c>
    </row>
    <row r="44" spans="1:12" ht="51">
      <c r="A44" s="93">
        <v>43</v>
      </c>
      <c r="B44" s="94" t="s">
        <v>5282</v>
      </c>
      <c r="C44" s="95" t="s">
        <v>5343</v>
      </c>
      <c r="D44" s="93" t="s">
        <v>5284</v>
      </c>
      <c r="E44" s="93">
        <v>3</v>
      </c>
      <c r="F44" s="98">
        <v>3</v>
      </c>
      <c r="I44" s="103">
        <v>37654</v>
      </c>
      <c r="J44" s="96" t="s">
        <v>921</v>
      </c>
      <c r="K44" s="98">
        <f t="shared" si="0"/>
        <v>2003</v>
      </c>
      <c r="L44" s="99" t="s">
        <v>5285</v>
      </c>
    </row>
    <row r="45" spans="1:12" ht="38.25">
      <c r="A45" s="93">
        <v>44</v>
      </c>
      <c r="B45" s="94" t="s">
        <v>5344</v>
      </c>
      <c r="C45" s="95" t="s">
        <v>5345</v>
      </c>
      <c r="D45" s="93" t="s">
        <v>5284</v>
      </c>
      <c r="E45" s="93">
        <v>3</v>
      </c>
      <c r="I45" s="103">
        <v>37678</v>
      </c>
      <c r="J45" s="96" t="s">
        <v>892</v>
      </c>
      <c r="K45" s="98">
        <f t="shared" si="0"/>
        <v>2003</v>
      </c>
      <c r="L45" s="99" t="s">
        <v>5291</v>
      </c>
    </row>
    <row r="46" spans="1:12" ht="51">
      <c r="A46" s="93">
        <v>45</v>
      </c>
      <c r="B46" s="94" t="s">
        <v>5282</v>
      </c>
      <c r="C46" s="105" t="s">
        <v>5346</v>
      </c>
      <c r="D46" s="93" t="s">
        <v>5284</v>
      </c>
      <c r="E46" s="93">
        <v>2</v>
      </c>
      <c r="I46" s="103">
        <v>37693</v>
      </c>
      <c r="J46" s="101" t="s">
        <v>738</v>
      </c>
      <c r="K46" s="98">
        <f t="shared" si="0"/>
        <v>2003</v>
      </c>
      <c r="L46" s="99" t="s">
        <v>5285</v>
      </c>
    </row>
    <row r="47" spans="1:12" ht="38.25">
      <c r="A47" s="93">
        <v>46</v>
      </c>
      <c r="B47" s="94" t="s">
        <v>5321</v>
      </c>
      <c r="C47" s="105" t="s">
        <v>5347</v>
      </c>
      <c r="D47" s="93" t="s">
        <v>5284</v>
      </c>
      <c r="E47" s="93">
        <v>2</v>
      </c>
      <c r="F47" s="98">
        <v>5</v>
      </c>
      <c r="I47" s="103">
        <v>37708</v>
      </c>
      <c r="J47" s="101" t="s">
        <v>738</v>
      </c>
      <c r="K47" s="98">
        <f t="shared" si="0"/>
        <v>2003</v>
      </c>
      <c r="L47" s="99" t="s">
        <v>5291</v>
      </c>
    </row>
    <row r="48" spans="1:12" ht="51">
      <c r="A48" s="93">
        <v>47</v>
      </c>
      <c r="B48" s="94" t="s">
        <v>5282</v>
      </c>
      <c r="C48" s="105" t="s">
        <v>5348</v>
      </c>
      <c r="D48" s="93" t="s">
        <v>5299</v>
      </c>
      <c r="E48" s="93">
        <v>22</v>
      </c>
      <c r="F48" s="98">
        <v>61</v>
      </c>
      <c r="I48" s="103">
        <v>37718</v>
      </c>
      <c r="J48" s="96" t="s">
        <v>892</v>
      </c>
      <c r="K48" s="98">
        <f t="shared" si="0"/>
        <v>2003</v>
      </c>
      <c r="L48" s="99" t="s">
        <v>5285</v>
      </c>
    </row>
    <row r="49" spans="1:12" ht="25.5">
      <c r="A49" s="93">
        <v>48</v>
      </c>
      <c r="B49" s="94" t="s">
        <v>5349</v>
      </c>
      <c r="C49" s="105" t="s">
        <v>5350</v>
      </c>
      <c r="D49" s="93" t="s">
        <v>5279</v>
      </c>
      <c r="E49" s="93"/>
      <c r="I49" s="103">
        <v>37726</v>
      </c>
      <c r="J49" s="101" t="s">
        <v>738</v>
      </c>
      <c r="K49" s="98">
        <f t="shared" si="0"/>
        <v>2003</v>
      </c>
      <c r="L49" s="99" t="s">
        <v>5351</v>
      </c>
    </row>
    <row r="50" spans="1:12" ht="25.5">
      <c r="A50" s="93">
        <v>49</v>
      </c>
      <c r="B50" s="94" t="s">
        <v>5352</v>
      </c>
      <c r="C50" s="95" t="s">
        <v>5353</v>
      </c>
      <c r="D50" s="93" t="s">
        <v>5299</v>
      </c>
      <c r="E50" s="93"/>
      <c r="F50" s="107"/>
      <c r="G50" s="107"/>
      <c r="I50" s="103">
        <v>37764</v>
      </c>
      <c r="J50" s="96" t="s">
        <v>1003</v>
      </c>
      <c r="K50" s="98">
        <f t="shared" si="0"/>
        <v>2003</v>
      </c>
      <c r="L50" s="99" t="s">
        <v>5354</v>
      </c>
    </row>
    <row r="51" spans="1:12" ht="25.5">
      <c r="A51" s="93">
        <v>50</v>
      </c>
      <c r="B51" s="94" t="s">
        <v>5352</v>
      </c>
      <c r="C51" s="95" t="s">
        <v>5355</v>
      </c>
      <c r="D51" s="93" t="s">
        <v>5279</v>
      </c>
      <c r="E51" s="93"/>
      <c r="I51" s="103">
        <v>38498</v>
      </c>
      <c r="J51" s="101" t="s">
        <v>738</v>
      </c>
      <c r="K51" s="98">
        <f t="shared" si="0"/>
        <v>2005</v>
      </c>
      <c r="L51" s="99" t="s">
        <v>5354</v>
      </c>
    </row>
    <row r="52" spans="1:12" ht="51">
      <c r="A52" s="93">
        <v>51</v>
      </c>
      <c r="B52" s="94" t="s">
        <v>5282</v>
      </c>
      <c r="C52" s="105" t="s">
        <v>5356</v>
      </c>
      <c r="D52" s="93" t="s">
        <v>5279</v>
      </c>
      <c r="E52" s="93"/>
      <c r="I52" s="103">
        <v>37788</v>
      </c>
      <c r="J52" s="101" t="s">
        <v>738</v>
      </c>
      <c r="K52" s="98">
        <f t="shared" si="0"/>
        <v>2003</v>
      </c>
      <c r="L52" s="99" t="s">
        <v>5285</v>
      </c>
    </row>
    <row r="53" spans="1:12" ht="25.5">
      <c r="A53" s="93">
        <v>52</v>
      </c>
      <c r="B53" s="94" t="s">
        <v>5357</v>
      </c>
      <c r="C53" s="105" t="s">
        <v>5358</v>
      </c>
      <c r="D53" s="93" t="s">
        <v>5279</v>
      </c>
      <c r="E53" s="93"/>
      <c r="F53" s="98">
        <v>26</v>
      </c>
      <c r="I53" s="103">
        <v>37792</v>
      </c>
      <c r="J53" s="96" t="s">
        <v>879</v>
      </c>
      <c r="K53" s="98">
        <f t="shared" si="0"/>
        <v>2003</v>
      </c>
      <c r="L53" s="99" t="s">
        <v>5314</v>
      </c>
    </row>
    <row r="54" spans="1:12" ht="51">
      <c r="A54" s="93">
        <v>53</v>
      </c>
      <c r="B54" s="94" t="s">
        <v>5282</v>
      </c>
      <c r="C54" s="105" t="s">
        <v>5359</v>
      </c>
      <c r="D54" s="93" t="s">
        <v>5284</v>
      </c>
      <c r="E54" s="93">
        <v>4</v>
      </c>
      <c r="I54" s="103">
        <v>37808</v>
      </c>
      <c r="J54" s="96" t="s">
        <v>947</v>
      </c>
      <c r="K54" s="98">
        <f t="shared" si="0"/>
        <v>2003</v>
      </c>
      <c r="L54" s="99" t="s">
        <v>5285</v>
      </c>
    </row>
    <row r="55" spans="1:12" ht="38.25">
      <c r="A55" s="93">
        <v>54</v>
      </c>
      <c r="B55" s="94" t="s">
        <v>5360</v>
      </c>
      <c r="C55" s="105" t="s">
        <v>5361</v>
      </c>
      <c r="D55" s="93" t="s">
        <v>5284</v>
      </c>
      <c r="E55" s="93"/>
      <c r="F55" s="98">
        <v>3</v>
      </c>
      <c r="I55" s="103">
        <v>37910</v>
      </c>
      <c r="J55" s="96" t="s">
        <v>831</v>
      </c>
      <c r="K55" s="98">
        <f t="shared" si="0"/>
        <v>2003</v>
      </c>
      <c r="L55" s="99" t="s">
        <v>5291</v>
      </c>
    </row>
    <row r="56" spans="1:12" ht="51">
      <c r="A56" s="93">
        <v>55</v>
      </c>
      <c r="B56" s="94" t="s">
        <v>5286</v>
      </c>
      <c r="C56" s="95" t="s">
        <v>5362</v>
      </c>
      <c r="D56" s="93" t="s">
        <v>5279</v>
      </c>
      <c r="E56" s="93"/>
      <c r="F56" s="98">
        <v>24</v>
      </c>
      <c r="I56" s="103">
        <v>37986</v>
      </c>
      <c r="J56" s="100" t="s">
        <v>994</v>
      </c>
      <c r="K56" s="98">
        <f t="shared" si="0"/>
        <v>2003</v>
      </c>
      <c r="L56" s="99" t="s">
        <v>5280</v>
      </c>
    </row>
    <row r="57" spans="1:12" ht="38.25">
      <c r="A57" s="93">
        <v>56</v>
      </c>
      <c r="B57" s="94" t="s">
        <v>5293</v>
      </c>
      <c r="C57" s="106" t="s">
        <v>5363</v>
      </c>
      <c r="D57" s="93" t="s">
        <v>5279</v>
      </c>
      <c r="E57" s="93">
        <v>1</v>
      </c>
      <c r="I57" s="103">
        <v>37988</v>
      </c>
      <c r="J57" s="101" t="s">
        <v>738</v>
      </c>
      <c r="K57" s="98">
        <f t="shared" si="0"/>
        <v>2004</v>
      </c>
      <c r="L57" s="99" t="s">
        <v>5285</v>
      </c>
    </row>
    <row r="58" spans="1:12" ht="38.25">
      <c r="A58" s="93">
        <v>57</v>
      </c>
      <c r="B58" s="94" t="s">
        <v>5286</v>
      </c>
      <c r="C58" s="105" t="s">
        <v>5364</v>
      </c>
      <c r="D58" s="93" t="s">
        <v>5279</v>
      </c>
      <c r="I58" s="103">
        <v>38006</v>
      </c>
      <c r="J58" s="96" t="s">
        <v>911</v>
      </c>
      <c r="K58" s="98">
        <f t="shared" si="0"/>
        <v>2004</v>
      </c>
      <c r="L58" s="99" t="s">
        <v>5280</v>
      </c>
    </row>
    <row r="59" spans="1:12" ht="38.25">
      <c r="A59" s="93">
        <v>58</v>
      </c>
      <c r="B59" s="94" t="s">
        <v>5352</v>
      </c>
      <c r="C59" s="95" t="s">
        <v>5365</v>
      </c>
      <c r="D59" s="93" t="s">
        <v>5299</v>
      </c>
      <c r="I59" s="103">
        <v>38148</v>
      </c>
      <c r="J59" s="96" t="s">
        <v>917</v>
      </c>
      <c r="K59" s="98">
        <f t="shared" si="0"/>
        <v>2004</v>
      </c>
      <c r="L59" s="99" t="s">
        <v>5366</v>
      </c>
    </row>
    <row r="60" spans="1:12" ht="38.25">
      <c r="A60" s="93">
        <v>59</v>
      </c>
      <c r="B60" s="94" t="s">
        <v>5367</v>
      </c>
      <c r="C60" s="108" t="s">
        <v>5368</v>
      </c>
      <c r="D60" s="93" t="s">
        <v>5284</v>
      </c>
      <c r="E60" s="104" t="s">
        <v>5369</v>
      </c>
      <c r="F60" s="93"/>
      <c r="G60" s="93"/>
      <c r="H60" s="93">
        <v>2</v>
      </c>
      <c r="I60" s="103">
        <v>38152</v>
      </c>
      <c r="J60" s="96" t="s">
        <v>831</v>
      </c>
      <c r="K60" s="98">
        <f t="shared" si="0"/>
        <v>2004</v>
      </c>
      <c r="L60" s="99" t="s">
        <v>5291</v>
      </c>
    </row>
    <row r="61" spans="1:12" ht="25.5">
      <c r="A61" s="93">
        <v>60</v>
      </c>
      <c r="B61" s="94" t="s">
        <v>5352</v>
      </c>
      <c r="C61" s="95" t="s">
        <v>5370</v>
      </c>
      <c r="D61" s="93" t="s">
        <v>5299</v>
      </c>
      <c r="I61" s="103">
        <v>38161</v>
      </c>
      <c r="J61" s="96" t="s">
        <v>885</v>
      </c>
      <c r="K61" s="98">
        <f t="shared" si="0"/>
        <v>2004</v>
      </c>
      <c r="L61" s="99" t="s">
        <v>5366</v>
      </c>
    </row>
    <row r="62" spans="1:12" ht="25.5">
      <c r="A62" s="93">
        <v>61</v>
      </c>
      <c r="B62" s="94" t="s">
        <v>5352</v>
      </c>
      <c r="C62" s="105" t="s">
        <v>5371</v>
      </c>
      <c r="D62" s="96" t="s">
        <v>5279</v>
      </c>
      <c r="I62" s="103">
        <v>38161</v>
      </c>
      <c r="J62" s="96" t="s">
        <v>885</v>
      </c>
      <c r="K62" s="98">
        <f t="shared" si="0"/>
        <v>2004</v>
      </c>
      <c r="L62" s="99" t="s">
        <v>5366</v>
      </c>
    </row>
    <row r="63" spans="1:12" ht="25.5">
      <c r="A63" s="93">
        <v>62</v>
      </c>
      <c r="B63" s="94" t="s">
        <v>5352</v>
      </c>
      <c r="C63" s="95" t="s">
        <v>5372</v>
      </c>
      <c r="D63" s="93" t="s">
        <v>5299</v>
      </c>
      <c r="I63" s="103">
        <v>38163</v>
      </c>
      <c r="J63" s="96" t="s">
        <v>885</v>
      </c>
      <c r="K63" s="98">
        <f t="shared" si="0"/>
        <v>2004</v>
      </c>
      <c r="L63" s="99" t="s">
        <v>5366</v>
      </c>
    </row>
    <row r="64" spans="1:12" ht="25.5">
      <c r="A64" s="93">
        <v>63</v>
      </c>
      <c r="B64" s="94" t="s">
        <v>5352</v>
      </c>
      <c r="C64" s="105" t="s">
        <v>5373</v>
      </c>
      <c r="D64" s="93" t="s">
        <v>5279</v>
      </c>
      <c r="E64" s="93"/>
      <c r="I64" s="103">
        <v>38164</v>
      </c>
      <c r="J64" s="96" t="s">
        <v>885</v>
      </c>
      <c r="K64" s="98">
        <f t="shared" si="0"/>
        <v>2004</v>
      </c>
      <c r="L64" s="99" t="s">
        <v>5366</v>
      </c>
    </row>
    <row r="65" spans="1:12" ht="63.75">
      <c r="A65" s="93">
        <v>64</v>
      </c>
      <c r="B65" s="109" t="s">
        <v>5315</v>
      </c>
      <c r="C65" s="110" t="s">
        <v>5374</v>
      </c>
      <c r="D65" s="111" t="s">
        <v>5279</v>
      </c>
      <c r="E65" s="111"/>
      <c r="F65" s="112"/>
      <c r="G65" s="112"/>
      <c r="H65" s="112"/>
      <c r="I65" s="113">
        <v>38200</v>
      </c>
      <c r="J65" s="96" t="s">
        <v>911</v>
      </c>
      <c r="K65" s="98">
        <f t="shared" si="0"/>
        <v>2004</v>
      </c>
      <c r="L65" s="99" t="s">
        <v>5291</v>
      </c>
    </row>
    <row r="66" spans="1:12" ht="38.25">
      <c r="A66" s="93">
        <v>65</v>
      </c>
      <c r="B66" s="94" t="s">
        <v>5293</v>
      </c>
      <c r="C66" s="95" t="s">
        <v>5375</v>
      </c>
      <c r="D66" s="93" t="s">
        <v>5284</v>
      </c>
      <c r="E66" s="93">
        <v>1</v>
      </c>
      <c r="I66" s="103">
        <v>38203</v>
      </c>
      <c r="J66" s="101" t="s">
        <v>738</v>
      </c>
      <c r="K66" s="98">
        <f t="shared" si="0"/>
        <v>2004</v>
      </c>
      <c r="L66" s="99" t="s">
        <v>5285</v>
      </c>
    </row>
    <row r="67" spans="1:12" ht="76.5">
      <c r="A67" s="93">
        <v>66</v>
      </c>
      <c r="B67" s="94" t="s">
        <v>5315</v>
      </c>
      <c r="C67" s="105" t="s">
        <v>5376</v>
      </c>
      <c r="D67" s="93" t="s">
        <v>5284</v>
      </c>
      <c r="E67" s="93">
        <v>3</v>
      </c>
      <c r="I67" s="103">
        <v>38231</v>
      </c>
      <c r="J67" s="100" t="s">
        <v>994</v>
      </c>
      <c r="K67" s="98">
        <f t="shared" ref="K67:K130" si="1">YEAR(I67)</f>
        <v>2004</v>
      </c>
      <c r="L67" s="99" t="s">
        <v>5291</v>
      </c>
    </row>
    <row r="68" spans="1:12" ht="63.75">
      <c r="A68" s="93">
        <v>67</v>
      </c>
      <c r="B68" s="94" t="s">
        <v>5344</v>
      </c>
      <c r="C68" s="95" t="s">
        <v>5377</v>
      </c>
      <c r="D68" s="93" t="s">
        <v>5284</v>
      </c>
      <c r="E68" s="93"/>
      <c r="F68" s="93">
        <v>6</v>
      </c>
      <c r="G68" s="93"/>
      <c r="I68" s="103">
        <v>38246</v>
      </c>
      <c r="J68" s="96" t="s">
        <v>853</v>
      </c>
      <c r="K68" s="98">
        <f t="shared" si="1"/>
        <v>2004</v>
      </c>
      <c r="L68" s="99" t="s">
        <v>5291</v>
      </c>
    </row>
    <row r="69" spans="1:12" ht="51">
      <c r="A69" s="93">
        <v>68</v>
      </c>
      <c r="B69" s="94" t="s">
        <v>5367</v>
      </c>
      <c r="C69" s="95" t="s">
        <v>5378</v>
      </c>
      <c r="D69" s="93" t="s">
        <v>5284</v>
      </c>
      <c r="E69" s="104" t="s">
        <v>5379</v>
      </c>
      <c r="I69" s="103">
        <v>38247</v>
      </c>
      <c r="J69" s="96" t="s">
        <v>985</v>
      </c>
      <c r="K69" s="98">
        <f t="shared" si="1"/>
        <v>2004</v>
      </c>
      <c r="L69" s="99" t="s">
        <v>5291</v>
      </c>
    </row>
    <row r="70" spans="1:12" ht="51">
      <c r="A70" s="93">
        <v>69</v>
      </c>
      <c r="B70" s="94" t="s">
        <v>5282</v>
      </c>
      <c r="C70" s="106" t="s">
        <v>5380</v>
      </c>
      <c r="D70" s="93" t="s">
        <v>5284</v>
      </c>
      <c r="E70" s="104" t="s">
        <v>5369</v>
      </c>
      <c r="F70" s="93">
        <v>1</v>
      </c>
      <c r="G70" s="93"/>
      <c r="I70" s="103">
        <v>38306</v>
      </c>
      <c r="J70" s="101" t="s">
        <v>738</v>
      </c>
      <c r="K70" s="98">
        <f t="shared" si="1"/>
        <v>2004</v>
      </c>
      <c r="L70" s="99" t="s">
        <v>5285</v>
      </c>
    </row>
    <row r="71" spans="1:12" ht="51">
      <c r="A71" s="93">
        <v>70</v>
      </c>
      <c r="B71" s="94" t="s">
        <v>5282</v>
      </c>
      <c r="C71" s="106" t="s">
        <v>5381</v>
      </c>
      <c r="D71" s="93" t="s">
        <v>5284</v>
      </c>
      <c r="E71" s="93">
        <v>2</v>
      </c>
      <c r="I71" s="103">
        <v>38314</v>
      </c>
      <c r="J71" s="96" t="s">
        <v>954</v>
      </c>
      <c r="K71" s="98">
        <f t="shared" si="1"/>
        <v>2004</v>
      </c>
      <c r="L71" s="99" t="s">
        <v>5285</v>
      </c>
    </row>
    <row r="72" spans="1:12" ht="51">
      <c r="A72" s="93">
        <v>71</v>
      </c>
      <c r="B72" s="94" t="s">
        <v>5282</v>
      </c>
      <c r="C72" s="95" t="s">
        <v>5382</v>
      </c>
      <c r="D72" s="93" t="s">
        <v>5284</v>
      </c>
      <c r="E72" s="93">
        <v>2</v>
      </c>
      <c r="I72" s="103">
        <v>38323</v>
      </c>
      <c r="J72" s="101" t="s">
        <v>738</v>
      </c>
      <c r="K72" s="98">
        <f t="shared" si="1"/>
        <v>2004</v>
      </c>
      <c r="L72" s="99" t="s">
        <v>5285</v>
      </c>
    </row>
    <row r="73" spans="1:12" ht="51">
      <c r="A73" s="93">
        <v>72</v>
      </c>
      <c r="B73" s="94" t="s">
        <v>5282</v>
      </c>
      <c r="C73" s="95" t="s">
        <v>5383</v>
      </c>
      <c r="D73" s="93" t="s">
        <v>5284</v>
      </c>
      <c r="E73" s="93">
        <v>2</v>
      </c>
      <c r="I73" s="103">
        <v>38329</v>
      </c>
      <c r="J73" s="96" t="s">
        <v>917</v>
      </c>
      <c r="K73" s="98">
        <f t="shared" si="1"/>
        <v>2004</v>
      </c>
      <c r="L73" s="99" t="s">
        <v>5285</v>
      </c>
    </row>
    <row r="74" spans="1:12" ht="51">
      <c r="A74" s="93">
        <v>73</v>
      </c>
      <c r="B74" s="94" t="s">
        <v>5282</v>
      </c>
      <c r="C74" s="95" t="s">
        <v>5384</v>
      </c>
      <c r="D74" s="93" t="s">
        <v>5284</v>
      </c>
      <c r="E74" s="104" t="s">
        <v>5385</v>
      </c>
      <c r="I74" s="103">
        <v>38330</v>
      </c>
      <c r="J74" s="96" t="s">
        <v>969</v>
      </c>
      <c r="K74" s="98">
        <f t="shared" si="1"/>
        <v>2004</v>
      </c>
      <c r="L74" s="99" t="s">
        <v>5285</v>
      </c>
    </row>
    <row r="75" spans="1:12" ht="38.25">
      <c r="A75" s="93">
        <v>74</v>
      </c>
      <c r="B75" s="94" t="s">
        <v>5386</v>
      </c>
      <c r="C75" s="95" t="s">
        <v>5387</v>
      </c>
      <c r="D75" s="93" t="s">
        <v>5279</v>
      </c>
      <c r="F75" s="93"/>
      <c r="G75" s="93"/>
      <c r="H75" s="93"/>
      <c r="I75" s="103">
        <v>38331</v>
      </c>
      <c r="J75" s="96" t="s">
        <v>960</v>
      </c>
      <c r="K75" s="98">
        <f t="shared" si="1"/>
        <v>2004</v>
      </c>
      <c r="L75" s="99" t="s">
        <v>5280</v>
      </c>
    </row>
    <row r="76" spans="1:12" ht="38.25">
      <c r="A76" s="93">
        <v>75</v>
      </c>
      <c r="B76" s="94" t="s">
        <v>5386</v>
      </c>
      <c r="C76" s="95" t="s">
        <v>5388</v>
      </c>
      <c r="D76" s="93" t="s">
        <v>5279</v>
      </c>
      <c r="F76" s="93"/>
      <c r="G76" s="93"/>
      <c r="H76" s="93"/>
      <c r="I76" s="103">
        <v>38341</v>
      </c>
      <c r="J76" s="96" t="s">
        <v>862</v>
      </c>
      <c r="K76" s="98">
        <f t="shared" si="1"/>
        <v>2004</v>
      </c>
      <c r="L76" s="99" t="s">
        <v>5280</v>
      </c>
    </row>
    <row r="77" spans="1:12" ht="51">
      <c r="A77" s="93">
        <v>76</v>
      </c>
      <c r="B77" s="94" t="s">
        <v>5282</v>
      </c>
      <c r="C77" s="106" t="s">
        <v>5389</v>
      </c>
      <c r="D77" s="93" t="s">
        <v>5284</v>
      </c>
      <c r="E77" s="93">
        <v>2</v>
      </c>
      <c r="I77" s="103">
        <v>38347</v>
      </c>
      <c r="J77" s="101" t="s">
        <v>738</v>
      </c>
      <c r="K77" s="98">
        <f t="shared" si="1"/>
        <v>2004</v>
      </c>
      <c r="L77" s="99" t="s">
        <v>5285</v>
      </c>
    </row>
    <row r="78" spans="1:12" ht="51">
      <c r="A78" s="93">
        <v>77</v>
      </c>
      <c r="B78" s="94" t="s">
        <v>5282</v>
      </c>
      <c r="C78" s="105" t="s">
        <v>5390</v>
      </c>
      <c r="D78" s="93" t="s">
        <v>5284</v>
      </c>
      <c r="E78" s="93">
        <v>2</v>
      </c>
      <c r="I78" s="103">
        <v>38352</v>
      </c>
      <c r="J78" s="96" t="s">
        <v>969</v>
      </c>
      <c r="K78" s="98">
        <f t="shared" si="1"/>
        <v>2004</v>
      </c>
      <c r="L78" s="99" t="s">
        <v>5285</v>
      </c>
    </row>
    <row r="79" spans="1:12" ht="51">
      <c r="A79" s="93">
        <v>78</v>
      </c>
      <c r="B79" s="109" t="s">
        <v>5282</v>
      </c>
      <c r="C79" s="110" t="s">
        <v>5391</v>
      </c>
      <c r="D79" s="111" t="s">
        <v>5284</v>
      </c>
      <c r="E79" s="114" t="s">
        <v>5392</v>
      </c>
      <c r="F79" s="111">
        <v>3</v>
      </c>
      <c r="G79" s="111"/>
      <c r="H79" s="112">
        <v>12</v>
      </c>
      <c r="I79" s="113">
        <v>38353</v>
      </c>
      <c r="J79" s="96" t="s">
        <v>969</v>
      </c>
      <c r="K79" s="98">
        <f t="shared" si="1"/>
        <v>2005</v>
      </c>
      <c r="L79" s="99" t="s">
        <v>5285</v>
      </c>
    </row>
    <row r="80" spans="1:12" ht="51">
      <c r="A80" s="93">
        <v>79</v>
      </c>
      <c r="B80" s="94" t="s">
        <v>5282</v>
      </c>
      <c r="C80" s="95" t="s">
        <v>5393</v>
      </c>
      <c r="D80" s="93" t="s">
        <v>5284</v>
      </c>
      <c r="E80" s="93">
        <v>2</v>
      </c>
      <c r="F80" s="93">
        <v>1</v>
      </c>
      <c r="G80" s="93"/>
      <c r="H80" s="93">
        <v>2</v>
      </c>
      <c r="I80" s="103">
        <v>38356</v>
      </c>
      <c r="J80" s="101" t="s">
        <v>738</v>
      </c>
      <c r="K80" s="98">
        <f t="shared" si="1"/>
        <v>2005</v>
      </c>
      <c r="L80" s="99" t="s">
        <v>5285</v>
      </c>
    </row>
    <row r="81" spans="1:12" ht="51">
      <c r="A81" s="93">
        <v>80</v>
      </c>
      <c r="B81" s="94" t="s">
        <v>5282</v>
      </c>
      <c r="C81" s="95" t="s">
        <v>5394</v>
      </c>
      <c r="D81" s="93" t="s">
        <v>5284</v>
      </c>
      <c r="E81" s="93">
        <v>2</v>
      </c>
      <c r="F81" s="93">
        <v>1</v>
      </c>
      <c r="G81" s="93"/>
      <c r="I81" s="103">
        <v>38360</v>
      </c>
      <c r="J81" s="96" t="s">
        <v>917</v>
      </c>
      <c r="K81" s="98">
        <f t="shared" si="1"/>
        <v>2005</v>
      </c>
      <c r="L81" s="99" t="s">
        <v>5285</v>
      </c>
    </row>
    <row r="82" spans="1:12" ht="25.5">
      <c r="A82" s="93">
        <v>81</v>
      </c>
      <c r="B82" s="94" t="s">
        <v>5395</v>
      </c>
      <c r="C82" s="95" t="s">
        <v>5396</v>
      </c>
      <c r="D82" s="93" t="s">
        <v>5284</v>
      </c>
      <c r="E82" s="93">
        <v>2</v>
      </c>
      <c r="I82" s="103">
        <v>38361</v>
      </c>
      <c r="J82" s="101" t="s">
        <v>738</v>
      </c>
      <c r="K82" s="98">
        <f t="shared" si="1"/>
        <v>2005</v>
      </c>
      <c r="L82" s="99" t="s">
        <v>5285</v>
      </c>
    </row>
    <row r="83" spans="1:12" ht="51">
      <c r="A83" s="93">
        <v>82</v>
      </c>
      <c r="B83" s="94" t="s">
        <v>5282</v>
      </c>
      <c r="C83" s="95" t="s">
        <v>5397</v>
      </c>
      <c r="D83" s="93" t="s">
        <v>5284</v>
      </c>
      <c r="E83" s="93">
        <v>1</v>
      </c>
      <c r="F83" s="93">
        <v>5</v>
      </c>
      <c r="G83" s="93"/>
      <c r="H83" s="107"/>
      <c r="I83" s="103">
        <v>38380</v>
      </c>
      <c r="J83" s="101" t="s">
        <v>738</v>
      </c>
      <c r="K83" s="98">
        <f t="shared" si="1"/>
        <v>2005</v>
      </c>
      <c r="L83" s="99" t="s">
        <v>5285</v>
      </c>
    </row>
    <row r="84" spans="1:12" ht="51">
      <c r="A84" s="93">
        <v>83</v>
      </c>
      <c r="B84" s="94" t="s">
        <v>5282</v>
      </c>
      <c r="C84" s="95" t="s">
        <v>5398</v>
      </c>
      <c r="D84" s="93" t="s">
        <v>5284</v>
      </c>
      <c r="E84" s="104" t="s">
        <v>5385</v>
      </c>
      <c r="I84" s="103">
        <v>38388</v>
      </c>
      <c r="J84" s="100" t="s">
        <v>999</v>
      </c>
      <c r="K84" s="98">
        <f t="shared" si="1"/>
        <v>2005</v>
      </c>
      <c r="L84" s="99" t="s">
        <v>5285</v>
      </c>
    </row>
    <row r="85" spans="1:12" ht="51">
      <c r="A85" s="93">
        <v>84</v>
      </c>
      <c r="B85" s="94" t="s">
        <v>5282</v>
      </c>
      <c r="C85" s="95" t="s">
        <v>5399</v>
      </c>
      <c r="D85" s="93" t="s">
        <v>5284</v>
      </c>
      <c r="E85" s="115" t="s">
        <v>5369</v>
      </c>
      <c r="I85" s="103">
        <v>38403</v>
      </c>
      <c r="J85" s="96" t="s">
        <v>969</v>
      </c>
      <c r="K85" s="98">
        <f t="shared" si="1"/>
        <v>2005</v>
      </c>
      <c r="L85" s="99" t="s">
        <v>5285</v>
      </c>
    </row>
    <row r="86" spans="1:12" ht="51">
      <c r="A86" s="93">
        <v>85</v>
      </c>
      <c r="B86" s="94" t="s">
        <v>5282</v>
      </c>
      <c r="C86" s="95" t="s">
        <v>5400</v>
      </c>
      <c r="D86" s="93" t="s">
        <v>5284</v>
      </c>
      <c r="E86" s="115"/>
      <c r="F86" s="93">
        <v>4</v>
      </c>
      <c r="G86" s="93"/>
      <c r="I86" s="103">
        <v>38421</v>
      </c>
      <c r="J86" s="101" t="s">
        <v>738</v>
      </c>
      <c r="K86" s="98">
        <f t="shared" si="1"/>
        <v>2005</v>
      </c>
      <c r="L86" s="99" t="s">
        <v>5285</v>
      </c>
    </row>
    <row r="87" spans="1:12" ht="51">
      <c r="A87" s="93">
        <v>86</v>
      </c>
      <c r="B87" s="94" t="s">
        <v>5282</v>
      </c>
      <c r="C87" s="95" t="s">
        <v>5401</v>
      </c>
      <c r="D87" s="93" t="s">
        <v>5284</v>
      </c>
      <c r="E87" s="93">
        <v>2</v>
      </c>
      <c r="I87" s="103">
        <v>38434</v>
      </c>
      <c r="J87" s="96" t="s">
        <v>989</v>
      </c>
      <c r="K87" s="98">
        <f t="shared" si="1"/>
        <v>2005</v>
      </c>
      <c r="L87" s="99" t="s">
        <v>5285</v>
      </c>
    </row>
    <row r="88" spans="1:12" ht="51">
      <c r="A88" s="93">
        <v>87</v>
      </c>
      <c r="B88" s="94" t="s">
        <v>5282</v>
      </c>
      <c r="C88" s="95" t="s">
        <v>5402</v>
      </c>
      <c r="D88" s="93" t="s">
        <v>5284</v>
      </c>
      <c r="E88" s="93">
        <v>2</v>
      </c>
      <c r="I88" s="103">
        <v>38439</v>
      </c>
      <c r="J88" s="96" t="s">
        <v>1003</v>
      </c>
      <c r="K88" s="98">
        <f t="shared" si="1"/>
        <v>2005</v>
      </c>
      <c r="L88" s="99" t="s">
        <v>5285</v>
      </c>
    </row>
    <row r="89" spans="1:12" ht="38.25">
      <c r="A89" s="93">
        <v>88</v>
      </c>
      <c r="B89" s="94" t="s">
        <v>5403</v>
      </c>
      <c r="C89" s="95" t="s">
        <v>5404</v>
      </c>
      <c r="D89" s="93" t="s">
        <v>5284</v>
      </c>
      <c r="E89" s="93">
        <v>5</v>
      </c>
      <c r="I89" s="103">
        <v>38454</v>
      </c>
      <c r="J89" s="96" t="s">
        <v>947</v>
      </c>
      <c r="K89" s="98">
        <f t="shared" si="1"/>
        <v>2005</v>
      </c>
      <c r="L89" s="99" t="s">
        <v>5291</v>
      </c>
    </row>
    <row r="90" spans="1:12" ht="38.25">
      <c r="A90" s="93">
        <v>89</v>
      </c>
      <c r="B90" s="94" t="s">
        <v>5395</v>
      </c>
      <c r="C90" s="95" t="s">
        <v>5405</v>
      </c>
      <c r="D90" s="93" t="s">
        <v>5284</v>
      </c>
      <c r="E90" s="93">
        <v>4</v>
      </c>
      <c r="I90" s="103">
        <v>38470</v>
      </c>
      <c r="J90" s="96" t="s">
        <v>870</v>
      </c>
      <c r="K90" s="98">
        <f t="shared" si="1"/>
        <v>2005</v>
      </c>
      <c r="L90" s="99" t="s">
        <v>5285</v>
      </c>
    </row>
    <row r="91" spans="1:12" ht="25.5">
      <c r="A91" s="93">
        <v>90</v>
      </c>
      <c r="B91" s="94" t="s">
        <v>5406</v>
      </c>
      <c r="C91" s="95" t="s">
        <v>5407</v>
      </c>
      <c r="D91" s="93" t="s">
        <v>5279</v>
      </c>
      <c r="F91" s="93">
        <v>48</v>
      </c>
      <c r="G91" s="93"/>
      <c r="H91" s="93"/>
      <c r="I91" s="103">
        <v>38471</v>
      </c>
      <c r="J91" s="96" t="s">
        <v>925</v>
      </c>
      <c r="K91" s="98">
        <f t="shared" si="1"/>
        <v>2005</v>
      </c>
      <c r="L91" s="99" t="s">
        <v>5307</v>
      </c>
    </row>
    <row r="92" spans="1:12" ht="51">
      <c r="A92" s="93">
        <v>91</v>
      </c>
      <c r="B92" s="94" t="s">
        <v>5282</v>
      </c>
      <c r="C92" s="95" t="s">
        <v>5408</v>
      </c>
      <c r="D92" s="93" t="s">
        <v>5284</v>
      </c>
      <c r="E92" s="104" t="s">
        <v>5409</v>
      </c>
      <c r="F92" s="93">
        <v>1</v>
      </c>
      <c r="G92" s="93"/>
      <c r="I92" s="103">
        <v>38477</v>
      </c>
      <c r="J92" s="96" t="s">
        <v>974</v>
      </c>
      <c r="K92" s="98">
        <f t="shared" si="1"/>
        <v>2005</v>
      </c>
      <c r="L92" s="99" t="s">
        <v>5285</v>
      </c>
    </row>
    <row r="93" spans="1:12" ht="51">
      <c r="A93" s="93">
        <v>92</v>
      </c>
      <c r="B93" s="94" t="s">
        <v>5282</v>
      </c>
      <c r="C93" s="95" t="s">
        <v>5410</v>
      </c>
      <c r="D93" s="93" t="s">
        <v>5284</v>
      </c>
      <c r="E93" s="93">
        <v>2</v>
      </c>
      <c r="F93" s="93"/>
      <c r="G93" s="93"/>
      <c r="I93" s="103">
        <v>38495</v>
      </c>
      <c r="J93" s="101" t="s">
        <v>738</v>
      </c>
      <c r="K93" s="98">
        <f t="shared" si="1"/>
        <v>2005</v>
      </c>
      <c r="L93" s="99" t="s">
        <v>5285</v>
      </c>
    </row>
    <row r="94" spans="1:12" ht="51">
      <c r="A94" s="93">
        <v>93</v>
      </c>
      <c r="B94" s="94" t="s">
        <v>5282</v>
      </c>
      <c r="C94" s="95" t="s">
        <v>5411</v>
      </c>
      <c r="D94" s="93" t="s">
        <v>5284</v>
      </c>
      <c r="E94" s="93">
        <v>2</v>
      </c>
      <c r="F94" s="93"/>
      <c r="G94" s="93"/>
      <c r="I94" s="103">
        <v>38539</v>
      </c>
      <c r="J94" s="96" t="s">
        <v>911</v>
      </c>
      <c r="K94" s="98">
        <f t="shared" si="1"/>
        <v>2005</v>
      </c>
      <c r="L94" s="99" t="s">
        <v>5285</v>
      </c>
    </row>
    <row r="95" spans="1:12" ht="51">
      <c r="A95" s="93">
        <v>94</v>
      </c>
      <c r="B95" s="94" t="s">
        <v>5352</v>
      </c>
      <c r="C95" s="95" t="s">
        <v>5412</v>
      </c>
      <c r="D95" s="93" t="s">
        <v>5299</v>
      </c>
      <c r="F95" s="93"/>
      <c r="G95" s="93"/>
      <c r="I95" s="103">
        <v>38565</v>
      </c>
      <c r="J95" s="96" t="s">
        <v>885</v>
      </c>
      <c r="K95" s="98">
        <f t="shared" si="1"/>
        <v>2005</v>
      </c>
      <c r="L95" s="99" t="s">
        <v>5366</v>
      </c>
    </row>
    <row r="96" spans="1:12" ht="25.5">
      <c r="A96" s="93">
        <v>95</v>
      </c>
      <c r="B96" s="94" t="s">
        <v>5357</v>
      </c>
      <c r="C96" s="110" t="s">
        <v>5413</v>
      </c>
      <c r="D96" s="93" t="s">
        <v>5284</v>
      </c>
      <c r="E96" s="93">
        <v>3</v>
      </c>
      <c r="F96" s="93">
        <v>1</v>
      </c>
      <c r="G96" s="93"/>
      <c r="I96" s="103">
        <v>38565</v>
      </c>
      <c r="J96" s="96" t="s">
        <v>938</v>
      </c>
      <c r="K96" s="98">
        <f t="shared" si="1"/>
        <v>2005</v>
      </c>
      <c r="L96" s="99" t="s">
        <v>5314</v>
      </c>
    </row>
    <row r="97" spans="1:12" ht="51">
      <c r="A97" s="93">
        <v>96</v>
      </c>
      <c r="B97" s="94" t="s">
        <v>5282</v>
      </c>
      <c r="C97" s="95" t="s">
        <v>5414</v>
      </c>
      <c r="D97" s="93" t="s">
        <v>5284</v>
      </c>
      <c r="E97" s="93">
        <v>2</v>
      </c>
      <c r="F97" s="93"/>
      <c r="G97" s="93"/>
      <c r="I97" s="103">
        <v>38570</v>
      </c>
      <c r="J97" s="96" t="s">
        <v>925</v>
      </c>
      <c r="K97" s="98">
        <f t="shared" si="1"/>
        <v>2005</v>
      </c>
      <c r="L97" s="99" t="s">
        <v>5285</v>
      </c>
    </row>
    <row r="98" spans="1:12" ht="51">
      <c r="A98" s="93">
        <v>97</v>
      </c>
      <c r="B98" s="94" t="s">
        <v>5282</v>
      </c>
      <c r="C98" s="95" t="s">
        <v>5415</v>
      </c>
      <c r="D98" s="93" t="s">
        <v>5279</v>
      </c>
      <c r="E98" s="93"/>
      <c r="F98" s="93"/>
      <c r="G98" s="93"/>
      <c r="I98" s="103">
        <v>38576</v>
      </c>
      <c r="J98" s="96" t="s">
        <v>965</v>
      </c>
      <c r="K98" s="98">
        <f t="shared" si="1"/>
        <v>2005</v>
      </c>
      <c r="L98" s="99" t="s">
        <v>5285</v>
      </c>
    </row>
    <row r="99" spans="1:12" ht="51">
      <c r="A99" s="93">
        <v>98</v>
      </c>
      <c r="B99" s="94" t="s">
        <v>5282</v>
      </c>
      <c r="C99" s="95" t="s">
        <v>5416</v>
      </c>
      <c r="D99" s="93" t="s">
        <v>5284</v>
      </c>
      <c r="E99" s="93">
        <v>3</v>
      </c>
      <c r="F99" s="93">
        <v>3</v>
      </c>
      <c r="G99" s="93"/>
      <c r="H99" s="93">
        <v>3</v>
      </c>
      <c r="I99" s="103">
        <v>38589</v>
      </c>
      <c r="J99" s="96" t="s">
        <v>892</v>
      </c>
      <c r="K99" s="98">
        <f t="shared" si="1"/>
        <v>2005</v>
      </c>
      <c r="L99" s="99" t="s">
        <v>5285</v>
      </c>
    </row>
    <row r="100" spans="1:12" ht="51">
      <c r="A100" s="93">
        <v>99</v>
      </c>
      <c r="B100" s="94" t="s">
        <v>5282</v>
      </c>
      <c r="C100" s="95" t="s">
        <v>5417</v>
      </c>
      <c r="D100" s="93" t="s">
        <v>5284</v>
      </c>
      <c r="E100" s="93">
        <v>2</v>
      </c>
      <c r="F100" s="93">
        <v>1</v>
      </c>
      <c r="G100" s="93"/>
      <c r="H100" s="93"/>
      <c r="I100" s="103">
        <v>38594</v>
      </c>
      <c r="J100" s="101" t="s">
        <v>738</v>
      </c>
      <c r="K100" s="98">
        <f t="shared" si="1"/>
        <v>2005</v>
      </c>
      <c r="L100" s="99" t="s">
        <v>5285</v>
      </c>
    </row>
    <row r="101" spans="1:12" ht="51">
      <c r="A101" s="93">
        <v>100</v>
      </c>
      <c r="B101" s="94" t="s">
        <v>5282</v>
      </c>
      <c r="C101" s="95" t="s">
        <v>5418</v>
      </c>
      <c r="D101" s="93" t="s">
        <v>5284</v>
      </c>
      <c r="E101" s="93">
        <v>3</v>
      </c>
      <c r="F101" s="93"/>
      <c r="G101" s="93"/>
      <c r="H101" s="93">
        <v>8</v>
      </c>
      <c r="I101" s="103">
        <v>38645</v>
      </c>
      <c r="J101" s="101" t="s">
        <v>738</v>
      </c>
      <c r="K101" s="98">
        <f t="shared" si="1"/>
        <v>2005</v>
      </c>
      <c r="L101" s="99" t="s">
        <v>5285</v>
      </c>
    </row>
    <row r="102" spans="1:12" ht="51">
      <c r="A102" s="93">
        <v>101</v>
      </c>
      <c r="B102" s="94" t="s">
        <v>5282</v>
      </c>
      <c r="C102" s="95" t="s">
        <v>5419</v>
      </c>
      <c r="D102" s="93" t="s">
        <v>5284</v>
      </c>
      <c r="E102" s="93">
        <v>3</v>
      </c>
      <c r="F102" s="93"/>
      <c r="G102" s="93"/>
      <c r="H102" s="93"/>
      <c r="I102" s="103">
        <v>38653</v>
      </c>
      <c r="J102" s="101" t="s">
        <v>738</v>
      </c>
      <c r="K102" s="98">
        <f t="shared" si="1"/>
        <v>2005</v>
      </c>
      <c r="L102" s="99" t="s">
        <v>5285</v>
      </c>
    </row>
    <row r="103" spans="1:12" ht="51">
      <c r="A103" s="93">
        <v>102</v>
      </c>
      <c r="B103" s="94" t="s">
        <v>5282</v>
      </c>
      <c r="C103" s="95" t="s">
        <v>5420</v>
      </c>
      <c r="D103" s="93" t="s">
        <v>5284</v>
      </c>
      <c r="E103" s="93">
        <v>2</v>
      </c>
      <c r="F103" s="93"/>
      <c r="G103" s="93"/>
      <c r="H103" s="93"/>
      <c r="I103" s="103">
        <v>38656</v>
      </c>
      <c r="J103" s="101" t="s">
        <v>738</v>
      </c>
      <c r="K103" s="98">
        <f t="shared" si="1"/>
        <v>2005</v>
      </c>
      <c r="L103" s="99" t="s">
        <v>5285</v>
      </c>
    </row>
    <row r="104" spans="1:12" ht="51">
      <c r="A104" s="93">
        <v>103</v>
      </c>
      <c r="B104" s="94" t="s">
        <v>5282</v>
      </c>
      <c r="C104" s="95" t="s">
        <v>5421</v>
      </c>
      <c r="D104" s="93" t="s">
        <v>5284</v>
      </c>
      <c r="E104" s="93">
        <v>3</v>
      </c>
      <c r="F104" s="93"/>
      <c r="G104" s="93"/>
      <c r="H104" s="93">
        <v>7</v>
      </c>
      <c r="I104" s="103">
        <v>38659</v>
      </c>
      <c r="J104" s="96" t="s">
        <v>1003</v>
      </c>
      <c r="K104" s="98">
        <f t="shared" si="1"/>
        <v>2005</v>
      </c>
      <c r="L104" s="99" t="s">
        <v>5285</v>
      </c>
    </row>
    <row r="105" spans="1:12" ht="51">
      <c r="A105" s="93">
        <v>104</v>
      </c>
      <c r="B105" s="94" t="s">
        <v>5282</v>
      </c>
      <c r="C105" s="95" t="s">
        <v>5422</v>
      </c>
      <c r="D105" s="93" t="s">
        <v>5284</v>
      </c>
      <c r="E105" s="93">
        <v>3</v>
      </c>
      <c r="F105" s="93"/>
      <c r="G105" s="93"/>
      <c r="H105" s="93"/>
      <c r="I105" s="103">
        <v>38690</v>
      </c>
      <c r="J105" s="101" t="s">
        <v>738</v>
      </c>
      <c r="K105" s="98">
        <f t="shared" si="1"/>
        <v>2005</v>
      </c>
      <c r="L105" s="99" t="s">
        <v>5285</v>
      </c>
    </row>
    <row r="106" spans="1:12" ht="51">
      <c r="A106" s="93">
        <v>105</v>
      </c>
      <c r="B106" s="94" t="s">
        <v>5282</v>
      </c>
      <c r="C106" s="95" t="s">
        <v>5423</v>
      </c>
      <c r="D106" s="93" t="s">
        <v>5284</v>
      </c>
      <c r="E106" s="104" t="s">
        <v>5385</v>
      </c>
      <c r="I106" s="103">
        <v>38695</v>
      </c>
      <c r="J106" s="96" t="s">
        <v>921</v>
      </c>
      <c r="K106" s="98">
        <f t="shared" si="1"/>
        <v>2005</v>
      </c>
      <c r="L106" s="99" t="s">
        <v>5285</v>
      </c>
    </row>
    <row r="107" spans="1:12" ht="51">
      <c r="A107" s="93">
        <v>106</v>
      </c>
      <c r="B107" s="94" t="s">
        <v>5282</v>
      </c>
      <c r="C107" s="95" t="s">
        <v>5424</v>
      </c>
      <c r="D107" s="93" t="s">
        <v>5284</v>
      </c>
      <c r="E107" s="93">
        <v>2</v>
      </c>
      <c r="I107" s="103">
        <v>38705</v>
      </c>
      <c r="J107" s="96" t="s">
        <v>831</v>
      </c>
      <c r="K107" s="98">
        <f t="shared" si="1"/>
        <v>2005</v>
      </c>
      <c r="L107" s="99" t="s">
        <v>5285</v>
      </c>
    </row>
    <row r="108" spans="1:12" ht="63.75">
      <c r="A108" s="93">
        <v>107</v>
      </c>
      <c r="B108" s="94" t="s">
        <v>5317</v>
      </c>
      <c r="C108" s="95" t="s">
        <v>5425</v>
      </c>
      <c r="D108" s="93" t="s">
        <v>5279</v>
      </c>
      <c r="F108" s="93">
        <v>8</v>
      </c>
      <c r="G108" s="93"/>
      <c r="H108" s="93">
        <v>8</v>
      </c>
      <c r="I108" s="103">
        <v>38710</v>
      </c>
      <c r="J108" s="96" t="s">
        <v>885</v>
      </c>
      <c r="K108" s="98">
        <f t="shared" si="1"/>
        <v>2005</v>
      </c>
      <c r="L108" s="99" t="s">
        <v>5319</v>
      </c>
    </row>
    <row r="109" spans="1:12" ht="51">
      <c r="A109" s="93">
        <v>108</v>
      </c>
      <c r="B109" s="116" t="s">
        <v>5426</v>
      </c>
      <c r="C109" s="117" t="s">
        <v>5427</v>
      </c>
      <c r="D109" s="118" t="s">
        <v>5284</v>
      </c>
      <c r="E109" s="119" t="s">
        <v>5428</v>
      </c>
      <c r="F109" s="101"/>
      <c r="G109" s="101"/>
      <c r="H109" s="101"/>
      <c r="I109" s="103">
        <v>38718</v>
      </c>
      <c r="J109" s="96" t="s">
        <v>1003</v>
      </c>
      <c r="K109" s="98">
        <f t="shared" si="1"/>
        <v>2006</v>
      </c>
      <c r="L109" s="99" t="s">
        <v>5285</v>
      </c>
    </row>
    <row r="110" spans="1:12" ht="25.5">
      <c r="A110" s="93">
        <v>109</v>
      </c>
      <c r="B110" s="116" t="s">
        <v>5429</v>
      </c>
      <c r="C110" s="117" t="s">
        <v>5430</v>
      </c>
      <c r="D110" s="118" t="s">
        <v>5284</v>
      </c>
      <c r="E110" s="118"/>
      <c r="F110" s="101">
        <v>4</v>
      </c>
      <c r="G110" s="101"/>
      <c r="H110" s="101"/>
      <c r="I110" s="103">
        <v>38718</v>
      </c>
      <c r="J110" s="101" t="s">
        <v>738</v>
      </c>
      <c r="K110" s="98">
        <f t="shared" si="1"/>
        <v>2006</v>
      </c>
      <c r="L110" s="99" t="s">
        <v>5285</v>
      </c>
    </row>
    <row r="111" spans="1:12" ht="51">
      <c r="A111" s="93">
        <v>110</v>
      </c>
      <c r="B111" s="116" t="s">
        <v>5431</v>
      </c>
      <c r="C111" s="117" t="s">
        <v>5432</v>
      </c>
      <c r="D111" s="118" t="s">
        <v>5284</v>
      </c>
      <c r="E111" s="120">
        <v>2</v>
      </c>
      <c r="F111" s="101"/>
      <c r="G111" s="101"/>
      <c r="H111" s="101">
        <v>2</v>
      </c>
      <c r="I111" s="103">
        <v>38742</v>
      </c>
      <c r="J111" s="96" t="s">
        <v>938</v>
      </c>
      <c r="K111" s="98">
        <f t="shared" si="1"/>
        <v>2006</v>
      </c>
      <c r="L111" s="99" t="s">
        <v>5285</v>
      </c>
    </row>
    <row r="112" spans="1:12" ht="51">
      <c r="A112" s="93">
        <v>111</v>
      </c>
      <c r="B112" s="116" t="s">
        <v>5431</v>
      </c>
      <c r="C112" s="117" t="s">
        <v>5433</v>
      </c>
      <c r="D112" s="118" t="s">
        <v>5284</v>
      </c>
      <c r="E112" s="120">
        <v>3</v>
      </c>
      <c r="F112" s="101">
        <v>1</v>
      </c>
      <c r="G112" s="101"/>
      <c r="H112" s="101">
        <v>3</v>
      </c>
      <c r="I112" s="103">
        <v>38751</v>
      </c>
      <c r="J112" s="96" t="s">
        <v>969</v>
      </c>
      <c r="K112" s="98">
        <f t="shared" si="1"/>
        <v>2006</v>
      </c>
      <c r="L112" s="99" t="s">
        <v>5285</v>
      </c>
    </row>
    <row r="113" spans="1:12" ht="51">
      <c r="A113" s="93">
        <v>112</v>
      </c>
      <c r="B113" s="116" t="s">
        <v>5282</v>
      </c>
      <c r="C113" s="117" t="s">
        <v>5434</v>
      </c>
      <c r="D113" s="101" t="s">
        <v>5284</v>
      </c>
      <c r="E113" s="101">
        <v>2</v>
      </c>
      <c r="F113" s="101"/>
      <c r="G113" s="101"/>
      <c r="H113" s="101">
        <v>1</v>
      </c>
      <c r="I113" s="103">
        <v>38752</v>
      </c>
      <c r="J113" s="101" t="s">
        <v>738</v>
      </c>
      <c r="K113" s="98">
        <f t="shared" si="1"/>
        <v>2006</v>
      </c>
      <c r="L113" s="99" t="s">
        <v>5285</v>
      </c>
    </row>
    <row r="114" spans="1:12" ht="51">
      <c r="A114" s="93">
        <v>113</v>
      </c>
      <c r="B114" s="116" t="s">
        <v>5282</v>
      </c>
      <c r="C114" s="117" t="s">
        <v>5435</v>
      </c>
      <c r="D114" s="118" t="s">
        <v>5284</v>
      </c>
      <c r="E114" s="101">
        <v>2</v>
      </c>
      <c r="F114" s="101"/>
      <c r="G114" s="101"/>
      <c r="H114" s="101"/>
      <c r="I114" s="103">
        <v>38759</v>
      </c>
      <c r="J114" s="96" t="s">
        <v>938</v>
      </c>
      <c r="K114" s="98">
        <f t="shared" si="1"/>
        <v>2006</v>
      </c>
      <c r="L114" s="99" t="s">
        <v>5285</v>
      </c>
    </row>
    <row r="115" spans="1:12" ht="51">
      <c r="A115" s="93">
        <v>114</v>
      </c>
      <c r="B115" s="116" t="s">
        <v>5282</v>
      </c>
      <c r="C115" s="117" t="s">
        <v>5436</v>
      </c>
      <c r="D115" s="118" t="s">
        <v>5284</v>
      </c>
      <c r="E115" s="120">
        <v>2</v>
      </c>
      <c r="F115" s="120"/>
      <c r="G115" s="120"/>
      <c r="H115" s="120"/>
      <c r="I115" s="103">
        <v>38759</v>
      </c>
      <c r="J115" s="96" t="s">
        <v>925</v>
      </c>
      <c r="K115" s="98">
        <f t="shared" si="1"/>
        <v>2006</v>
      </c>
      <c r="L115" s="99" t="s">
        <v>5285</v>
      </c>
    </row>
    <row r="116" spans="1:12" ht="38.25">
      <c r="A116" s="93">
        <v>115</v>
      </c>
      <c r="B116" s="116" t="s">
        <v>5437</v>
      </c>
      <c r="C116" s="117" t="s">
        <v>5438</v>
      </c>
      <c r="D116" s="101" t="s">
        <v>5284</v>
      </c>
      <c r="E116" s="101"/>
      <c r="F116" s="101">
        <v>10</v>
      </c>
      <c r="G116" s="101"/>
      <c r="H116" s="101"/>
      <c r="I116" s="103">
        <v>38761</v>
      </c>
      <c r="J116" s="96" t="s">
        <v>947</v>
      </c>
      <c r="K116" s="98">
        <f t="shared" si="1"/>
        <v>2006</v>
      </c>
      <c r="L116" s="99" t="s">
        <v>5291</v>
      </c>
    </row>
    <row r="117" spans="1:12" ht="51">
      <c r="A117" s="93">
        <v>116</v>
      </c>
      <c r="B117" s="116" t="s">
        <v>5282</v>
      </c>
      <c r="C117" s="117" t="s">
        <v>5439</v>
      </c>
      <c r="D117" s="101" t="s">
        <v>5284</v>
      </c>
      <c r="E117" s="120">
        <v>2</v>
      </c>
      <c r="F117" s="120"/>
      <c r="G117" s="120"/>
      <c r="H117" s="120"/>
      <c r="I117" s="103">
        <v>38782</v>
      </c>
      <c r="J117" s="96" t="s">
        <v>885</v>
      </c>
      <c r="K117" s="98">
        <f t="shared" si="1"/>
        <v>2006</v>
      </c>
      <c r="L117" s="99" t="s">
        <v>5285</v>
      </c>
    </row>
    <row r="118" spans="1:12" ht="51">
      <c r="A118" s="93">
        <v>117</v>
      </c>
      <c r="B118" s="116" t="s">
        <v>5282</v>
      </c>
      <c r="C118" s="117" t="s">
        <v>5440</v>
      </c>
      <c r="D118" s="101" t="s">
        <v>5284</v>
      </c>
      <c r="E118" s="121" t="s">
        <v>5385</v>
      </c>
      <c r="F118" s="120"/>
      <c r="G118" s="120"/>
      <c r="H118" s="120"/>
      <c r="I118" s="103">
        <v>38791</v>
      </c>
      <c r="J118" s="96" t="s">
        <v>917</v>
      </c>
      <c r="K118" s="98">
        <f t="shared" si="1"/>
        <v>2006</v>
      </c>
      <c r="L118" s="99" t="s">
        <v>5285</v>
      </c>
    </row>
    <row r="119" spans="1:12" ht="25.5">
      <c r="A119" s="93">
        <v>118</v>
      </c>
      <c r="B119" s="122" t="s">
        <v>5441</v>
      </c>
      <c r="C119" s="117" t="s">
        <v>5442</v>
      </c>
      <c r="D119" s="101" t="s">
        <v>5279</v>
      </c>
      <c r="E119" s="120"/>
      <c r="F119" s="120">
        <v>35</v>
      </c>
      <c r="G119" s="120"/>
      <c r="H119" s="120"/>
      <c r="I119" s="103">
        <v>38797</v>
      </c>
      <c r="J119" s="96" t="s">
        <v>1003</v>
      </c>
      <c r="K119" s="98">
        <f t="shared" si="1"/>
        <v>2006</v>
      </c>
      <c r="L119" s="99" t="s">
        <v>5307</v>
      </c>
    </row>
    <row r="120" spans="1:12" ht="38.25">
      <c r="A120" s="93">
        <v>119</v>
      </c>
      <c r="B120" s="122" t="s">
        <v>5443</v>
      </c>
      <c r="C120" s="123" t="s">
        <v>5444</v>
      </c>
      <c r="D120" s="120" t="s">
        <v>5284</v>
      </c>
      <c r="E120" s="120">
        <v>5</v>
      </c>
      <c r="F120" s="120">
        <v>7</v>
      </c>
      <c r="G120" s="120"/>
      <c r="H120" s="120"/>
      <c r="I120" s="103">
        <v>38803</v>
      </c>
      <c r="J120" s="96" t="s">
        <v>838</v>
      </c>
      <c r="K120" s="98">
        <f t="shared" si="1"/>
        <v>2006</v>
      </c>
      <c r="L120" s="99" t="s">
        <v>5319</v>
      </c>
    </row>
    <row r="121" spans="1:12" ht="38.25">
      <c r="A121" s="93">
        <v>120</v>
      </c>
      <c r="B121" s="116" t="s">
        <v>5403</v>
      </c>
      <c r="C121" s="124" t="s">
        <v>5445</v>
      </c>
      <c r="D121" s="118" t="s">
        <v>5284</v>
      </c>
      <c r="E121" s="101">
        <v>5</v>
      </c>
      <c r="F121" s="101">
        <v>3</v>
      </c>
      <c r="G121" s="101"/>
      <c r="H121" s="101"/>
      <c r="I121" s="103">
        <v>38820</v>
      </c>
      <c r="J121" s="96" t="s">
        <v>892</v>
      </c>
      <c r="K121" s="98">
        <f t="shared" si="1"/>
        <v>2006</v>
      </c>
      <c r="L121" s="99" t="s">
        <v>5291</v>
      </c>
    </row>
    <row r="122" spans="1:12" ht="51">
      <c r="A122" s="93">
        <v>121</v>
      </c>
      <c r="B122" s="116" t="s">
        <v>5282</v>
      </c>
      <c r="C122" s="122" t="s">
        <v>5446</v>
      </c>
      <c r="D122" s="101" t="s">
        <v>5284</v>
      </c>
      <c r="E122" s="120">
        <v>2</v>
      </c>
      <c r="F122" s="120"/>
      <c r="G122" s="120"/>
      <c r="H122" s="120"/>
      <c r="I122" s="103">
        <v>38822</v>
      </c>
      <c r="J122" s="96" t="s">
        <v>925</v>
      </c>
      <c r="K122" s="98">
        <f t="shared" si="1"/>
        <v>2006</v>
      </c>
      <c r="L122" s="99" t="s">
        <v>5285</v>
      </c>
    </row>
    <row r="123" spans="1:12" ht="38.25">
      <c r="A123" s="93">
        <v>122</v>
      </c>
      <c r="B123" s="116" t="s">
        <v>5403</v>
      </c>
      <c r="C123" s="122" t="s">
        <v>5447</v>
      </c>
      <c r="D123" s="101" t="s">
        <v>5284</v>
      </c>
      <c r="E123" s="101">
        <v>5</v>
      </c>
      <c r="F123" s="101">
        <v>2</v>
      </c>
      <c r="G123" s="101"/>
      <c r="H123" s="125"/>
      <c r="I123" s="103">
        <v>38844</v>
      </c>
      <c r="J123" s="96" t="s">
        <v>1003</v>
      </c>
      <c r="K123" s="98">
        <f t="shared" si="1"/>
        <v>2006</v>
      </c>
      <c r="L123" s="99" t="s">
        <v>5291</v>
      </c>
    </row>
    <row r="124" spans="1:12" ht="51">
      <c r="A124" s="93">
        <v>123</v>
      </c>
      <c r="B124" s="116" t="s">
        <v>5282</v>
      </c>
      <c r="C124" s="117" t="s">
        <v>5448</v>
      </c>
      <c r="D124" s="118" t="s">
        <v>5284</v>
      </c>
      <c r="E124" s="126" t="s">
        <v>5449</v>
      </c>
      <c r="F124" s="101"/>
      <c r="G124" s="101"/>
      <c r="H124" s="101">
        <v>16</v>
      </c>
      <c r="I124" s="103">
        <v>38856</v>
      </c>
      <c r="J124" s="96" t="s">
        <v>853</v>
      </c>
      <c r="K124" s="98">
        <f t="shared" si="1"/>
        <v>2006</v>
      </c>
      <c r="L124" s="99" t="s">
        <v>5285</v>
      </c>
    </row>
    <row r="125" spans="1:12" ht="51">
      <c r="A125" s="93">
        <v>124</v>
      </c>
      <c r="B125" s="116" t="s">
        <v>5282</v>
      </c>
      <c r="C125" s="117" t="s">
        <v>5450</v>
      </c>
      <c r="D125" s="118" t="s">
        <v>5284</v>
      </c>
      <c r="E125" s="126" t="s">
        <v>5385</v>
      </c>
      <c r="F125" s="101"/>
      <c r="G125" s="101"/>
      <c r="H125" s="125"/>
      <c r="I125" s="103">
        <v>38858</v>
      </c>
      <c r="J125" s="96" t="s">
        <v>917</v>
      </c>
      <c r="K125" s="98">
        <f t="shared" si="1"/>
        <v>2006</v>
      </c>
      <c r="L125" s="99" t="s">
        <v>5285</v>
      </c>
    </row>
    <row r="126" spans="1:12" ht="38.25">
      <c r="A126" s="93">
        <v>125</v>
      </c>
      <c r="B126" s="116" t="s">
        <v>5451</v>
      </c>
      <c r="C126" s="117" t="s">
        <v>5452</v>
      </c>
      <c r="D126" s="118" t="s">
        <v>5279</v>
      </c>
      <c r="E126" s="101"/>
      <c r="F126" s="101"/>
      <c r="G126" s="101"/>
      <c r="H126" s="125"/>
      <c r="I126" s="103">
        <v>38864</v>
      </c>
      <c r="J126" s="96" t="s">
        <v>917</v>
      </c>
      <c r="K126" s="98">
        <f t="shared" si="1"/>
        <v>2006</v>
      </c>
      <c r="L126" s="99" t="s">
        <v>5351</v>
      </c>
    </row>
    <row r="127" spans="1:12" ht="25.5">
      <c r="A127" s="93">
        <v>126</v>
      </c>
      <c r="B127" s="116" t="s">
        <v>5453</v>
      </c>
      <c r="C127" s="117" t="s">
        <v>5454</v>
      </c>
      <c r="D127" s="118" t="s">
        <v>5279</v>
      </c>
      <c r="E127" s="101"/>
      <c r="F127" s="101"/>
      <c r="G127" s="101"/>
      <c r="H127" s="125"/>
      <c r="I127" s="103">
        <v>38871</v>
      </c>
      <c r="J127" s="96" t="s">
        <v>917</v>
      </c>
      <c r="K127" s="98">
        <f t="shared" si="1"/>
        <v>2006</v>
      </c>
      <c r="L127" s="99" t="s">
        <v>5366</v>
      </c>
    </row>
    <row r="128" spans="1:12" ht="38.25">
      <c r="A128" s="93">
        <v>127</v>
      </c>
      <c r="B128" s="116" t="s">
        <v>5455</v>
      </c>
      <c r="C128" s="117" t="s">
        <v>5456</v>
      </c>
      <c r="D128" s="118" t="s">
        <v>5279</v>
      </c>
      <c r="E128" s="101"/>
      <c r="F128" s="101"/>
      <c r="G128" s="101"/>
      <c r="H128" s="125"/>
      <c r="I128" s="103">
        <v>38876</v>
      </c>
      <c r="J128" s="96" t="s">
        <v>954</v>
      </c>
      <c r="K128" s="98">
        <f t="shared" si="1"/>
        <v>2006</v>
      </c>
      <c r="L128" s="99" t="s">
        <v>5366</v>
      </c>
    </row>
    <row r="129" spans="1:12" ht="51">
      <c r="A129" s="93">
        <v>128</v>
      </c>
      <c r="B129" s="116" t="s">
        <v>5282</v>
      </c>
      <c r="C129" s="117" t="s">
        <v>5457</v>
      </c>
      <c r="D129" s="118" t="s">
        <v>5284</v>
      </c>
      <c r="E129" s="126" t="s">
        <v>5449</v>
      </c>
      <c r="F129" s="101"/>
      <c r="G129" s="101"/>
      <c r="H129" s="125"/>
      <c r="I129" s="103">
        <v>38891</v>
      </c>
      <c r="J129" s="96" t="s">
        <v>921</v>
      </c>
      <c r="K129" s="98">
        <f t="shared" si="1"/>
        <v>2006</v>
      </c>
      <c r="L129" s="99" t="s">
        <v>5285</v>
      </c>
    </row>
    <row r="130" spans="1:12" ht="51">
      <c r="A130" s="93">
        <v>129</v>
      </c>
      <c r="B130" s="116" t="s">
        <v>5282</v>
      </c>
      <c r="C130" s="117" t="s">
        <v>5458</v>
      </c>
      <c r="D130" s="118" t="s">
        <v>5284</v>
      </c>
      <c r="E130" s="120">
        <v>2</v>
      </c>
      <c r="F130" s="120"/>
      <c r="G130" s="120"/>
      <c r="H130" s="120"/>
      <c r="I130" s="103">
        <v>38892</v>
      </c>
      <c r="J130" s="96" t="s">
        <v>892</v>
      </c>
      <c r="K130" s="98">
        <f t="shared" si="1"/>
        <v>2006</v>
      </c>
      <c r="L130" s="99" t="s">
        <v>5285</v>
      </c>
    </row>
    <row r="131" spans="1:12" ht="51">
      <c r="A131" s="93">
        <v>130</v>
      </c>
      <c r="B131" s="116" t="s">
        <v>5282</v>
      </c>
      <c r="C131" s="117" t="s">
        <v>5459</v>
      </c>
      <c r="D131" s="120" t="s">
        <v>5284</v>
      </c>
      <c r="E131" s="121" t="s">
        <v>5369</v>
      </c>
      <c r="F131" s="120"/>
      <c r="G131" s="120"/>
      <c r="H131" s="120"/>
      <c r="I131" s="103">
        <v>38943</v>
      </c>
      <c r="J131" s="101" t="s">
        <v>738</v>
      </c>
      <c r="K131" s="98">
        <f t="shared" ref="K131:K194" si="2">YEAR(I131)</f>
        <v>2006</v>
      </c>
      <c r="L131" s="99" t="s">
        <v>5285</v>
      </c>
    </row>
    <row r="132" spans="1:12" ht="51">
      <c r="A132" s="93">
        <v>131</v>
      </c>
      <c r="B132" s="116" t="s">
        <v>5282</v>
      </c>
      <c r="C132" s="117" t="s">
        <v>5460</v>
      </c>
      <c r="D132" s="120" t="s">
        <v>5284</v>
      </c>
      <c r="E132" s="120">
        <v>2</v>
      </c>
      <c r="F132" s="120"/>
      <c r="G132" s="120"/>
      <c r="H132" s="120"/>
      <c r="I132" s="103">
        <v>38955</v>
      </c>
      <c r="J132" s="96" t="s">
        <v>892</v>
      </c>
      <c r="K132" s="98">
        <f t="shared" si="2"/>
        <v>2006</v>
      </c>
      <c r="L132" s="99" t="s">
        <v>5285</v>
      </c>
    </row>
    <row r="133" spans="1:12" ht="51">
      <c r="A133" s="93">
        <v>132</v>
      </c>
      <c r="B133" s="116" t="s">
        <v>5282</v>
      </c>
      <c r="C133" s="117" t="s">
        <v>5461</v>
      </c>
      <c r="D133" s="120" t="s">
        <v>5284</v>
      </c>
      <c r="E133" s="121" t="s">
        <v>5369</v>
      </c>
      <c r="F133" s="120">
        <v>4</v>
      </c>
      <c r="G133" s="120"/>
      <c r="H133" s="127"/>
      <c r="I133" s="103">
        <v>38969</v>
      </c>
      <c r="J133" s="101" t="s">
        <v>738</v>
      </c>
      <c r="K133" s="98">
        <f t="shared" si="2"/>
        <v>2006</v>
      </c>
      <c r="L133" s="99" t="s">
        <v>5285</v>
      </c>
    </row>
    <row r="134" spans="1:12" ht="51">
      <c r="A134" s="93">
        <v>133</v>
      </c>
      <c r="B134" s="116" t="s">
        <v>5282</v>
      </c>
      <c r="C134" s="117" t="s">
        <v>5462</v>
      </c>
      <c r="D134" s="120" t="s">
        <v>5284</v>
      </c>
      <c r="E134" s="121" t="s">
        <v>5463</v>
      </c>
      <c r="F134" s="120">
        <v>2</v>
      </c>
      <c r="G134" s="120"/>
      <c r="H134" s="127"/>
      <c r="I134" s="103">
        <v>38970</v>
      </c>
      <c r="J134" s="101" t="s">
        <v>738</v>
      </c>
      <c r="K134" s="98">
        <f t="shared" si="2"/>
        <v>2006</v>
      </c>
      <c r="L134" s="99" t="s">
        <v>5285</v>
      </c>
    </row>
    <row r="135" spans="1:12" ht="25.5">
      <c r="A135" s="93">
        <v>134</v>
      </c>
      <c r="B135" s="116" t="s">
        <v>5464</v>
      </c>
      <c r="C135" s="128" t="s">
        <v>5465</v>
      </c>
      <c r="D135" s="120" t="s">
        <v>5279</v>
      </c>
      <c r="E135" s="120"/>
      <c r="F135" s="120"/>
      <c r="G135" s="120"/>
      <c r="H135" s="120"/>
      <c r="I135" s="103">
        <v>38986</v>
      </c>
      <c r="J135" s="101" t="s">
        <v>738</v>
      </c>
      <c r="K135" s="98">
        <f t="shared" si="2"/>
        <v>2006</v>
      </c>
      <c r="L135" s="99" t="s">
        <v>5351</v>
      </c>
    </row>
    <row r="136" spans="1:12" ht="51">
      <c r="A136" s="93">
        <v>135</v>
      </c>
      <c r="B136" s="116" t="s">
        <v>5282</v>
      </c>
      <c r="C136" s="117" t="s">
        <v>5466</v>
      </c>
      <c r="D136" s="120" t="s">
        <v>5284</v>
      </c>
      <c r="E136" s="120">
        <v>2</v>
      </c>
      <c r="F136" s="120"/>
      <c r="G136" s="120"/>
      <c r="H136" s="120"/>
      <c r="I136" s="103">
        <v>39007</v>
      </c>
      <c r="J136" s="101" t="s">
        <v>738</v>
      </c>
      <c r="K136" s="98">
        <f t="shared" si="2"/>
        <v>2006</v>
      </c>
      <c r="L136" s="99" t="s">
        <v>5285</v>
      </c>
    </row>
    <row r="137" spans="1:12">
      <c r="A137" s="93">
        <v>136</v>
      </c>
      <c r="B137" s="122" t="s">
        <v>5467</v>
      </c>
      <c r="C137" s="129" t="s">
        <v>5468</v>
      </c>
      <c r="D137" s="120" t="s">
        <v>5284</v>
      </c>
      <c r="E137" s="120"/>
      <c r="F137" s="120"/>
      <c r="G137" s="120"/>
      <c r="H137" s="120"/>
      <c r="I137" s="103">
        <v>39007</v>
      </c>
      <c r="J137" s="96" t="s">
        <v>938</v>
      </c>
      <c r="K137" s="98">
        <f t="shared" si="2"/>
        <v>2006</v>
      </c>
      <c r="L137" s="99" t="s">
        <v>5469</v>
      </c>
    </row>
    <row r="138" spans="1:12" ht="51">
      <c r="A138" s="93">
        <v>137</v>
      </c>
      <c r="B138" s="116" t="s">
        <v>5282</v>
      </c>
      <c r="C138" s="128" t="s">
        <v>5470</v>
      </c>
      <c r="D138" s="120" t="s">
        <v>5284</v>
      </c>
      <c r="E138" s="120">
        <v>2</v>
      </c>
      <c r="F138" s="120"/>
      <c r="G138" s="120"/>
      <c r="H138" s="120"/>
      <c r="I138" s="103">
        <v>39012</v>
      </c>
      <c r="J138" s="96" t="s">
        <v>951</v>
      </c>
      <c r="K138" s="98">
        <f t="shared" si="2"/>
        <v>2006</v>
      </c>
      <c r="L138" s="99" t="s">
        <v>5285</v>
      </c>
    </row>
    <row r="139" spans="1:12" ht="51">
      <c r="A139" s="93">
        <v>138</v>
      </c>
      <c r="B139" s="116" t="s">
        <v>5282</v>
      </c>
      <c r="C139" s="117" t="s">
        <v>5471</v>
      </c>
      <c r="D139" s="120" t="s">
        <v>5284</v>
      </c>
      <c r="E139" s="121" t="s">
        <v>5449</v>
      </c>
      <c r="F139" s="120"/>
      <c r="G139" s="120"/>
      <c r="H139" s="120"/>
      <c r="I139" s="103">
        <v>39024</v>
      </c>
      <c r="J139" s="96" t="s">
        <v>921</v>
      </c>
      <c r="K139" s="98">
        <f t="shared" si="2"/>
        <v>2006</v>
      </c>
      <c r="L139" s="99" t="s">
        <v>5285</v>
      </c>
    </row>
    <row r="140" spans="1:12" ht="25.5">
      <c r="A140" s="93">
        <v>139</v>
      </c>
      <c r="B140" s="122" t="s">
        <v>5472</v>
      </c>
      <c r="C140" s="128" t="s">
        <v>5473</v>
      </c>
      <c r="D140" s="120" t="s">
        <v>5284</v>
      </c>
      <c r="E140" s="120">
        <v>2</v>
      </c>
      <c r="F140" s="120"/>
      <c r="G140" s="120"/>
      <c r="H140" s="120"/>
      <c r="I140" s="103">
        <v>39030</v>
      </c>
      <c r="J140" s="101" t="s">
        <v>738</v>
      </c>
      <c r="K140" s="98">
        <f t="shared" si="2"/>
        <v>2006</v>
      </c>
      <c r="L140" s="99" t="s">
        <v>5285</v>
      </c>
    </row>
    <row r="141" spans="1:12" ht="51">
      <c r="A141" s="93">
        <v>140</v>
      </c>
      <c r="B141" s="116" t="s">
        <v>5282</v>
      </c>
      <c r="C141" s="128" t="s">
        <v>5474</v>
      </c>
      <c r="D141" s="120" t="s">
        <v>5284</v>
      </c>
      <c r="E141" s="120"/>
      <c r="F141" s="120"/>
      <c r="G141" s="120"/>
      <c r="H141" s="120"/>
      <c r="I141" s="103">
        <v>39035</v>
      </c>
      <c r="J141" s="96" t="s">
        <v>974</v>
      </c>
      <c r="K141" s="98">
        <f t="shared" si="2"/>
        <v>2006</v>
      </c>
      <c r="L141" s="99" t="s">
        <v>5469</v>
      </c>
    </row>
    <row r="142" spans="1:12">
      <c r="A142" s="93">
        <v>141</v>
      </c>
      <c r="B142" s="122" t="s">
        <v>5467</v>
      </c>
      <c r="C142" s="130" t="s">
        <v>5475</v>
      </c>
      <c r="D142" s="120" t="s">
        <v>5284</v>
      </c>
      <c r="E142" s="120"/>
      <c r="F142" s="120"/>
      <c r="G142" s="120"/>
      <c r="H142" s="120"/>
      <c r="I142" s="103">
        <v>39049</v>
      </c>
      <c r="J142" s="96" t="s">
        <v>954</v>
      </c>
      <c r="K142" s="98">
        <f t="shared" si="2"/>
        <v>2006</v>
      </c>
      <c r="L142" s="99" t="s">
        <v>5469</v>
      </c>
    </row>
    <row r="143" spans="1:12" ht="51">
      <c r="A143" s="93">
        <v>142</v>
      </c>
      <c r="B143" s="116" t="s">
        <v>5282</v>
      </c>
      <c r="C143" s="128" t="s">
        <v>5476</v>
      </c>
      <c r="D143" s="120" t="s">
        <v>5284</v>
      </c>
      <c r="E143" s="120">
        <v>3</v>
      </c>
      <c r="F143" s="120"/>
      <c r="G143" s="120"/>
      <c r="H143" s="120"/>
      <c r="I143" s="103">
        <v>39049</v>
      </c>
      <c r="J143" s="96" t="s">
        <v>989</v>
      </c>
      <c r="K143" s="98">
        <f t="shared" si="2"/>
        <v>2006</v>
      </c>
      <c r="L143" s="99" t="s">
        <v>5285</v>
      </c>
    </row>
    <row r="144" spans="1:12" ht="51">
      <c r="A144" s="93">
        <v>143</v>
      </c>
      <c r="B144" s="116" t="s">
        <v>5282</v>
      </c>
      <c r="C144" s="128" t="s">
        <v>5477</v>
      </c>
      <c r="D144" s="120" t="s">
        <v>5284</v>
      </c>
      <c r="E144" s="120">
        <v>2</v>
      </c>
      <c r="F144" s="120">
        <v>1</v>
      </c>
      <c r="G144" s="120"/>
      <c r="H144" s="120">
        <v>3</v>
      </c>
      <c r="I144" s="103">
        <v>39053</v>
      </c>
      <c r="J144" s="96" t="s">
        <v>969</v>
      </c>
      <c r="K144" s="98">
        <f t="shared" si="2"/>
        <v>2006</v>
      </c>
      <c r="L144" s="99" t="s">
        <v>5285</v>
      </c>
    </row>
    <row r="145" spans="1:12" ht="25.5">
      <c r="A145" s="93">
        <v>144</v>
      </c>
      <c r="B145" s="122" t="s">
        <v>5478</v>
      </c>
      <c r="C145" s="117" t="s">
        <v>5479</v>
      </c>
      <c r="D145" s="120" t="s">
        <v>5284</v>
      </c>
      <c r="E145" s="120"/>
      <c r="F145" s="120"/>
      <c r="G145" s="120"/>
      <c r="H145" s="120"/>
      <c r="I145" s="103">
        <v>39076</v>
      </c>
      <c r="J145" s="96" t="s">
        <v>862</v>
      </c>
      <c r="K145" s="98">
        <f t="shared" si="2"/>
        <v>2006</v>
      </c>
      <c r="L145" s="99" t="s">
        <v>5480</v>
      </c>
    </row>
    <row r="146" spans="1:12" ht="51">
      <c r="A146" s="93">
        <v>145</v>
      </c>
      <c r="B146" s="116" t="s">
        <v>5282</v>
      </c>
      <c r="C146" s="128" t="s">
        <v>5481</v>
      </c>
      <c r="D146" s="120" t="s">
        <v>5284</v>
      </c>
      <c r="E146" s="121" t="s">
        <v>5369</v>
      </c>
      <c r="F146" s="120">
        <v>5</v>
      </c>
      <c r="G146" s="120"/>
      <c r="H146" s="120">
        <v>5</v>
      </c>
      <c r="I146" s="103">
        <v>39081</v>
      </c>
      <c r="J146" s="96" t="s">
        <v>969</v>
      </c>
      <c r="K146" s="98">
        <f t="shared" si="2"/>
        <v>2006</v>
      </c>
      <c r="L146" s="99" t="s">
        <v>5285</v>
      </c>
    </row>
    <row r="147" spans="1:12" ht="51">
      <c r="A147" s="93">
        <v>146</v>
      </c>
      <c r="B147" s="122" t="s">
        <v>5426</v>
      </c>
      <c r="C147" s="117" t="s">
        <v>5482</v>
      </c>
      <c r="D147" s="120" t="s">
        <v>5284</v>
      </c>
      <c r="E147" s="120">
        <v>2</v>
      </c>
      <c r="F147" s="101"/>
      <c r="G147" s="101"/>
      <c r="H147" s="101"/>
      <c r="I147" s="103">
        <v>39448</v>
      </c>
      <c r="J147" s="96" t="s">
        <v>985</v>
      </c>
      <c r="K147" s="98">
        <f t="shared" si="2"/>
        <v>2008</v>
      </c>
      <c r="L147" s="99" t="s">
        <v>5285</v>
      </c>
    </row>
    <row r="148" spans="1:12" ht="51">
      <c r="A148" s="93">
        <v>147</v>
      </c>
      <c r="B148" s="122" t="s">
        <v>5426</v>
      </c>
      <c r="C148" s="117" t="s">
        <v>5483</v>
      </c>
      <c r="D148" s="120" t="s">
        <v>5284</v>
      </c>
      <c r="E148" s="120">
        <v>2</v>
      </c>
      <c r="F148" s="101"/>
      <c r="G148" s="101"/>
      <c r="H148" s="125"/>
      <c r="I148" s="103">
        <v>39451</v>
      </c>
      <c r="J148" s="96" t="s">
        <v>917</v>
      </c>
      <c r="K148" s="98">
        <f t="shared" si="2"/>
        <v>2008</v>
      </c>
      <c r="L148" s="99" t="s">
        <v>5285</v>
      </c>
    </row>
    <row r="149" spans="1:12" ht="51">
      <c r="A149" s="93">
        <v>148</v>
      </c>
      <c r="B149" s="122" t="s">
        <v>5426</v>
      </c>
      <c r="C149" s="117" t="s">
        <v>5484</v>
      </c>
      <c r="D149" s="120" t="s">
        <v>5284</v>
      </c>
      <c r="E149" s="120" t="s">
        <v>5485</v>
      </c>
      <c r="F149" s="101">
        <v>2</v>
      </c>
      <c r="G149" s="101"/>
      <c r="H149" s="125"/>
      <c r="I149" s="103">
        <v>39458</v>
      </c>
      <c r="J149" s="96" t="s">
        <v>938</v>
      </c>
      <c r="K149" s="98">
        <f t="shared" si="2"/>
        <v>2008</v>
      </c>
      <c r="L149" s="99" t="s">
        <v>5285</v>
      </c>
    </row>
    <row r="150" spans="1:12" ht="25.5">
      <c r="A150" s="93">
        <v>149</v>
      </c>
      <c r="B150" s="116" t="s">
        <v>5286</v>
      </c>
      <c r="C150" s="128" t="s">
        <v>5486</v>
      </c>
      <c r="D150" s="118" t="s">
        <v>5279</v>
      </c>
      <c r="E150" s="120"/>
      <c r="F150" s="101"/>
      <c r="G150" s="101"/>
      <c r="H150" s="125"/>
      <c r="I150" s="103">
        <v>39459</v>
      </c>
      <c r="J150" s="96" t="s">
        <v>938</v>
      </c>
      <c r="K150" s="98">
        <f t="shared" si="2"/>
        <v>2008</v>
      </c>
      <c r="L150" s="99" t="s">
        <v>5280</v>
      </c>
    </row>
    <row r="151" spans="1:12" ht="25.5">
      <c r="A151" s="93">
        <v>150</v>
      </c>
      <c r="B151" s="122" t="s">
        <v>5487</v>
      </c>
      <c r="C151" s="122" t="s">
        <v>5488</v>
      </c>
      <c r="D151" s="120" t="s">
        <v>5279</v>
      </c>
      <c r="E151" s="101"/>
      <c r="F151" s="101"/>
      <c r="G151" s="101"/>
      <c r="H151" s="120"/>
      <c r="I151" s="103">
        <v>39462</v>
      </c>
      <c r="J151" s="96" t="s">
        <v>947</v>
      </c>
      <c r="K151" s="98">
        <f t="shared" si="2"/>
        <v>2008</v>
      </c>
      <c r="L151" s="99" t="s">
        <v>5489</v>
      </c>
    </row>
    <row r="152" spans="1:12" ht="51">
      <c r="A152" s="93">
        <v>151</v>
      </c>
      <c r="B152" s="122" t="s">
        <v>5490</v>
      </c>
      <c r="C152" s="117" t="s">
        <v>5491</v>
      </c>
      <c r="D152" s="118" t="s">
        <v>5284</v>
      </c>
      <c r="E152" s="120">
        <v>2</v>
      </c>
      <c r="F152" s="101">
        <v>2</v>
      </c>
      <c r="G152" s="101"/>
      <c r="H152" s="120"/>
      <c r="I152" s="103">
        <v>39464</v>
      </c>
      <c r="J152" s="101" t="s">
        <v>738</v>
      </c>
      <c r="K152" s="98">
        <f t="shared" si="2"/>
        <v>2008</v>
      </c>
      <c r="L152" s="99" t="s">
        <v>5285</v>
      </c>
    </row>
    <row r="153" spans="1:12" ht="25.5">
      <c r="A153" s="93">
        <v>152</v>
      </c>
      <c r="B153" s="122" t="s">
        <v>5286</v>
      </c>
      <c r="C153" s="117" t="s">
        <v>5492</v>
      </c>
      <c r="D153" s="120" t="s">
        <v>5279</v>
      </c>
      <c r="E153" s="120"/>
      <c r="F153" s="101"/>
      <c r="G153" s="101"/>
      <c r="H153" s="120"/>
      <c r="I153" s="103">
        <v>39476</v>
      </c>
      <c r="J153" s="96" t="s">
        <v>917</v>
      </c>
      <c r="K153" s="98">
        <f t="shared" si="2"/>
        <v>2008</v>
      </c>
      <c r="L153" s="99" t="s">
        <v>5280</v>
      </c>
    </row>
    <row r="154" spans="1:12" ht="25.5">
      <c r="A154" s="93">
        <v>153</v>
      </c>
      <c r="B154" s="122" t="s">
        <v>5487</v>
      </c>
      <c r="C154" s="122" t="s">
        <v>5493</v>
      </c>
      <c r="D154" s="120" t="s">
        <v>5284</v>
      </c>
      <c r="E154" s="101"/>
      <c r="F154" s="101"/>
      <c r="G154" s="101"/>
      <c r="H154" s="120"/>
      <c r="I154" s="103">
        <v>39477</v>
      </c>
      <c r="J154" s="96" t="s">
        <v>934</v>
      </c>
      <c r="K154" s="98">
        <f t="shared" si="2"/>
        <v>2008</v>
      </c>
      <c r="L154" s="99" t="s">
        <v>5489</v>
      </c>
    </row>
    <row r="155" spans="1:12" ht="25.5">
      <c r="A155" s="93">
        <v>154</v>
      </c>
      <c r="B155" s="122" t="s">
        <v>5487</v>
      </c>
      <c r="C155" s="122" t="s">
        <v>5494</v>
      </c>
      <c r="D155" s="120" t="s">
        <v>5284</v>
      </c>
      <c r="E155" s="101"/>
      <c r="F155" s="101"/>
      <c r="G155" s="101"/>
      <c r="H155" s="120"/>
      <c r="I155" s="103">
        <v>39482</v>
      </c>
      <c r="J155" s="96" t="s">
        <v>947</v>
      </c>
      <c r="K155" s="98">
        <f t="shared" si="2"/>
        <v>2008</v>
      </c>
      <c r="L155" s="99" t="s">
        <v>5489</v>
      </c>
    </row>
    <row r="156" spans="1:12" ht="51">
      <c r="A156" s="93">
        <v>155</v>
      </c>
      <c r="B156" s="122" t="s">
        <v>5426</v>
      </c>
      <c r="C156" s="117" t="s">
        <v>5495</v>
      </c>
      <c r="D156" s="118" t="s">
        <v>5284</v>
      </c>
      <c r="E156" s="121" t="s">
        <v>5379</v>
      </c>
      <c r="F156" s="101"/>
      <c r="G156" s="101"/>
      <c r="H156" s="120"/>
      <c r="I156" s="103">
        <v>39493</v>
      </c>
      <c r="J156" s="101" t="s">
        <v>738</v>
      </c>
      <c r="K156" s="98">
        <f t="shared" si="2"/>
        <v>2008</v>
      </c>
      <c r="L156" s="99" t="s">
        <v>5285</v>
      </c>
    </row>
    <row r="157" spans="1:12" ht="51">
      <c r="A157" s="93">
        <v>156</v>
      </c>
      <c r="B157" s="122" t="s">
        <v>5490</v>
      </c>
      <c r="C157" s="117" t="s">
        <v>5496</v>
      </c>
      <c r="D157" s="118" t="s">
        <v>5284</v>
      </c>
      <c r="E157" s="101">
        <v>2</v>
      </c>
      <c r="F157" s="101">
        <v>1</v>
      </c>
      <c r="G157" s="101"/>
      <c r="H157" s="120"/>
      <c r="I157" s="103">
        <v>39516</v>
      </c>
      <c r="J157" s="96" t="s">
        <v>938</v>
      </c>
      <c r="K157" s="98">
        <f t="shared" si="2"/>
        <v>2008</v>
      </c>
      <c r="L157" s="99" t="s">
        <v>5285</v>
      </c>
    </row>
    <row r="158" spans="1:12" ht="51">
      <c r="A158" s="93">
        <v>157</v>
      </c>
      <c r="B158" s="122" t="s">
        <v>5490</v>
      </c>
      <c r="C158" s="117" t="s">
        <v>5497</v>
      </c>
      <c r="D158" s="118" t="s">
        <v>5284</v>
      </c>
      <c r="E158" s="126" t="s">
        <v>5498</v>
      </c>
      <c r="F158" s="101"/>
      <c r="G158" s="101"/>
      <c r="H158" s="120"/>
      <c r="I158" s="103">
        <v>39517</v>
      </c>
      <c r="J158" s="96" t="s">
        <v>989</v>
      </c>
      <c r="K158" s="98">
        <f t="shared" si="2"/>
        <v>2008</v>
      </c>
      <c r="L158" s="99" t="s">
        <v>5285</v>
      </c>
    </row>
    <row r="159" spans="1:12" ht="25.5">
      <c r="A159" s="93">
        <v>158</v>
      </c>
      <c r="B159" s="122" t="s">
        <v>5487</v>
      </c>
      <c r="C159" s="122" t="s">
        <v>5499</v>
      </c>
      <c r="D159" s="120" t="s">
        <v>5284</v>
      </c>
      <c r="E159" s="101"/>
      <c r="F159" s="101"/>
      <c r="G159" s="101"/>
      <c r="H159" s="120"/>
      <c r="I159" s="103">
        <v>39519</v>
      </c>
      <c r="J159" s="96" t="s">
        <v>897</v>
      </c>
      <c r="K159" s="98">
        <f t="shared" si="2"/>
        <v>2008</v>
      </c>
      <c r="L159" s="99" t="s">
        <v>5489</v>
      </c>
    </row>
    <row r="160" spans="1:12" ht="25.5">
      <c r="A160" s="93">
        <v>159</v>
      </c>
      <c r="B160" s="122" t="s">
        <v>5429</v>
      </c>
      <c r="C160" s="117" t="s">
        <v>5500</v>
      </c>
      <c r="D160" s="120" t="s">
        <v>5284</v>
      </c>
      <c r="E160" s="120">
        <v>2</v>
      </c>
      <c r="F160" s="120"/>
      <c r="G160" s="120"/>
      <c r="H160" s="120"/>
      <c r="I160" s="103">
        <v>39522</v>
      </c>
      <c r="J160" s="96" t="s">
        <v>831</v>
      </c>
      <c r="K160" s="98">
        <f t="shared" si="2"/>
        <v>2008</v>
      </c>
      <c r="L160" s="99" t="s">
        <v>5285</v>
      </c>
    </row>
    <row r="161" spans="1:12" ht="51">
      <c r="A161" s="93">
        <v>160</v>
      </c>
      <c r="B161" s="122" t="s">
        <v>5426</v>
      </c>
      <c r="C161" s="117" t="s">
        <v>5501</v>
      </c>
      <c r="D161" s="118" t="s">
        <v>5284</v>
      </c>
      <c r="E161" s="120">
        <v>3</v>
      </c>
      <c r="F161" s="120"/>
      <c r="G161" s="120"/>
      <c r="H161" s="120"/>
      <c r="I161" s="103">
        <v>39526</v>
      </c>
      <c r="J161" s="96" t="s">
        <v>974</v>
      </c>
      <c r="K161" s="98">
        <f t="shared" si="2"/>
        <v>2008</v>
      </c>
      <c r="L161" s="99" t="s">
        <v>5285</v>
      </c>
    </row>
    <row r="162" spans="1:12" ht="25.5">
      <c r="A162" s="93">
        <v>161</v>
      </c>
      <c r="B162" s="122" t="s">
        <v>5487</v>
      </c>
      <c r="C162" s="122" t="s">
        <v>5502</v>
      </c>
      <c r="D162" s="120" t="s">
        <v>5284</v>
      </c>
      <c r="E162" s="101"/>
      <c r="F162" s="101"/>
      <c r="G162" s="101"/>
      <c r="H162" s="120"/>
      <c r="I162" s="103">
        <v>39547</v>
      </c>
      <c r="J162" s="96" t="s">
        <v>974</v>
      </c>
      <c r="K162" s="98">
        <f t="shared" si="2"/>
        <v>2008</v>
      </c>
      <c r="L162" s="99" t="s">
        <v>5489</v>
      </c>
    </row>
    <row r="163" spans="1:12" ht="25.5">
      <c r="A163" s="93">
        <v>162</v>
      </c>
      <c r="B163" s="122" t="s">
        <v>5487</v>
      </c>
      <c r="C163" s="122" t="s">
        <v>5503</v>
      </c>
      <c r="D163" s="120" t="s">
        <v>5279</v>
      </c>
      <c r="E163" s="120"/>
      <c r="F163" s="120"/>
      <c r="G163" s="120"/>
      <c r="H163" s="120"/>
      <c r="I163" s="103">
        <v>39553</v>
      </c>
      <c r="J163" s="96" t="s">
        <v>921</v>
      </c>
      <c r="K163" s="98">
        <f t="shared" si="2"/>
        <v>2008</v>
      </c>
      <c r="L163" s="99" t="s">
        <v>5489</v>
      </c>
    </row>
    <row r="164" spans="1:12" ht="25.5">
      <c r="A164" s="93">
        <v>163</v>
      </c>
      <c r="B164" s="122" t="s">
        <v>5487</v>
      </c>
      <c r="C164" s="122" t="s">
        <v>5504</v>
      </c>
      <c r="D164" s="120" t="s">
        <v>5279</v>
      </c>
      <c r="E164" s="120"/>
      <c r="F164" s="120"/>
      <c r="G164" s="120"/>
      <c r="H164" s="120"/>
      <c r="I164" s="103">
        <v>39553</v>
      </c>
      <c r="J164" s="96" t="s">
        <v>921</v>
      </c>
      <c r="K164" s="98">
        <f t="shared" si="2"/>
        <v>2008</v>
      </c>
      <c r="L164" s="99" t="s">
        <v>5489</v>
      </c>
    </row>
    <row r="165" spans="1:12" ht="25.5">
      <c r="A165" s="93">
        <v>164</v>
      </c>
      <c r="B165" s="122" t="s">
        <v>5487</v>
      </c>
      <c r="C165" s="122" t="s">
        <v>5505</v>
      </c>
      <c r="D165" s="120" t="s">
        <v>5279</v>
      </c>
      <c r="E165" s="120"/>
      <c r="F165" s="120"/>
      <c r="G165" s="120"/>
      <c r="H165" s="120"/>
      <c r="I165" s="103">
        <v>39555</v>
      </c>
      <c r="J165" s="96" t="s">
        <v>974</v>
      </c>
      <c r="K165" s="98">
        <f t="shared" si="2"/>
        <v>2008</v>
      </c>
      <c r="L165" s="99" t="s">
        <v>5489</v>
      </c>
    </row>
    <row r="166" spans="1:12" ht="51">
      <c r="A166" s="93">
        <v>165</v>
      </c>
      <c r="B166" s="122" t="s">
        <v>5426</v>
      </c>
      <c r="C166" s="117" t="s">
        <v>5506</v>
      </c>
      <c r="D166" s="118" t="s">
        <v>5284</v>
      </c>
      <c r="E166" s="121" t="s">
        <v>5369</v>
      </c>
      <c r="F166" s="120"/>
      <c r="G166" s="120"/>
      <c r="H166" s="120"/>
      <c r="I166" s="103">
        <v>39556</v>
      </c>
      <c r="J166" s="96" t="s">
        <v>921</v>
      </c>
      <c r="K166" s="98">
        <f t="shared" si="2"/>
        <v>2008</v>
      </c>
      <c r="L166" s="99" t="s">
        <v>5285</v>
      </c>
    </row>
    <row r="167" spans="1:12" ht="25.5">
      <c r="A167" s="93">
        <v>166</v>
      </c>
      <c r="B167" s="122" t="s">
        <v>5487</v>
      </c>
      <c r="C167" s="122" t="s">
        <v>5507</v>
      </c>
      <c r="D167" s="120" t="s">
        <v>5284</v>
      </c>
      <c r="E167" s="131"/>
      <c r="F167" s="120"/>
      <c r="G167" s="120"/>
      <c r="H167" s="120"/>
      <c r="I167" s="103">
        <v>39563</v>
      </c>
      <c r="J167" s="96" t="s">
        <v>969</v>
      </c>
      <c r="K167" s="98">
        <f t="shared" si="2"/>
        <v>2008</v>
      </c>
      <c r="L167" s="99" t="s">
        <v>5489</v>
      </c>
    </row>
    <row r="168" spans="1:12" ht="25.5">
      <c r="A168" s="93">
        <v>167</v>
      </c>
      <c r="B168" s="122" t="s">
        <v>5487</v>
      </c>
      <c r="C168" s="122" t="s">
        <v>5508</v>
      </c>
      <c r="D168" s="120" t="s">
        <v>5279</v>
      </c>
      <c r="E168" s="120"/>
      <c r="F168" s="120"/>
      <c r="G168" s="120"/>
      <c r="H168" s="120"/>
      <c r="I168" s="103">
        <v>39563</v>
      </c>
      <c r="J168" s="96" t="s">
        <v>980</v>
      </c>
      <c r="K168" s="98">
        <f t="shared" si="2"/>
        <v>2008</v>
      </c>
      <c r="L168" s="99" t="s">
        <v>5489</v>
      </c>
    </row>
    <row r="169" spans="1:12" ht="25.5">
      <c r="A169" s="93">
        <v>168</v>
      </c>
      <c r="B169" s="122" t="s">
        <v>5487</v>
      </c>
      <c r="C169" s="122" t="s">
        <v>5509</v>
      </c>
      <c r="D169" s="120" t="s">
        <v>5279</v>
      </c>
      <c r="E169" s="120"/>
      <c r="F169" s="120"/>
      <c r="G169" s="120"/>
      <c r="H169" s="120"/>
      <c r="I169" s="103">
        <v>39566</v>
      </c>
      <c r="J169" s="101" t="s">
        <v>738</v>
      </c>
      <c r="K169" s="98">
        <f t="shared" si="2"/>
        <v>2008</v>
      </c>
      <c r="L169" s="99" t="s">
        <v>5489</v>
      </c>
    </row>
    <row r="170" spans="1:12" ht="25.5">
      <c r="A170" s="93">
        <v>169</v>
      </c>
      <c r="B170" s="122" t="s">
        <v>5487</v>
      </c>
      <c r="C170" s="122" t="s">
        <v>5510</v>
      </c>
      <c r="D170" s="120" t="s">
        <v>5284</v>
      </c>
      <c r="E170" s="120"/>
      <c r="F170" s="120"/>
      <c r="G170" s="120"/>
      <c r="H170" s="120"/>
      <c r="I170" s="103">
        <v>39568</v>
      </c>
      <c r="J170" s="100" t="s">
        <v>999</v>
      </c>
      <c r="K170" s="98">
        <f t="shared" si="2"/>
        <v>2008</v>
      </c>
      <c r="L170" s="99" t="s">
        <v>5489</v>
      </c>
    </row>
    <row r="171" spans="1:12" ht="38.25">
      <c r="A171" s="93">
        <v>170</v>
      </c>
      <c r="B171" s="122" t="s">
        <v>5511</v>
      </c>
      <c r="C171" s="128" t="s">
        <v>5512</v>
      </c>
      <c r="D171" s="132" t="s">
        <v>5279</v>
      </c>
      <c r="E171" s="101"/>
      <c r="F171" s="101"/>
      <c r="G171" s="101"/>
      <c r="H171" s="120"/>
      <c r="I171" s="103">
        <v>39577</v>
      </c>
      <c r="J171" s="101" t="s">
        <v>738</v>
      </c>
      <c r="K171" s="98">
        <f t="shared" si="2"/>
        <v>2008</v>
      </c>
      <c r="L171" s="99" t="s">
        <v>5354</v>
      </c>
    </row>
    <row r="172" spans="1:12" ht="51">
      <c r="A172" s="93">
        <v>171</v>
      </c>
      <c r="B172" s="122" t="s">
        <v>5511</v>
      </c>
      <c r="C172" s="128" t="s">
        <v>5513</v>
      </c>
      <c r="D172" s="133" t="s">
        <v>5279</v>
      </c>
      <c r="E172" s="101"/>
      <c r="F172" s="101"/>
      <c r="G172" s="101"/>
      <c r="H172" s="120"/>
      <c r="I172" s="103">
        <v>39790</v>
      </c>
      <c r="J172" s="96" t="s">
        <v>897</v>
      </c>
      <c r="K172" s="98">
        <f t="shared" si="2"/>
        <v>2008</v>
      </c>
      <c r="L172" s="99" t="s">
        <v>5354</v>
      </c>
    </row>
    <row r="173" spans="1:12" ht="25.5">
      <c r="A173" s="93">
        <v>172</v>
      </c>
      <c r="B173" s="122" t="s">
        <v>5487</v>
      </c>
      <c r="C173" s="122" t="s">
        <v>5514</v>
      </c>
      <c r="D173" s="120" t="s">
        <v>5279</v>
      </c>
      <c r="E173" s="120"/>
      <c r="F173" s="120"/>
      <c r="G173" s="120"/>
      <c r="H173" s="120"/>
      <c r="I173" s="103">
        <v>39581</v>
      </c>
      <c r="J173" s="96" t="s">
        <v>844</v>
      </c>
      <c r="K173" s="98">
        <f t="shared" si="2"/>
        <v>2008</v>
      </c>
      <c r="L173" s="99" t="s">
        <v>5489</v>
      </c>
    </row>
    <row r="174" spans="1:12" ht="51">
      <c r="A174" s="93">
        <v>173</v>
      </c>
      <c r="B174" s="122" t="s">
        <v>5511</v>
      </c>
      <c r="C174" s="128" t="s">
        <v>5515</v>
      </c>
      <c r="D174" s="133" t="s">
        <v>5516</v>
      </c>
      <c r="E174" s="101"/>
      <c r="F174" s="101"/>
      <c r="G174" s="101"/>
      <c r="H174" s="120"/>
      <c r="I174" s="103">
        <v>39582</v>
      </c>
      <c r="J174" s="96" t="s">
        <v>844</v>
      </c>
      <c r="K174" s="98">
        <f t="shared" si="2"/>
        <v>2008</v>
      </c>
      <c r="L174" s="99" t="s">
        <v>5354</v>
      </c>
    </row>
    <row r="175" spans="1:12" ht="25.5">
      <c r="A175" s="93">
        <v>174</v>
      </c>
      <c r="B175" s="122" t="s">
        <v>5487</v>
      </c>
      <c r="C175" s="122" t="s">
        <v>5517</v>
      </c>
      <c r="D175" s="120" t="s">
        <v>5284</v>
      </c>
      <c r="E175" s="120"/>
      <c r="F175" s="120"/>
      <c r="G175" s="120"/>
      <c r="H175" s="120"/>
      <c r="I175" s="103">
        <v>39582</v>
      </c>
      <c r="J175" s="96" t="s">
        <v>985</v>
      </c>
      <c r="K175" s="98">
        <f t="shared" si="2"/>
        <v>2008</v>
      </c>
      <c r="L175" s="99" t="s">
        <v>5489</v>
      </c>
    </row>
    <row r="176" spans="1:12" ht="38.25">
      <c r="A176" s="93">
        <v>175</v>
      </c>
      <c r="B176" s="122" t="s">
        <v>5511</v>
      </c>
      <c r="C176" s="128" t="s">
        <v>5518</v>
      </c>
      <c r="D176" s="134" t="s">
        <v>5516</v>
      </c>
      <c r="E176" s="101"/>
      <c r="F176" s="101"/>
      <c r="G176" s="101"/>
      <c r="H176" s="120"/>
      <c r="I176" s="103">
        <v>39584</v>
      </c>
      <c r="J176" s="100" t="s">
        <v>999</v>
      </c>
      <c r="K176" s="98">
        <f t="shared" si="2"/>
        <v>2008</v>
      </c>
      <c r="L176" s="99" t="s">
        <v>5354</v>
      </c>
    </row>
    <row r="177" spans="1:12" ht="25.5">
      <c r="A177" s="93">
        <v>176</v>
      </c>
      <c r="B177" s="122" t="s">
        <v>5487</v>
      </c>
      <c r="C177" s="122" t="s">
        <v>5519</v>
      </c>
      <c r="D177" s="120" t="s">
        <v>5284</v>
      </c>
      <c r="E177" s="120"/>
      <c r="F177" s="120"/>
      <c r="G177" s="120"/>
      <c r="H177" s="120"/>
      <c r="I177" s="103">
        <v>39584</v>
      </c>
      <c r="J177" s="96" t="s">
        <v>1003</v>
      </c>
      <c r="K177" s="98">
        <f t="shared" si="2"/>
        <v>2008</v>
      </c>
      <c r="L177" s="99" t="s">
        <v>5489</v>
      </c>
    </row>
    <row r="178" spans="1:12" ht="51">
      <c r="A178" s="93">
        <v>177</v>
      </c>
      <c r="B178" s="122" t="s">
        <v>5511</v>
      </c>
      <c r="C178" s="128" t="s">
        <v>5520</v>
      </c>
      <c r="D178" s="134" t="s">
        <v>5516</v>
      </c>
      <c r="E178" s="101"/>
      <c r="F178" s="101"/>
      <c r="G178" s="101"/>
      <c r="H178" s="120"/>
      <c r="I178" s="103">
        <v>39584</v>
      </c>
      <c r="J178" s="96" t="s">
        <v>974</v>
      </c>
      <c r="K178" s="98">
        <f t="shared" si="2"/>
        <v>2008</v>
      </c>
      <c r="L178" s="99" t="s">
        <v>5354</v>
      </c>
    </row>
    <row r="179" spans="1:12" ht="38.25">
      <c r="A179" s="93">
        <v>178</v>
      </c>
      <c r="B179" s="122" t="s">
        <v>5511</v>
      </c>
      <c r="C179" s="128" t="s">
        <v>5521</v>
      </c>
      <c r="D179" s="134" t="s">
        <v>5279</v>
      </c>
      <c r="E179" s="101"/>
      <c r="F179" s="101"/>
      <c r="G179" s="101"/>
      <c r="H179" s="120"/>
      <c r="I179" s="103">
        <v>39586</v>
      </c>
      <c r="J179" s="96" t="s">
        <v>892</v>
      </c>
      <c r="K179" s="98">
        <f t="shared" si="2"/>
        <v>2008</v>
      </c>
      <c r="L179" s="99" t="s">
        <v>5354</v>
      </c>
    </row>
    <row r="180" spans="1:12" ht="51">
      <c r="A180" s="93">
        <v>179</v>
      </c>
      <c r="B180" s="122" t="s">
        <v>5426</v>
      </c>
      <c r="C180" s="117" t="s">
        <v>5522</v>
      </c>
      <c r="D180" s="135" t="s">
        <v>5284</v>
      </c>
      <c r="E180" s="101">
        <v>2</v>
      </c>
      <c r="F180" s="101"/>
      <c r="G180" s="101"/>
      <c r="H180" s="120"/>
      <c r="I180" s="103">
        <v>39590</v>
      </c>
      <c r="J180" s="96" t="s">
        <v>938</v>
      </c>
      <c r="K180" s="98">
        <f t="shared" si="2"/>
        <v>2008</v>
      </c>
      <c r="L180" s="99" t="s">
        <v>5285</v>
      </c>
    </row>
    <row r="181" spans="1:12" ht="38.25">
      <c r="A181" s="93">
        <v>180</v>
      </c>
      <c r="B181" s="116" t="s">
        <v>5511</v>
      </c>
      <c r="C181" s="128" t="s">
        <v>5523</v>
      </c>
      <c r="D181" s="101" t="s">
        <v>5279</v>
      </c>
      <c r="E181" s="101"/>
      <c r="F181" s="101"/>
      <c r="G181" s="101"/>
      <c r="H181" s="120"/>
      <c r="I181" s="103">
        <v>39592</v>
      </c>
      <c r="J181" s="96" t="s">
        <v>911</v>
      </c>
      <c r="K181" s="98">
        <f t="shared" si="2"/>
        <v>2008</v>
      </c>
      <c r="L181" s="99" t="s">
        <v>5354</v>
      </c>
    </row>
    <row r="182" spans="1:12" ht="51">
      <c r="A182" s="93">
        <v>181</v>
      </c>
      <c r="B182" s="122" t="s">
        <v>5426</v>
      </c>
      <c r="C182" s="117" t="s">
        <v>5524</v>
      </c>
      <c r="D182" s="135" t="s">
        <v>5284</v>
      </c>
      <c r="E182" s="136">
        <v>2</v>
      </c>
      <c r="F182" s="101"/>
      <c r="G182" s="101"/>
      <c r="H182" s="120"/>
      <c r="I182" s="103">
        <v>39596</v>
      </c>
      <c r="J182" s="101" t="s">
        <v>738</v>
      </c>
      <c r="K182" s="98">
        <f t="shared" si="2"/>
        <v>2008</v>
      </c>
      <c r="L182" s="99" t="s">
        <v>5285</v>
      </c>
    </row>
    <row r="183" spans="1:12" ht="25.5">
      <c r="A183" s="93">
        <v>182</v>
      </c>
      <c r="B183" s="122" t="s">
        <v>5487</v>
      </c>
      <c r="C183" s="122" t="s">
        <v>5525</v>
      </c>
      <c r="D183" s="120" t="s">
        <v>5279</v>
      </c>
      <c r="E183" s="120"/>
      <c r="F183" s="120"/>
      <c r="G183" s="120"/>
      <c r="H183" s="120"/>
      <c r="I183" s="103">
        <v>39608</v>
      </c>
      <c r="J183" s="100" t="s">
        <v>999</v>
      </c>
      <c r="K183" s="98">
        <f t="shared" si="2"/>
        <v>2008</v>
      </c>
      <c r="L183" s="99" t="s">
        <v>5489</v>
      </c>
    </row>
    <row r="184" spans="1:12" ht="25.5">
      <c r="A184" s="93">
        <v>183</v>
      </c>
      <c r="B184" s="122" t="s">
        <v>5487</v>
      </c>
      <c r="C184" s="122" t="s">
        <v>5526</v>
      </c>
      <c r="D184" s="120" t="s">
        <v>5284</v>
      </c>
      <c r="E184" s="120"/>
      <c r="F184" s="120"/>
      <c r="G184" s="120"/>
      <c r="H184" s="120"/>
      <c r="I184" s="103">
        <v>39608</v>
      </c>
      <c r="J184" s="96" t="s">
        <v>954</v>
      </c>
      <c r="K184" s="98">
        <f t="shared" si="2"/>
        <v>2008</v>
      </c>
      <c r="L184" s="99" t="s">
        <v>5489</v>
      </c>
    </row>
    <row r="185" spans="1:12" ht="25.5">
      <c r="A185" s="93">
        <v>184</v>
      </c>
      <c r="B185" s="122" t="s">
        <v>5487</v>
      </c>
      <c r="C185" s="122" t="s">
        <v>5527</v>
      </c>
      <c r="D185" s="120" t="s">
        <v>5279</v>
      </c>
      <c r="E185" s="120"/>
      <c r="F185" s="120"/>
      <c r="G185" s="120"/>
      <c r="H185" s="120"/>
      <c r="I185" s="103">
        <v>39619</v>
      </c>
      <c r="J185" s="96" t="s">
        <v>969</v>
      </c>
      <c r="K185" s="98">
        <f t="shared" si="2"/>
        <v>2008</v>
      </c>
      <c r="L185" s="99" t="s">
        <v>5489</v>
      </c>
    </row>
    <row r="186" spans="1:12" ht="25.5">
      <c r="A186" s="93">
        <v>185</v>
      </c>
      <c r="B186" s="122" t="s">
        <v>5487</v>
      </c>
      <c r="C186" s="122" t="s">
        <v>5528</v>
      </c>
      <c r="D186" s="120" t="s">
        <v>5279</v>
      </c>
      <c r="E186" s="120"/>
      <c r="F186" s="120"/>
      <c r="G186" s="120"/>
      <c r="H186" s="120"/>
      <c r="I186" s="103">
        <v>39625</v>
      </c>
      <c r="J186" s="96" t="s">
        <v>954</v>
      </c>
      <c r="K186" s="98">
        <f t="shared" si="2"/>
        <v>2008</v>
      </c>
      <c r="L186" s="99" t="s">
        <v>5489</v>
      </c>
    </row>
    <row r="187" spans="1:12" ht="25.5">
      <c r="A187" s="93">
        <v>186</v>
      </c>
      <c r="B187" s="122" t="s">
        <v>5487</v>
      </c>
      <c r="C187" s="122" t="s">
        <v>5529</v>
      </c>
      <c r="D187" s="120" t="s">
        <v>5284</v>
      </c>
      <c r="E187" s="120"/>
      <c r="F187" s="120"/>
      <c r="G187" s="120"/>
      <c r="H187" s="120"/>
      <c r="I187" s="103">
        <v>39630</v>
      </c>
      <c r="J187" s="96" t="s">
        <v>870</v>
      </c>
      <c r="K187" s="98">
        <f t="shared" si="2"/>
        <v>2008</v>
      </c>
      <c r="L187" s="99" t="s">
        <v>5489</v>
      </c>
    </row>
    <row r="188" spans="1:12" ht="25.5">
      <c r="A188" s="93">
        <v>187</v>
      </c>
      <c r="B188" s="122" t="s">
        <v>5487</v>
      </c>
      <c r="C188" s="122" t="s">
        <v>5530</v>
      </c>
      <c r="D188" s="120" t="s">
        <v>5279</v>
      </c>
      <c r="E188" s="120"/>
      <c r="F188" s="120"/>
      <c r="G188" s="120"/>
      <c r="H188" s="125"/>
      <c r="I188" s="103">
        <v>39630</v>
      </c>
      <c r="J188" s="96" t="s">
        <v>870</v>
      </c>
      <c r="K188" s="98">
        <f t="shared" si="2"/>
        <v>2008</v>
      </c>
      <c r="L188" s="99" t="s">
        <v>5489</v>
      </c>
    </row>
    <row r="189" spans="1:12" ht="25.5">
      <c r="A189" s="93">
        <v>188</v>
      </c>
      <c r="B189" s="122" t="s">
        <v>5487</v>
      </c>
      <c r="C189" s="122" t="s">
        <v>5531</v>
      </c>
      <c r="D189" s="120" t="s">
        <v>5279</v>
      </c>
      <c r="E189" s="120"/>
      <c r="F189" s="120"/>
      <c r="G189" s="120"/>
      <c r="H189" s="101"/>
      <c r="I189" s="103">
        <v>39654</v>
      </c>
      <c r="J189" s="96" t="s">
        <v>921</v>
      </c>
      <c r="K189" s="98">
        <f t="shared" si="2"/>
        <v>2008</v>
      </c>
      <c r="L189" s="99" t="s">
        <v>5489</v>
      </c>
    </row>
    <row r="190" spans="1:12" ht="25.5">
      <c r="A190" s="93">
        <v>189</v>
      </c>
      <c r="B190" s="122" t="s">
        <v>5511</v>
      </c>
      <c r="C190" s="128" t="s">
        <v>5532</v>
      </c>
      <c r="D190" s="135" t="s">
        <v>5279</v>
      </c>
      <c r="E190" s="136"/>
      <c r="F190" s="101"/>
      <c r="G190" s="101"/>
      <c r="H190" s="101"/>
      <c r="I190" s="103">
        <v>39660</v>
      </c>
      <c r="J190" s="96" t="s">
        <v>885</v>
      </c>
      <c r="K190" s="98">
        <f t="shared" si="2"/>
        <v>2008</v>
      </c>
      <c r="L190" s="99" t="s">
        <v>5366</v>
      </c>
    </row>
    <row r="191" spans="1:12" ht="51">
      <c r="A191" s="93">
        <v>190</v>
      </c>
      <c r="B191" s="122" t="s">
        <v>5426</v>
      </c>
      <c r="C191" s="117" t="s">
        <v>5533</v>
      </c>
      <c r="D191" s="120" t="s">
        <v>5284</v>
      </c>
      <c r="E191" s="101">
        <v>2</v>
      </c>
      <c r="F191" s="101"/>
      <c r="G191" s="101"/>
      <c r="H191" s="120"/>
      <c r="I191" s="103">
        <v>39662</v>
      </c>
      <c r="J191" s="96" t="s">
        <v>942</v>
      </c>
      <c r="K191" s="98">
        <f t="shared" si="2"/>
        <v>2008</v>
      </c>
      <c r="L191" s="99" t="s">
        <v>5285</v>
      </c>
    </row>
    <row r="192" spans="1:12" ht="38.25">
      <c r="A192" s="93">
        <v>191</v>
      </c>
      <c r="B192" s="122" t="s">
        <v>5534</v>
      </c>
      <c r="C192" s="117" t="s">
        <v>5535</v>
      </c>
      <c r="D192" s="120" t="s">
        <v>5284</v>
      </c>
      <c r="E192" s="101">
        <v>5</v>
      </c>
      <c r="F192" s="101"/>
      <c r="G192" s="101"/>
      <c r="H192" s="120"/>
      <c r="I192" s="103">
        <v>39686</v>
      </c>
      <c r="J192" s="96" t="s">
        <v>831</v>
      </c>
      <c r="K192" s="98">
        <f t="shared" si="2"/>
        <v>2008</v>
      </c>
      <c r="L192" s="99" t="s">
        <v>5291</v>
      </c>
    </row>
    <row r="193" spans="1:12" ht="38.25">
      <c r="A193" s="93">
        <v>192</v>
      </c>
      <c r="B193" s="122" t="s">
        <v>5536</v>
      </c>
      <c r="C193" s="122" t="s">
        <v>5537</v>
      </c>
      <c r="D193" s="120" t="s">
        <v>5279</v>
      </c>
      <c r="E193" s="120"/>
      <c r="F193" s="120"/>
      <c r="G193" s="120"/>
      <c r="H193" s="120"/>
      <c r="I193" s="103">
        <v>39701</v>
      </c>
      <c r="J193" s="96" t="s">
        <v>980</v>
      </c>
      <c r="K193" s="98">
        <f t="shared" si="2"/>
        <v>2008</v>
      </c>
      <c r="L193" s="99" t="s">
        <v>5538</v>
      </c>
    </row>
    <row r="194" spans="1:12" ht="51">
      <c r="A194" s="93">
        <v>193</v>
      </c>
      <c r="B194" s="122" t="s">
        <v>5426</v>
      </c>
      <c r="C194" s="117" t="s">
        <v>5539</v>
      </c>
      <c r="D194" s="120" t="s">
        <v>5284</v>
      </c>
      <c r="E194" s="120">
        <v>3</v>
      </c>
      <c r="F194" s="120"/>
      <c r="G194" s="120"/>
      <c r="H194" s="120"/>
      <c r="I194" s="103">
        <v>39739</v>
      </c>
      <c r="J194" s="96" t="s">
        <v>921</v>
      </c>
      <c r="K194" s="98">
        <f t="shared" si="2"/>
        <v>2008</v>
      </c>
      <c r="L194" s="99" t="s">
        <v>5285</v>
      </c>
    </row>
    <row r="195" spans="1:12" ht="51">
      <c r="A195" s="93">
        <v>194</v>
      </c>
      <c r="B195" s="122" t="s">
        <v>5426</v>
      </c>
      <c r="C195" s="117" t="s">
        <v>5540</v>
      </c>
      <c r="D195" s="120" t="s">
        <v>5284</v>
      </c>
      <c r="E195" s="120"/>
      <c r="F195" s="120">
        <v>4</v>
      </c>
      <c r="G195" s="120"/>
      <c r="H195" s="120"/>
      <c r="I195" s="103">
        <v>39773</v>
      </c>
      <c r="J195" s="101" t="s">
        <v>738</v>
      </c>
      <c r="K195" s="98">
        <f t="shared" ref="K195:K258" si="3">YEAR(I195)</f>
        <v>2008</v>
      </c>
      <c r="L195" s="99" t="s">
        <v>5285</v>
      </c>
    </row>
    <row r="196" spans="1:12" ht="51">
      <c r="A196" s="93">
        <v>195</v>
      </c>
      <c r="B196" s="122" t="s">
        <v>5426</v>
      </c>
      <c r="C196" s="128" t="s">
        <v>5541</v>
      </c>
      <c r="D196" s="120" t="s">
        <v>5284</v>
      </c>
      <c r="E196" s="120">
        <v>3</v>
      </c>
      <c r="F196" s="120">
        <v>2</v>
      </c>
      <c r="G196" s="120"/>
      <c r="H196" s="120"/>
      <c r="I196" s="103">
        <v>39782</v>
      </c>
      <c r="J196" s="101" t="s">
        <v>738</v>
      </c>
      <c r="K196" s="98">
        <f t="shared" si="3"/>
        <v>2008</v>
      </c>
      <c r="L196" s="99" t="s">
        <v>5285</v>
      </c>
    </row>
    <row r="197" spans="1:12" ht="38.25">
      <c r="A197" s="93">
        <v>196</v>
      </c>
      <c r="B197" s="122" t="s">
        <v>5286</v>
      </c>
      <c r="C197" s="128" t="s">
        <v>5542</v>
      </c>
      <c r="D197" s="120" t="s">
        <v>5279</v>
      </c>
      <c r="E197" s="120"/>
      <c r="F197" s="120"/>
      <c r="G197" s="120"/>
      <c r="H197" s="120"/>
      <c r="I197" s="103">
        <v>39788</v>
      </c>
      <c r="J197" s="96" t="s">
        <v>831</v>
      </c>
      <c r="K197" s="98">
        <f t="shared" si="3"/>
        <v>2008</v>
      </c>
      <c r="L197" s="99" t="s">
        <v>5280</v>
      </c>
    </row>
    <row r="198" spans="1:12" ht="51">
      <c r="A198" s="93">
        <v>197</v>
      </c>
      <c r="B198" s="122" t="s">
        <v>5426</v>
      </c>
      <c r="C198" s="117" t="s">
        <v>5543</v>
      </c>
      <c r="D198" s="120" t="s">
        <v>5284</v>
      </c>
      <c r="E198" s="121" t="s">
        <v>5544</v>
      </c>
      <c r="F198" s="120"/>
      <c r="G198" s="120"/>
      <c r="H198" s="120"/>
      <c r="I198" s="103">
        <v>39793</v>
      </c>
      <c r="J198" s="101" t="s">
        <v>738</v>
      </c>
      <c r="K198" s="98">
        <f t="shared" si="3"/>
        <v>2008</v>
      </c>
      <c r="L198" s="99" t="s">
        <v>5285</v>
      </c>
    </row>
    <row r="199" spans="1:12" ht="51">
      <c r="A199" s="93">
        <v>198</v>
      </c>
      <c r="B199" s="122" t="s">
        <v>5426</v>
      </c>
      <c r="C199" s="117" t="s">
        <v>5545</v>
      </c>
      <c r="D199" s="120" t="s">
        <v>5284</v>
      </c>
      <c r="E199" s="120">
        <v>2</v>
      </c>
      <c r="F199" s="120"/>
      <c r="G199" s="120"/>
      <c r="H199" s="120"/>
      <c r="I199" s="103">
        <v>39796</v>
      </c>
      <c r="J199" s="96" t="s">
        <v>954</v>
      </c>
      <c r="K199" s="98">
        <f t="shared" si="3"/>
        <v>2008</v>
      </c>
      <c r="L199" s="99" t="s">
        <v>5285</v>
      </c>
    </row>
    <row r="200" spans="1:12" ht="51">
      <c r="A200" s="93">
        <v>199</v>
      </c>
      <c r="B200" s="122" t="s">
        <v>5426</v>
      </c>
      <c r="C200" s="117" t="s">
        <v>5546</v>
      </c>
      <c r="D200" s="120" t="s">
        <v>5284</v>
      </c>
      <c r="E200" s="120">
        <v>2</v>
      </c>
      <c r="F200" s="120"/>
      <c r="G200" s="120"/>
      <c r="H200" s="120"/>
      <c r="I200" s="103">
        <v>39812</v>
      </c>
      <c r="J200" s="96" t="s">
        <v>938</v>
      </c>
      <c r="K200" s="98">
        <f t="shared" si="3"/>
        <v>2008</v>
      </c>
      <c r="L200" s="99" t="s">
        <v>5285</v>
      </c>
    </row>
    <row r="201" spans="1:12" ht="25.5">
      <c r="A201" s="93">
        <v>200</v>
      </c>
      <c r="B201" s="122" t="s">
        <v>5443</v>
      </c>
      <c r="C201" s="128" t="s">
        <v>5547</v>
      </c>
      <c r="D201" s="120" t="s">
        <v>5279</v>
      </c>
      <c r="E201" s="120">
        <v>3</v>
      </c>
      <c r="I201" s="103">
        <v>39933</v>
      </c>
      <c r="J201" s="101" t="s">
        <v>738</v>
      </c>
      <c r="K201" s="98">
        <f t="shared" si="3"/>
        <v>2009</v>
      </c>
      <c r="L201" s="99" t="s">
        <v>5319</v>
      </c>
    </row>
    <row r="202" spans="1:12" ht="25.5">
      <c r="A202" s="93">
        <v>201</v>
      </c>
      <c r="B202" s="122" t="s">
        <v>5443</v>
      </c>
      <c r="C202" s="128" t="s">
        <v>5548</v>
      </c>
      <c r="D202" s="120" t="s">
        <v>5279</v>
      </c>
      <c r="E202" s="120">
        <v>11</v>
      </c>
      <c r="I202" s="103">
        <v>40118</v>
      </c>
      <c r="J202" s="96" t="s">
        <v>925</v>
      </c>
      <c r="K202" s="98">
        <f t="shared" si="3"/>
        <v>2009</v>
      </c>
      <c r="L202" s="99" t="s">
        <v>5319</v>
      </c>
    </row>
    <row r="203" spans="1:12">
      <c r="A203" s="93">
        <v>202</v>
      </c>
      <c r="B203" s="122" t="s">
        <v>5549</v>
      </c>
      <c r="C203" s="122" t="s">
        <v>5550</v>
      </c>
      <c r="D203" s="101" t="s">
        <v>5284</v>
      </c>
      <c r="I203" s="103">
        <v>40199</v>
      </c>
      <c r="J203" s="96" t="s">
        <v>917</v>
      </c>
      <c r="K203" s="98">
        <f t="shared" si="3"/>
        <v>2010</v>
      </c>
      <c r="L203" s="99" t="s">
        <v>5551</v>
      </c>
    </row>
    <row r="204" spans="1:12" ht="25.5">
      <c r="A204" s="93">
        <v>203</v>
      </c>
      <c r="B204" s="122" t="s">
        <v>5552</v>
      </c>
      <c r="C204" s="122" t="s">
        <v>5553</v>
      </c>
      <c r="D204" s="101" t="s">
        <v>5279</v>
      </c>
      <c r="I204" s="103">
        <v>40317</v>
      </c>
      <c r="J204" s="96" t="s">
        <v>1003</v>
      </c>
      <c r="K204" s="98">
        <f t="shared" si="3"/>
        <v>2010</v>
      </c>
      <c r="L204" s="99" t="s">
        <v>5354</v>
      </c>
    </row>
    <row r="205" spans="1:12" ht="25.5">
      <c r="A205" s="93">
        <v>204</v>
      </c>
      <c r="B205" s="122" t="s">
        <v>5552</v>
      </c>
      <c r="C205" s="122" t="s">
        <v>5554</v>
      </c>
      <c r="D205" s="101" t="s">
        <v>5279</v>
      </c>
      <c r="I205" s="103">
        <v>40318</v>
      </c>
      <c r="J205" s="96" t="s">
        <v>921</v>
      </c>
      <c r="K205" s="98">
        <f t="shared" si="3"/>
        <v>2010</v>
      </c>
      <c r="L205" s="99" t="s">
        <v>5354</v>
      </c>
    </row>
    <row r="206" spans="1:12" ht="38.25">
      <c r="A206" s="93">
        <v>205</v>
      </c>
      <c r="B206" s="122" t="s">
        <v>5555</v>
      </c>
      <c r="C206" s="122" t="s">
        <v>5556</v>
      </c>
      <c r="D206" s="101" t="s">
        <v>5279</v>
      </c>
      <c r="I206" s="103">
        <v>40417</v>
      </c>
      <c r="J206" s="100" t="s">
        <v>994</v>
      </c>
      <c r="K206" s="98">
        <f t="shared" si="3"/>
        <v>2010</v>
      </c>
      <c r="L206" s="99" t="s">
        <v>5291</v>
      </c>
    </row>
    <row r="207" spans="1:12" ht="25.5">
      <c r="A207" s="93">
        <v>206</v>
      </c>
      <c r="B207" s="122" t="s">
        <v>5552</v>
      </c>
      <c r="C207" s="122" t="s">
        <v>5557</v>
      </c>
      <c r="D207" s="101" t="s">
        <v>5279</v>
      </c>
      <c r="I207" s="103">
        <v>40318</v>
      </c>
      <c r="J207" s="101" t="s">
        <v>738</v>
      </c>
      <c r="K207" s="98">
        <f t="shared" si="3"/>
        <v>2010</v>
      </c>
      <c r="L207" s="99" t="s">
        <v>5354</v>
      </c>
    </row>
    <row r="208" spans="1:12" ht="25.5">
      <c r="A208" s="93">
        <v>207</v>
      </c>
      <c r="B208" s="122" t="s">
        <v>5552</v>
      </c>
      <c r="C208" s="122" t="s">
        <v>5558</v>
      </c>
      <c r="D208" s="101" t="s">
        <v>5279</v>
      </c>
      <c r="I208" s="103">
        <v>40318</v>
      </c>
      <c r="J208" s="96" t="s">
        <v>985</v>
      </c>
      <c r="K208" s="98">
        <f t="shared" si="3"/>
        <v>2010</v>
      </c>
      <c r="L208" s="99" t="s">
        <v>5354</v>
      </c>
    </row>
    <row r="209" spans="1:12" ht="25.5">
      <c r="A209" s="93">
        <v>208</v>
      </c>
      <c r="B209" s="122" t="s">
        <v>5552</v>
      </c>
      <c r="C209" s="122" t="s">
        <v>5559</v>
      </c>
      <c r="D209" s="101" t="s">
        <v>5279</v>
      </c>
      <c r="I209" s="103">
        <v>40318</v>
      </c>
      <c r="J209" s="96" t="s">
        <v>934</v>
      </c>
      <c r="K209" s="98">
        <f t="shared" si="3"/>
        <v>2010</v>
      </c>
      <c r="L209" s="99" t="s">
        <v>5354</v>
      </c>
    </row>
    <row r="210" spans="1:12" ht="25.5">
      <c r="A210" s="93">
        <v>209</v>
      </c>
      <c r="B210" s="122" t="s">
        <v>5552</v>
      </c>
      <c r="C210" s="137" t="s">
        <v>5560</v>
      </c>
      <c r="D210" s="101" t="s">
        <v>5279</v>
      </c>
      <c r="E210" s="101"/>
      <c r="F210" s="101">
        <v>219</v>
      </c>
      <c r="G210" s="101">
        <v>38</v>
      </c>
      <c r="H210" s="101" t="s">
        <v>5561</v>
      </c>
      <c r="I210" s="103">
        <v>40669</v>
      </c>
      <c r="J210" s="96" t="s">
        <v>954</v>
      </c>
      <c r="K210" s="98">
        <f t="shared" si="3"/>
        <v>2011</v>
      </c>
      <c r="L210" s="99" t="s">
        <v>5354</v>
      </c>
    </row>
    <row r="211" spans="1:12" ht="25.5">
      <c r="A211" s="93">
        <v>210</v>
      </c>
      <c r="B211" s="122" t="s">
        <v>5552</v>
      </c>
      <c r="C211" s="122" t="s">
        <v>5562</v>
      </c>
      <c r="D211" s="101" t="s">
        <v>5279</v>
      </c>
      <c r="E211" s="101"/>
      <c r="F211" s="101">
        <v>735</v>
      </c>
      <c r="G211" s="101">
        <v>257</v>
      </c>
      <c r="H211" s="101" t="s">
        <v>5563</v>
      </c>
      <c r="I211" s="103">
        <v>40679</v>
      </c>
      <c r="J211" s="96" t="s">
        <v>934</v>
      </c>
      <c r="K211" s="98">
        <f t="shared" si="3"/>
        <v>2011</v>
      </c>
      <c r="L211" s="99" t="s">
        <v>5354</v>
      </c>
    </row>
    <row r="212" spans="1:12" ht="25.5">
      <c r="A212" s="93">
        <v>211</v>
      </c>
      <c r="B212" s="122" t="s">
        <v>5552</v>
      </c>
      <c r="C212" s="122" t="s">
        <v>5564</v>
      </c>
      <c r="D212" s="101" t="s">
        <v>5279</v>
      </c>
      <c r="E212" s="101"/>
      <c r="F212" s="101">
        <v>423</v>
      </c>
      <c r="G212" s="101">
        <v>134</v>
      </c>
      <c r="H212" s="101" t="s">
        <v>5565</v>
      </c>
      <c r="I212" s="103">
        <v>40679</v>
      </c>
      <c r="J212" s="96" t="s">
        <v>934</v>
      </c>
      <c r="K212" s="98">
        <f t="shared" si="3"/>
        <v>2011</v>
      </c>
      <c r="L212" s="99" t="s">
        <v>5354</v>
      </c>
    </row>
    <row r="213" spans="1:12" ht="25.5">
      <c r="A213" s="93">
        <v>212</v>
      </c>
      <c r="B213" s="122" t="s">
        <v>5552</v>
      </c>
      <c r="C213" s="122" t="s">
        <v>5566</v>
      </c>
      <c r="D213" s="101" t="s">
        <v>5516</v>
      </c>
      <c r="E213" s="101"/>
      <c r="F213" s="101">
        <v>1775</v>
      </c>
      <c r="G213" s="101">
        <v>487</v>
      </c>
      <c r="H213" s="101"/>
      <c r="I213" s="103">
        <v>40680</v>
      </c>
      <c r="J213" s="96" t="s">
        <v>934</v>
      </c>
      <c r="K213" s="98">
        <f t="shared" si="3"/>
        <v>2011</v>
      </c>
      <c r="L213" s="99" t="s">
        <v>5354</v>
      </c>
    </row>
    <row r="214" spans="1:12" ht="25.5">
      <c r="A214" s="93">
        <v>213</v>
      </c>
      <c r="B214" s="122" t="s">
        <v>5567</v>
      </c>
      <c r="C214" s="138" t="s">
        <v>5568</v>
      </c>
      <c r="D214" s="121" t="s">
        <v>5279</v>
      </c>
      <c r="E214" s="121"/>
      <c r="F214" s="101"/>
      <c r="G214" s="101"/>
      <c r="H214" s="101"/>
      <c r="I214" s="103">
        <v>40676</v>
      </c>
      <c r="J214" s="96" t="s">
        <v>844</v>
      </c>
      <c r="K214" s="98">
        <f t="shared" si="3"/>
        <v>2011</v>
      </c>
      <c r="L214" s="99" t="s">
        <v>5569</v>
      </c>
    </row>
    <row r="215" spans="1:12" ht="51">
      <c r="A215" s="93">
        <v>214</v>
      </c>
      <c r="B215" s="122" t="s">
        <v>5570</v>
      </c>
      <c r="C215" s="128" t="s">
        <v>5571</v>
      </c>
      <c r="D215" s="118" t="s">
        <v>5279</v>
      </c>
      <c r="E215" s="120"/>
      <c r="F215" s="120"/>
      <c r="G215" s="120"/>
      <c r="H215" s="120"/>
      <c r="I215" s="103">
        <v>40734</v>
      </c>
      <c r="J215" s="101" t="s">
        <v>738</v>
      </c>
      <c r="K215" s="98">
        <f t="shared" si="3"/>
        <v>2011</v>
      </c>
      <c r="L215" s="99" t="s">
        <v>5314</v>
      </c>
    </row>
    <row r="216" spans="1:12" ht="89.25">
      <c r="A216" s="93">
        <v>215</v>
      </c>
      <c r="B216" s="122" t="s">
        <v>5567</v>
      </c>
      <c r="C216" s="137" t="s">
        <v>5572</v>
      </c>
      <c r="D216" s="118" t="s">
        <v>5299</v>
      </c>
      <c r="E216" s="121"/>
      <c r="F216" s="120"/>
      <c r="G216" s="120"/>
      <c r="H216" s="120"/>
      <c r="I216" s="103">
        <v>40739</v>
      </c>
      <c r="J216" s="96" t="s">
        <v>831</v>
      </c>
      <c r="K216" s="98">
        <f t="shared" si="3"/>
        <v>2011</v>
      </c>
      <c r="L216" s="99" t="s">
        <v>5569</v>
      </c>
    </row>
    <row r="217" spans="1:12" ht="38.25">
      <c r="A217" s="93">
        <v>216</v>
      </c>
      <c r="B217" s="122" t="s">
        <v>5552</v>
      </c>
      <c r="C217" s="122" t="s">
        <v>5573</v>
      </c>
      <c r="D217" s="120" t="s">
        <v>5279</v>
      </c>
      <c r="E217" s="120"/>
      <c r="F217" s="101">
        <v>136</v>
      </c>
      <c r="G217" s="101">
        <v>48</v>
      </c>
      <c r="I217" s="103">
        <v>41036</v>
      </c>
      <c r="J217" s="96" t="s">
        <v>954</v>
      </c>
      <c r="K217" s="98">
        <f t="shared" si="3"/>
        <v>2012</v>
      </c>
      <c r="L217" s="99" t="s">
        <v>5354</v>
      </c>
    </row>
    <row r="218" spans="1:12" ht="25.5">
      <c r="A218" s="93">
        <v>217</v>
      </c>
      <c r="B218" s="122" t="s">
        <v>5552</v>
      </c>
      <c r="C218" s="122" t="s">
        <v>5574</v>
      </c>
      <c r="D218" s="120" t="s">
        <v>5279</v>
      </c>
      <c r="E218" s="120"/>
      <c r="F218" s="101">
        <v>480</v>
      </c>
      <c r="G218" s="101">
        <v>114</v>
      </c>
      <c r="I218" s="103">
        <v>41044</v>
      </c>
      <c r="J218" s="96" t="s">
        <v>954</v>
      </c>
      <c r="K218" s="98">
        <f t="shared" si="3"/>
        <v>2012</v>
      </c>
      <c r="L218" s="99" t="s">
        <v>5354</v>
      </c>
    </row>
    <row r="219" spans="1:12" ht="38.25">
      <c r="A219" s="93">
        <v>218</v>
      </c>
      <c r="B219" s="122" t="s">
        <v>5552</v>
      </c>
      <c r="C219" s="122" t="s">
        <v>5575</v>
      </c>
      <c r="D219" s="120" t="s">
        <v>5279</v>
      </c>
      <c r="E219" s="120"/>
      <c r="F219" s="101"/>
      <c r="G219" s="101"/>
      <c r="I219" s="103">
        <v>41046</v>
      </c>
      <c r="J219" s="96" t="s">
        <v>989</v>
      </c>
      <c r="K219" s="98">
        <f t="shared" si="3"/>
        <v>2012</v>
      </c>
      <c r="L219" s="99" t="s">
        <v>5354</v>
      </c>
    </row>
    <row r="220" spans="1:12" ht="38.25">
      <c r="A220" s="93">
        <v>219</v>
      </c>
      <c r="B220" s="122" t="s">
        <v>5552</v>
      </c>
      <c r="C220" s="122" t="s">
        <v>5576</v>
      </c>
      <c r="D220" s="120" t="s">
        <v>5516</v>
      </c>
      <c r="E220" s="120"/>
      <c r="F220" s="131"/>
      <c r="G220" s="131"/>
      <c r="I220" s="103">
        <v>41046</v>
      </c>
      <c r="J220" s="96" t="s">
        <v>879</v>
      </c>
      <c r="K220" s="98">
        <f t="shared" si="3"/>
        <v>2012</v>
      </c>
      <c r="L220" s="99" t="s">
        <v>5354</v>
      </c>
    </row>
    <row r="221" spans="1:12" ht="38.25">
      <c r="A221" s="93">
        <v>220</v>
      </c>
      <c r="B221" s="122" t="s">
        <v>5552</v>
      </c>
      <c r="C221" s="122" t="s">
        <v>5577</v>
      </c>
      <c r="D221" s="120" t="s">
        <v>5279</v>
      </c>
      <c r="E221" s="120"/>
      <c r="F221" s="101">
        <v>391</v>
      </c>
      <c r="G221" s="101">
        <v>115</v>
      </c>
      <c r="I221" s="103">
        <v>41047</v>
      </c>
      <c r="J221" s="96" t="s">
        <v>934</v>
      </c>
      <c r="K221" s="98">
        <f t="shared" si="3"/>
        <v>2012</v>
      </c>
      <c r="L221" s="99" t="s">
        <v>5354</v>
      </c>
    </row>
    <row r="222" spans="1:12" ht="38.25">
      <c r="A222" s="93">
        <v>221</v>
      </c>
      <c r="B222" s="122" t="s">
        <v>5578</v>
      </c>
      <c r="C222" s="117" t="s">
        <v>5579</v>
      </c>
      <c r="D222" s="132" t="s">
        <v>5284</v>
      </c>
      <c r="E222" s="101"/>
      <c r="F222" s="126">
        <v>19</v>
      </c>
      <c r="G222" s="126">
        <v>1</v>
      </c>
      <c r="I222" s="103">
        <v>41058</v>
      </c>
      <c r="J222" s="96" t="s">
        <v>1003</v>
      </c>
      <c r="K222" s="98">
        <f t="shared" si="3"/>
        <v>2012</v>
      </c>
      <c r="L222" s="99" t="s">
        <v>5291</v>
      </c>
    </row>
    <row r="223" spans="1:12" ht="38.25">
      <c r="A223" s="93">
        <v>222</v>
      </c>
      <c r="B223" s="122" t="s">
        <v>5552</v>
      </c>
      <c r="C223" s="122" t="s">
        <v>5580</v>
      </c>
      <c r="D223" s="120" t="s">
        <v>5299</v>
      </c>
      <c r="E223" s="120"/>
      <c r="F223" s="101">
        <v>669</v>
      </c>
      <c r="G223" s="101">
        <v>223</v>
      </c>
      <c r="I223" s="103">
        <v>41049</v>
      </c>
      <c r="J223" s="96" t="s">
        <v>965</v>
      </c>
      <c r="K223" s="98">
        <f t="shared" si="3"/>
        <v>2012</v>
      </c>
      <c r="L223" s="99" t="s">
        <v>5354</v>
      </c>
    </row>
    <row r="224" spans="1:12" ht="51">
      <c r="A224" s="93">
        <v>223</v>
      </c>
      <c r="B224" s="122" t="s">
        <v>5552</v>
      </c>
      <c r="C224" s="122" t="s">
        <v>5581</v>
      </c>
      <c r="D224" s="120" t="s">
        <v>5299</v>
      </c>
      <c r="E224" s="120"/>
      <c r="F224" s="101">
        <v>214</v>
      </c>
      <c r="G224" s="101">
        <v>91</v>
      </c>
      <c r="I224" s="103">
        <v>41052</v>
      </c>
      <c r="J224" s="100" t="s">
        <v>994</v>
      </c>
      <c r="K224" s="98">
        <f t="shared" si="3"/>
        <v>2012</v>
      </c>
      <c r="L224" s="99" t="s">
        <v>5354</v>
      </c>
    </row>
    <row r="225" spans="1:12" ht="25.5">
      <c r="A225" s="93">
        <v>224</v>
      </c>
      <c r="B225" s="122" t="s">
        <v>5567</v>
      </c>
      <c r="C225" s="122" t="s">
        <v>5582</v>
      </c>
      <c r="D225" s="120" t="s">
        <v>5279</v>
      </c>
      <c r="E225" s="120"/>
      <c r="F225" s="120"/>
      <c r="G225" s="120"/>
      <c r="I225" s="103">
        <v>41071</v>
      </c>
      <c r="J225" s="96" t="s">
        <v>989</v>
      </c>
      <c r="K225" s="98">
        <f t="shared" si="3"/>
        <v>2012</v>
      </c>
      <c r="L225" s="99" t="s">
        <v>5569</v>
      </c>
    </row>
    <row r="226" spans="1:12" ht="25.5">
      <c r="A226" s="93">
        <v>225</v>
      </c>
      <c r="B226" s="122" t="s">
        <v>5567</v>
      </c>
      <c r="C226" s="122" t="s">
        <v>5583</v>
      </c>
      <c r="D226" s="120" t="s">
        <v>5279</v>
      </c>
      <c r="E226" s="120"/>
      <c r="F226" s="120"/>
      <c r="G226" s="120"/>
      <c r="I226" s="103">
        <v>41075</v>
      </c>
      <c r="J226" s="96" t="s">
        <v>892</v>
      </c>
      <c r="K226" s="98">
        <f t="shared" si="3"/>
        <v>2012</v>
      </c>
      <c r="L226" s="99" t="s">
        <v>5569</v>
      </c>
    </row>
    <row r="227" spans="1:12" ht="51">
      <c r="A227" s="93">
        <v>226</v>
      </c>
      <c r="B227" s="122" t="s">
        <v>5567</v>
      </c>
      <c r="C227" s="122" t="s">
        <v>5584</v>
      </c>
      <c r="D227" s="120" t="s">
        <v>5299</v>
      </c>
      <c r="E227" s="120"/>
      <c r="F227" s="120"/>
      <c r="G227" s="120"/>
      <c r="I227" s="103">
        <v>41078</v>
      </c>
      <c r="J227" s="96" t="s">
        <v>844</v>
      </c>
      <c r="K227" s="98">
        <f t="shared" si="3"/>
        <v>2012</v>
      </c>
      <c r="L227" s="99" t="s">
        <v>5569</v>
      </c>
    </row>
    <row r="228" spans="1:12" ht="25.5">
      <c r="A228" s="93">
        <v>227</v>
      </c>
      <c r="B228" s="122" t="s">
        <v>5567</v>
      </c>
      <c r="C228" s="122" t="s">
        <v>5585</v>
      </c>
      <c r="D228" s="120" t="s">
        <v>5279</v>
      </c>
      <c r="E228" s="120"/>
      <c r="F228" s="120"/>
      <c r="G228" s="120"/>
      <c r="I228" s="103">
        <v>41093</v>
      </c>
      <c r="J228" s="96" t="s">
        <v>892</v>
      </c>
      <c r="K228" s="98">
        <f t="shared" si="3"/>
        <v>2012</v>
      </c>
      <c r="L228" s="99" t="s">
        <v>5569</v>
      </c>
    </row>
    <row r="229" spans="1:12" ht="102">
      <c r="A229" s="93">
        <v>228</v>
      </c>
      <c r="B229" s="122" t="s">
        <v>5586</v>
      </c>
      <c r="C229" s="137" t="s">
        <v>5587</v>
      </c>
      <c r="D229" s="133" t="s">
        <v>5284</v>
      </c>
      <c r="E229" s="101">
        <v>4</v>
      </c>
      <c r="F229" s="101"/>
      <c r="G229" s="101"/>
      <c r="I229" s="103">
        <v>41094</v>
      </c>
      <c r="J229" s="96" t="s">
        <v>917</v>
      </c>
      <c r="K229" s="98">
        <f t="shared" si="3"/>
        <v>2012</v>
      </c>
      <c r="L229" s="99" t="s">
        <v>5319</v>
      </c>
    </row>
    <row r="230" spans="1:12" ht="25.5">
      <c r="A230" s="93">
        <v>229</v>
      </c>
      <c r="B230" s="122" t="s">
        <v>5567</v>
      </c>
      <c r="C230" s="122" t="s">
        <v>5588</v>
      </c>
      <c r="D230" s="120" t="s">
        <v>5279</v>
      </c>
      <c r="E230" s="120"/>
      <c r="F230" s="120"/>
      <c r="G230" s="120"/>
      <c r="I230" s="103">
        <v>41094</v>
      </c>
      <c r="J230" s="96" t="s">
        <v>980</v>
      </c>
      <c r="K230" s="98">
        <f t="shared" si="3"/>
        <v>2012</v>
      </c>
      <c r="L230" s="99" t="s">
        <v>5569</v>
      </c>
    </row>
    <row r="231" spans="1:12" ht="25.5">
      <c r="A231" s="93">
        <v>230</v>
      </c>
      <c r="B231" s="122" t="s">
        <v>5567</v>
      </c>
      <c r="C231" s="122" t="s">
        <v>5589</v>
      </c>
      <c r="D231" s="120" t="s">
        <v>5279</v>
      </c>
      <c r="E231" s="120"/>
      <c r="F231" s="120"/>
      <c r="G231" s="120"/>
      <c r="I231" s="103">
        <v>41097</v>
      </c>
      <c r="J231" s="96" t="s">
        <v>989</v>
      </c>
      <c r="K231" s="98">
        <f t="shared" si="3"/>
        <v>2012</v>
      </c>
      <c r="L231" s="99" t="s">
        <v>5569</v>
      </c>
    </row>
    <row r="232" spans="1:12" ht="25.5">
      <c r="A232" s="93">
        <v>231</v>
      </c>
      <c r="B232" s="122" t="s">
        <v>5567</v>
      </c>
      <c r="C232" s="122" t="s">
        <v>5590</v>
      </c>
      <c r="D232" s="120" t="s">
        <v>5279</v>
      </c>
      <c r="E232" s="120"/>
      <c r="F232" s="120"/>
      <c r="G232" s="120"/>
      <c r="I232" s="103">
        <v>41098</v>
      </c>
      <c r="J232" s="96" t="s">
        <v>980</v>
      </c>
      <c r="K232" s="98">
        <f t="shared" si="3"/>
        <v>2012</v>
      </c>
      <c r="L232" s="99" t="s">
        <v>5569</v>
      </c>
    </row>
    <row r="233" spans="1:12" ht="25.5">
      <c r="A233" s="93">
        <v>232</v>
      </c>
      <c r="B233" s="122" t="s">
        <v>5567</v>
      </c>
      <c r="C233" s="122" t="s">
        <v>5591</v>
      </c>
      <c r="D233" s="120" t="s">
        <v>5279</v>
      </c>
      <c r="E233" s="120"/>
      <c r="F233" s="120"/>
      <c r="G233" s="120"/>
      <c r="I233" s="103">
        <v>41104</v>
      </c>
      <c r="J233" s="96" t="s">
        <v>985</v>
      </c>
      <c r="K233" s="98">
        <f t="shared" si="3"/>
        <v>2012</v>
      </c>
      <c r="L233" s="99" t="s">
        <v>5569</v>
      </c>
    </row>
    <row r="234" spans="1:12" ht="25.5">
      <c r="A234" s="93">
        <v>233</v>
      </c>
      <c r="B234" s="122" t="s">
        <v>5567</v>
      </c>
      <c r="C234" s="122" t="s">
        <v>5592</v>
      </c>
      <c r="D234" s="120" t="s">
        <v>5279</v>
      </c>
      <c r="E234" s="120"/>
      <c r="F234" s="120"/>
      <c r="G234" s="120"/>
      <c r="I234" s="103">
        <v>41117</v>
      </c>
      <c r="J234" s="96" t="s">
        <v>989</v>
      </c>
      <c r="K234" s="98">
        <f t="shared" si="3"/>
        <v>2012</v>
      </c>
      <c r="L234" s="99" t="s">
        <v>5569</v>
      </c>
    </row>
    <row r="235" spans="1:12" ht="38.25">
      <c r="A235" s="93">
        <v>234</v>
      </c>
      <c r="B235" s="122" t="s">
        <v>5567</v>
      </c>
      <c r="C235" s="122" t="s">
        <v>5593</v>
      </c>
      <c r="D235" s="120" t="s">
        <v>5279</v>
      </c>
      <c r="E235" s="120"/>
      <c r="F235" s="120"/>
      <c r="G235" s="120"/>
      <c r="I235" s="103">
        <v>41118</v>
      </c>
      <c r="J235" s="96" t="s">
        <v>892</v>
      </c>
      <c r="K235" s="98">
        <f t="shared" si="3"/>
        <v>2012</v>
      </c>
      <c r="L235" s="99" t="s">
        <v>5569</v>
      </c>
    </row>
    <row r="236" spans="1:12" ht="38.25">
      <c r="A236" s="93">
        <v>235</v>
      </c>
      <c r="B236" s="122" t="s">
        <v>5594</v>
      </c>
      <c r="C236" s="122" t="s">
        <v>5595</v>
      </c>
      <c r="D236" s="120" t="s">
        <v>5516</v>
      </c>
      <c r="E236" s="120"/>
      <c r="F236" s="120"/>
      <c r="G236" s="120"/>
      <c r="I236" s="103">
        <v>41121</v>
      </c>
      <c r="J236" s="96" t="s">
        <v>934</v>
      </c>
      <c r="K236" s="98">
        <f t="shared" si="3"/>
        <v>2012</v>
      </c>
      <c r="L236" s="99" t="s">
        <v>5569</v>
      </c>
    </row>
    <row r="237" spans="1:12" ht="25.5">
      <c r="A237" s="93">
        <v>236</v>
      </c>
      <c r="B237" s="122" t="s">
        <v>5552</v>
      </c>
      <c r="C237" s="122" t="s">
        <v>5596</v>
      </c>
      <c r="D237" s="120" t="s">
        <v>5279</v>
      </c>
      <c r="E237" s="120"/>
      <c r="F237" s="101"/>
      <c r="G237" s="101"/>
      <c r="I237" s="103">
        <v>41121</v>
      </c>
      <c r="J237" s="96" t="s">
        <v>1003</v>
      </c>
      <c r="K237" s="98">
        <f t="shared" si="3"/>
        <v>2012</v>
      </c>
      <c r="L237" s="99" t="s">
        <v>5366</v>
      </c>
    </row>
    <row r="238" spans="1:12" ht="25.5">
      <c r="A238" s="93">
        <v>237</v>
      </c>
      <c r="B238" s="122" t="s">
        <v>5567</v>
      </c>
      <c r="C238" s="122" t="s">
        <v>5597</v>
      </c>
      <c r="D238" s="120" t="s">
        <v>5279</v>
      </c>
      <c r="E238" s="120"/>
      <c r="F238" s="120"/>
      <c r="G238" s="120"/>
      <c r="I238" s="103">
        <v>41124</v>
      </c>
      <c r="J238" s="100" t="s">
        <v>999</v>
      </c>
      <c r="K238" s="98">
        <f t="shared" si="3"/>
        <v>2012</v>
      </c>
      <c r="L238" s="99" t="s">
        <v>5569</v>
      </c>
    </row>
    <row r="239" spans="1:12" ht="51">
      <c r="A239" s="93">
        <v>238</v>
      </c>
      <c r="B239" s="122" t="s">
        <v>5598</v>
      </c>
      <c r="C239" s="117" t="s">
        <v>5599</v>
      </c>
      <c r="D239" s="133" t="s">
        <v>5284</v>
      </c>
      <c r="E239" s="101">
        <v>2</v>
      </c>
      <c r="F239" s="101">
        <v>6</v>
      </c>
      <c r="G239" s="101"/>
      <c r="I239" s="103">
        <v>41147</v>
      </c>
      <c r="J239" s="96" t="s">
        <v>925</v>
      </c>
      <c r="K239" s="98">
        <f t="shared" si="3"/>
        <v>2012</v>
      </c>
      <c r="L239" s="99" t="s">
        <v>5600</v>
      </c>
    </row>
    <row r="240" spans="1:12" ht="38.25">
      <c r="A240" s="93">
        <v>239</v>
      </c>
      <c r="B240" s="122" t="s">
        <v>5601</v>
      </c>
      <c r="C240" s="117" t="s">
        <v>5602</v>
      </c>
      <c r="D240" s="101" t="s">
        <v>5284</v>
      </c>
      <c r="E240" s="117"/>
      <c r="F240" s="117"/>
      <c r="G240" s="117"/>
      <c r="I240" s="103">
        <v>41253</v>
      </c>
      <c r="J240" s="96" t="s">
        <v>954</v>
      </c>
      <c r="K240" s="98">
        <f t="shared" si="3"/>
        <v>2012</v>
      </c>
      <c r="L240" s="99" t="s">
        <v>5280</v>
      </c>
    </row>
    <row r="241" spans="1:12" ht="25.5">
      <c r="A241" s="93">
        <v>240</v>
      </c>
      <c r="B241" s="122" t="s">
        <v>5603</v>
      </c>
      <c r="C241" s="117" t="s">
        <v>5604</v>
      </c>
      <c r="D241" s="101" t="s">
        <v>5284</v>
      </c>
      <c r="E241" s="117"/>
      <c r="F241" s="117"/>
      <c r="G241" s="117"/>
      <c r="I241" s="103">
        <v>41253</v>
      </c>
      <c r="J241" s="96" t="s">
        <v>917</v>
      </c>
      <c r="K241" s="98">
        <f t="shared" si="3"/>
        <v>2012</v>
      </c>
      <c r="L241" s="99" t="s">
        <v>5285</v>
      </c>
    </row>
    <row r="242" spans="1:12" ht="38.25">
      <c r="A242" s="93">
        <v>241</v>
      </c>
      <c r="B242" s="122" t="s">
        <v>5605</v>
      </c>
      <c r="C242" s="128" t="s">
        <v>5606</v>
      </c>
      <c r="D242" s="120" t="s">
        <v>5299</v>
      </c>
      <c r="E242" s="121"/>
      <c r="F242" s="101">
        <v>360</v>
      </c>
      <c r="G242" s="101">
        <v>138</v>
      </c>
      <c r="I242" s="103">
        <v>41037</v>
      </c>
      <c r="J242" s="96" t="s">
        <v>954</v>
      </c>
      <c r="K242" s="98">
        <f t="shared" si="3"/>
        <v>2012</v>
      </c>
      <c r="L242" s="99" t="s">
        <v>5354</v>
      </c>
    </row>
    <row r="243" spans="1:12" ht="25.5">
      <c r="A243" s="93">
        <v>242</v>
      </c>
      <c r="B243" s="122" t="s">
        <v>5605</v>
      </c>
      <c r="C243" s="128" t="s">
        <v>5607</v>
      </c>
      <c r="D243" s="101" t="s">
        <v>5279</v>
      </c>
      <c r="E243" s="101"/>
      <c r="F243" s="101"/>
      <c r="G243" s="101"/>
      <c r="I243" s="103">
        <v>41044</v>
      </c>
      <c r="J243" s="96" t="s">
        <v>985</v>
      </c>
      <c r="K243" s="98">
        <f t="shared" si="3"/>
        <v>2012</v>
      </c>
      <c r="L243" s="99" t="s">
        <v>5354</v>
      </c>
    </row>
    <row r="244" spans="1:12" ht="25.5">
      <c r="A244" s="93">
        <v>243</v>
      </c>
      <c r="B244" s="122" t="s">
        <v>5605</v>
      </c>
      <c r="C244" s="137" t="s">
        <v>5608</v>
      </c>
      <c r="D244" s="101" t="s">
        <v>5279</v>
      </c>
      <c r="E244" s="101"/>
      <c r="F244" s="101"/>
      <c r="G244" s="101"/>
      <c r="I244" s="103">
        <v>41044</v>
      </c>
      <c r="J244" s="96" t="s">
        <v>921</v>
      </c>
      <c r="K244" s="98">
        <f t="shared" si="3"/>
        <v>2012</v>
      </c>
      <c r="L244" s="99" t="s">
        <v>5354</v>
      </c>
    </row>
    <row r="245" spans="1:12" ht="51">
      <c r="A245" s="93">
        <v>244</v>
      </c>
      <c r="B245" s="122" t="s">
        <v>5605</v>
      </c>
      <c r="C245" s="117" t="s">
        <v>5609</v>
      </c>
      <c r="D245" s="101" t="s">
        <v>5299</v>
      </c>
      <c r="E245" s="101"/>
      <c r="F245" s="101">
        <v>3016</v>
      </c>
      <c r="G245" s="101">
        <v>476</v>
      </c>
      <c r="I245" s="103">
        <v>41409</v>
      </c>
      <c r="J245" s="96" t="s">
        <v>965</v>
      </c>
      <c r="K245" s="98">
        <f t="shared" si="3"/>
        <v>2013</v>
      </c>
      <c r="L245" s="99" t="s">
        <v>5354</v>
      </c>
    </row>
    <row r="246" spans="1:12" ht="63.75">
      <c r="A246" s="93">
        <v>245</v>
      </c>
      <c r="B246" s="122" t="s">
        <v>5567</v>
      </c>
      <c r="C246" s="117" t="s">
        <v>5610</v>
      </c>
      <c r="D246" s="101" t="s">
        <v>5299</v>
      </c>
      <c r="E246" s="101"/>
      <c r="F246" s="101"/>
      <c r="G246" s="101"/>
      <c r="I246" s="103">
        <v>41424</v>
      </c>
      <c r="J246" s="96" t="s">
        <v>911</v>
      </c>
      <c r="K246" s="98">
        <f t="shared" si="3"/>
        <v>2013</v>
      </c>
      <c r="L246" s="99" t="s">
        <v>5569</v>
      </c>
    </row>
    <row r="247" spans="1:12" ht="76.5">
      <c r="A247" s="93">
        <v>246</v>
      </c>
      <c r="B247" s="122" t="s">
        <v>5605</v>
      </c>
      <c r="C247" s="137" t="s">
        <v>5611</v>
      </c>
      <c r="D247" s="135" t="s">
        <v>5279</v>
      </c>
      <c r="E247" s="126"/>
      <c r="F247" s="139" t="s">
        <v>5612</v>
      </c>
      <c r="G247" s="139"/>
      <c r="I247" s="103">
        <v>41402</v>
      </c>
      <c r="J247" s="100" t="s">
        <v>999</v>
      </c>
      <c r="K247" s="98">
        <f t="shared" si="3"/>
        <v>2013</v>
      </c>
      <c r="L247" s="99" t="s">
        <v>5354</v>
      </c>
    </row>
    <row r="248" spans="1:12" ht="63.75">
      <c r="A248" s="93">
        <v>247</v>
      </c>
      <c r="B248" s="122" t="s">
        <v>5605</v>
      </c>
      <c r="C248" s="137" t="s">
        <v>5613</v>
      </c>
      <c r="D248" s="140" t="s">
        <v>5279</v>
      </c>
      <c r="E248" s="101"/>
      <c r="F248" s="101"/>
      <c r="G248" s="101"/>
      <c r="I248" s="103">
        <v>41433</v>
      </c>
      <c r="J248" s="96" t="s">
        <v>1003</v>
      </c>
      <c r="K248" s="98">
        <f t="shared" si="3"/>
        <v>2013</v>
      </c>
      <c r="L248" s="99" t="s">
        <v>5366</v>
      </c>
    </row>
    <row r="249" spans="1:12" ht="25.5">
      <c r="A249" s="93">
        <v>248</v>
      </c>
      <c r="B249" s="122" t="s">
        <v>5614</v>
      </c>
      <c r="C249" s="137" t="s">
        <v>5615</v>
      </c>
      <c r="D249" s="140" t="s">
        <v>5299</v>
      </c>
      <c r="E249" s="137"/>
      <c r="F249" s="101">
        <v>256</v>
      </c>
      <c r="G249" s="101">
        <v>94</v>
      </c>
      <c r="I249" s="103">
        <v>41436</v>
      </c>
      <c r="J249" s="96" t="s">
        <v>844</v>
      </c>
      <c r="K249" s="98">
        <f t="shared" si="3"/>
        <v>2013</v>
      </c>
      <c r="L249" s="99" t="s">
        <v>5366</v>
      </c>
    </row>
    <row r="250" spans="1:12" ht="25.5">
      <c r="A250" s="93">
        <v>249</v>
      </c>
      <c r="B250" s="122" t="s">
        <v>5567</v>
      </c>
      <c r="C250" s="137" t="s">
        <v>5616</v>
      </c>
      <c r="D250" s="133" t="s">
        <v>5299</v>
      </c>
      <c r="E250" s="101"/>
      <c r="F250" s="101"/>
      <c r="G250" s="101"/>
      <c r="I250" s="103">
        <v>41438</v>
      </c>
      <c r="J250" s="96" t="s">
        <v>5617</v>
      </c>
      <c r="K250" s="98">
        <f t="shared" si="3"/>
        <v>2013</v>
      </c>
      <c r="L250" s="99" t="s">
        <v>5366</v>
      </c>
    </row>
    <row r="251" spans="1:12" ht="25.5">
      <c r="A251" s="93">
        <v>250</v>
      </c>
      <c r="B251" s="122" t="s">
        <v>5614</v>
      </c>
      <c r="C251" s="137" t="s">
        <v>5618</v>
      </c>
      <c r="D251" s="133" t="s">
        <v>5299</v>
      </c>
      <c r="E251" s="101"/>
      <c r="F251" s="101">
        <v>250</v>
      </c>
      <c r="G251" s="101"/>
      <c r="I251" s="103">
        <v>41454</v>
      </c>
      <c r="J251" s="96" t="s">
        <v>951</v>
      </c>
      <c r="K251" s="98">
        <f t="shared" si="3"/>
        <v>2013</v>
      </c>
      <c r="L251" s="99" t="s">
        <v>5366</v>
      </c>
    </row>
    <row r="252" spans="1:12" ht="38.25">
      <c r="A252" s="93">
        <v>251</v>
      </c>
      <c r="B252" s="122" t="s">
        <v>5605</v>
      </c>
      <c r="C252" s="137" t="s">
        <v>5619</v>
      </c>
      <c r="D252" s="133" t="s">
        <v>5279</v>
      </c>
      <c r="E252" s="101"/>
      <c r="F252" s="101"/>
      <c r="G252" s="101"/>
      <c r="I252" s="103">
        <v>41455</v>
      </c>
      <c r="J252" s="96" t="s">
        <v>985</v>
      </c>
      <c r="K252" s="98">
        <f t="shared" si="3"/>
        <v>2013</v>
      </c>
      <c r="L252" s="99" t="s">
        <v>5366</v>
      </c>
    </row>
    <row r="253" spans="1:12" ht="51">
      <c r="A253" s="93">
        <v>252</v>
      </c>
      <c r="B253" s="122" t="s">
        <v>5620</v>
      </c>
      <c r="C253" s="137" t="s">
        <v>5621</v>
      </c>
      <c r="D253" s="133" t="s">
        <v>5279</v>
      </c>
      <c r="E253" s="139" t="s">
        <v>5622</v>
      </c>
      <c r="F253" s="139" t="s">
        <v>5623</v>
      </c>
      <c r="G253" s="139"/>
      <c r="I253" s="103">
        <v>41457</v>
      </c>
      <c r="J253" s="100" t="s">
        <v>994</v>
      </c>
      <c r="K253" s="98">
        <f t="shared" si="3"/>
        <v>2013</v>
      </c>
      <c r="L253" s="99" t="s">
        <v>5291</v>
      </c>
    </row>
    <row r="254" spans="1:12" ht="25.5">
      <c r="A254" s="93">
        <v>253</v>
      </c>
      <c r="B254" s="122" t="s">
        <v>5605</v>
      </c>
      <c r="C254" s="137" t="s">
        <v>5624</v>
      </c>
      <c r="D254" s="133" t="s">
        <v>5516</v>
      </c>
      <c r="E254" s="101"/>
      <c r="F254" s="101"/>
      <c r="G254" s="101"/>
      <c r="I254" s="103">
        <v>41478</v>
      </c>
      <c r="J254" s="96" t="s">
        <v>951</v>
      </c>
      <c r="K254" s="98">
        <f t="shared" si="3"/>
        <v>2013</v>
      </c>
      <c r="L254" s="99" t="s">
        <v>5366</v>
      </c>
    </row>
    <row r="255" spans="1:12" ht="25.5">
      <c r="A255" s="93">
        <v>254</v>
      </c>
      <c r="B255" s="122" t="s">
        <v>5605</v>
      </c>
      <c r="C255" s="137" t="s">
        <v>5625</v>
      </c>
      <c r="D255" s="133" t="s">
        <v>5516</v>
      </c>
      <c r="E255" s="101"/>
      <c r="F255" s="101">
        <v>54</v>
      </c>
      <c r="G255" s="101">
        <v>17</v>
      </c>
      <c r="I255" s="103">
        <v>41479</v>
      </c>
      <c r="J255" s="96" t="s">
        <v>885</v>
      </c>
      <c r="K255" s="98">
        <f t="shared" si="3"/>
        <v>2013</v>
      </c>
      <c r="L255" s="99" t="s">
        <v>5366</v>
      </c>
    </row>
    <row r="256" spans="1:12" ht="25.5">
      <c r="A256" s="93">
        <v>255</v>
      </c>
      <c r="B256" s="122" t="s">
        <v>5605</v>
      </c>
      <c r="C256" s="137" t="s">
        <v>5626</v>
      </c>
      <c r="D256" s="133" t="s">
        <v>5516</v>
      </c>
      <c r="E256" s="101"/>
      <c r="F256" s="101"/>
      <c r="G256" s="101"/>
      <c r="I256" s="103">
        <v>41487</v>
      </c>
      <c r="J256" s="96" t="s">
        <v>844</v>
      </c>
      <c r="K256" s="98">
        <f t="shared" si="3"/>
        <v>2013</v>
      </c>
      <c r="L256" s="99" t="s">
        <v>5366</v>
      </c>
    </row>
    <row r="257" spans="1:12" ht="25.5">
      <c r="A257" s="93">
        <v>256</v>
      </c>
      <c r="B257" s="122" t="s">
        <v>5605</v>
      </c>
      <c r="C257" s="117" t="s">
        <v>5627</v>
      </c>
      <c r="D257" s="135" t="s">
        <v>5299</v>
      </c>
      <c r="E257" s="101"/>
      <c r="F257" s="101"/>
      <c r="G257" s="101"/>
      <c r="I257" s="103">
        <v>41494</v>
      </c>
      <c r="J257" s="96" t="s">
        <v>885</v>
      </c>
      <c r="K257" s="98">
        <f t="shared" si="3"/>
        <v>2013</v>
      </c>
      <c r="L257" s="99" t="s">
        <v>5366</v>
      </c>
    </row>
    <row r="258" spans="1:12" ht="51">
      <c r="A258" s="93">
        <v>257</v>
      </c>
      <c r="B258" s="122" t="s">
        <v>5620</v>
      </c>
      <c r="C258" s="117" t="s">
        <v>5628</v>
      </c>
      <c r="D258" s="135" t="s">
        <v>5279</v>
      </c>
      <c r="E258" s="101">
        <v>1</v>
      </c>
      <c r="F258" s="101">
        <v>2</v>
      </c>
      <c r="G258" s="101"/>
      <c r="I258" s="103">
        <v>41504</v>
      </c>
      <c r="J258" s="96" t="s">
        <v>831</v>
      </c>
      <c r="K258" s="98">
        <f t="shared" si="3"/>
        <v>2013</v>
      </c>
      <c r="L258" s="99" t="s">
        <v>5319</v>
      </c>
    </row>
    <row r="259" spans="1:12" ht="38.25">
      <c r="A259" s="93">
        <v>258</v>
      </c>
      <c r="B259" s="116" t="s">
        <v>5629</v>
      </c>
      <c r="C259" s="137" t="s">
        <v>5630</v>
      </c>
      <c r="D259" s="101" t="s">
        <v>5279</v>
      </c>
      <c r="E259" s="101"/>
      <c r="F259" s="101"/>
      <c r="G259" s="101"/>
      <c r="I259" s="103">
        <v>41532</v>
      </c>
      <c r="J259" s="96" t="s">
        <v>925</v>
      </c>
      <c r="K259" s="98">
        <f t="shared" ref="K259:K322" si="4">YEAR(I259)</f>
        <v>2013</v>
      </c>
      <c r="L259" s="99" t="s">
        <v>5285</v>
      </c>
    </row>
    <row r="260" spans="1:12" ht="38.25">
      <c r="A260" s="93">
        <v>259</v>
      </c>
      <c r="B260" s="122" t="s">
        <v>5631</v>
      </c>
      <c r="C260" s="117" t="s">
        <v>5632</v>
      </c>
      <c r="D260" s="101" t="s">
        <v>5279</v>
      </c>
      <c r="E260" s="136"/>
      <c r="F260" s="101"/>
      <c r="G260" s="101"/>
      <c r="I260" s="103">
        <v>41536</v>
      </c>
      <c r="J260" s="96" t="s">
        <v>838</v>
      </c>
      <c r="K260" s="98">
        <f t="shared" si="4"/>
        <v>2013</v>
      </c>
      <c r="L260" s="99" t="s">
        <v>5280</v>
      </c>
    </row>
    <row r="261" spans="1:12" ht="63.75">
      <c r="A261" s="93">
        <v>260</v>
      </c>
      <c r="B261" s="122" t="s">
        <v>5629</v>
      </c>
      <c r="C261" s="122" t="s">
        <v>5633</v>
      </c>
      <c r="D261" s="101" t="s">
        <v>5279</v>
      </c>
      <c r="E261" s="101"/>
      <c r="F261" s="101"/>
      <c r="G261" s="101"/>
      <c r="I261" s="103">
        <v>41598</v>
      </c>
      <c r="J261" s="100" t="s">
        <v>822</v>
      </c>
      <c r="K261" s="98" t="s">
        <v>5634</v>
      </c>
      <c r="L261" s="99" t="s">
        <v>5274</v>
      </c>
    </row>
    <row r="262" spans="1:12" ht="38.25">
      <c r="A262" s="93">
        <v>261</v>
      </c>
      <c r="B262" s="122" t="s">
        <v>5635</v>
      </c>
      <c r="C262" s="101" t="s">
        <v>5636</v>
      </c>
      <c r="D262" s="101" t="s">
        <v>5284</v>
      </c>
      <c r="E262" s="101">
        <v>3</v>
      </c>
      <c r="F262" s="101">
        <v>11</v>
      </c>
      <c r="G262" s="101"/>
      <c r="H262" s="101">
        <v>11</v>
      </c>
      <c r="I262" s="103">
        <v>41855</v>
      </c>
      <c r="J262" s="96" t="s">
        <v>921</v>
      </c>
      <c r="K262" s="98">
        <f t="shared" si="4"/>
        <v>2014</v>
      </c>
      <c r="L262" s="99" t="s">
        <v>5291</v>
      </c>
    </row>
    <row r="263" spans="1:12" ht="89.25">
      <c r="A263" s="93">
        <v>262</v>
      </c>
      <c r="B263" s="122" t="s">
        <v>5637</v>
      </c>
      <c r="C263" s="122" t="s">
        <v>5638</v>
      </c>
      <c r="D263" s="120" t="s">
        <v>5279</v>
      </c>
      <c r="E263" s="120"/>
      <c r="F263" s="101"/>
      <c r="G263" s="101"/>
      <c r="H263" s="101"/>
      <c r="I263" s="103">
        <v>41901</v>
      </c>
      <c r="J263" s="96" t="s">
        <v>838</v>
      </c>
      <c r="K263" s="98">
        <f t="shared" si="4"/>
        <v>2014</v>
      </c>
      <c r="L263" s="99" t="s">
        <v>5280</v>
      </c>
    </row>
    <row r="264" spans="1:12" ht="38.25">
      <c r="A264" s="93">
        <v>263</v>
      </c>
      <c r="B264" s="122" t="s">
        <v>5639</v>
      </c>
      <c r="C264" s="122" t="s">
        <v>5640</v>
      </c>
      <c r="D264" s="120" t="s">
        <v>5299</v>
      </c>
      <c r="I264" s="103">
        <v>41795</v>
      </c>
      <c r="J264" s="96" t="s">
        <v>879</v>
      </c>
      <c r="K264" s="98">
        <f t="shared" si="4"/>
        <v>2014</v>
      </c>
      <c r="L264" s="99" t="s">
        <v>5366</v>
      </c>
    </row>
    <row r="265" spans="1:12">
      <c r="A265" s="93">
        <v>264</v>
      </c>
      <c r="B265" s="141" t="s">
        <v>5552</v>
      </c>
      <c r="C265" s="120" t="s">
        <v>5641</v>
      </c>
      <c r="D265" s="120" t="s">
        <v>5299</v>
      </c>
      <c r="E265" s="120"/>
      <c r="F265" s="120">
        <v>2294</v>
      </c>
      <c r="G265" s="120"/>
      <c r="I265" s="103">
        <v>41795</v>
      </c>
      <c r="J265" s="96" t="s">
        <v>879</v>
      </c>
      <c r="K265" s="98">
        <f t="shared" si="4"/>
        <v>2014</v>
      </c>
      <c r="L265" s="99" t="s">
        <v>5366</v>
      </c>
    </row>
    <row r="266" spans="1:12" ht="25.5">
      <c r="A266" s="93">
        <v>265</v>
      </c>
      <c r="B266" s="122" t="s">
        <v>5642</v>
      </c>
      <c r="C266" s="122" t="s">
        <v>5643</v>
      </c>
      <c r="D266" s="120" t="s">
        <v>5279</v>
      </c>
      <c r="E266" s="120"/>
      <c r="F266" s="120"/>
      <c r="G266" s="120"/>
      <c r="I266" s="103">
        <v>41810</v>
      </c>
      <c r="J266" s="96" t="s">
        <v>917</v>
      </c>
      <c r="K266" s="98">
        <f t="shared" si="4"/>
        <v>2014</v>
      </c>
      <c r="L266" s="99" t="s">
        <v>5569</v>
      </c>
    </row>
    <row r="267" spans="1:12" ht="25.5">
      <c r="A267" s="93">
        <v>266</v>
      </c>
      <c r="B267" s="122" t="s">
        <v>5642</v>
      </c>
      <c r="C267" s="122" t="s">
        <v>5644</v>
      </c>
      <c r="D267" s="120" t="s">
        <v>5279</v>
      </c>
      <c r="E267" s="120"/>
      <c r="F267" s="120"/>
      <c r="G267" s="120"/>
      <c r="I267" s="103">
        <v>41812</v>
      </c>
      <c r="J267" s="96" t="s">
        <v>954</v>
      </c>
      <c r="K267" s="98">
        <f t="shared" si="4"/>
        <v>2014</v>
      </c>
      <c r="L267" s="99" t="s">
        <v>5569</v>
      </c>
    </row>
    <row r="268" spans="1:12" ht="38.25">
      <c r="A268" s="93">
        <v>267</v>
      </c>
      <c r="B268" s="122" t="s">
        <v>5642</v>
      </c>
      <c r="C268" s="122" t="s">
        <v>5645</v>
      </c>
      <c r="D268" s="120" t="s">
        <v>5299</v>
      </c>
      <c r="I268" s="103">
        <v>38183</v>
      </c>
      <c r="J268" s="96" t="s">
        <v>5617</v>
      </c>
      <c r="K268" s="98">
        <f t="shared" si="4"/>
        <v>2004</v>
      </c>
      <c r="L268" s="99" t="s">
        <v>5569</v>
      </c>
    </row>
    <row r="269" spans="1:12" ht="51">
      <c r="A269" s="93">
        <v>268</v>
      </c>
      <c r="B269" s="122" t="s">
        <v>5642</v>
      </c>
      <c r="C269" s="122" t="s">
        <v>5646</v>
      </c>
      <c r="D269" s="120" t="s">
        <v>5279</v>
      </c>
      <c r="I269" s="103">
        <v>41831</v>
      </c>
      <c r="J269" s="96" t="s">
        <v>892</v>
      </c>
      <c r="K269" s="98">
        <f t="shared" si="4"/>
        <v>2014</v>
      </c>
      <c r="L269" s="99" t="s">
        <v>5569</v>
      </c>
    </row>
    <row r="270" spans="1:12">
      <c r="A270" s="93">
        <v>269</v>
      </c>
      <c r="B270" s="122" t="s">
        <v>5642</v>
      </c>
      <c r="C270" s="122" t="s">
        <v>5647</v>
      </c>
      <c r="D270" s="120" t="s">
        <v>5299</v>
      </c>
      <c r="I270" s="103">
        <v>41805</v>
      </c>
      <c r="J270" s="96" t="s">
        <v>947</v>
      </c>
      <c r="K270" s="98">
        <f>YEAR(I270)</f>
        <v>2014</v>
      </c>
      <c r="L270" s="99" t="s">
        <v>5569</v>
      </c>
    </row>
    <row r="271" spans="1:12">
      <c r="A271" s="93">
        <v>270</v>
      </c>
      <c r="B271" s="122" t="s">
        <v>5642</v>
      </c>
      <c r="C271" s="122" t="s">
        <v>5648</v>
      </c>
      <c r="D271" s="120" t="s">
        <v>5279</v>
      </c>
      <c r="I271" s="103">
        <v>41834</v>
      </c>
      <c r="J271" s="96" t="s">
        <v>969</v>
      </c>
      <c r="K271" s="98">
        <f t="shared" si="4"/>
        <v>2014</v>
      </c>
      <c r="L271" s="99" t="s">
        <v>5569</v>
      </c>
    </row>
    <row r="272" spans="1:12" ht="38.25">
      <c r="A272" s="93">
        <v>271</v>
      </c>
      <c r="B272" s="122" t="s">
        <v>5649</v>
      </c>
      <c r="C272" s="122" t="s">
        <v>5650</v>
      </c>
      <c r="D272" s="120" t="s">
        <v>5299</v>
      </c>
      <c r="I272" s="103">
        <v>41831</v>
      </c>
      <c r="J272" s="96" t="s">
        <v>974</v>
      </c>
      <c r="K272" s="98">
        <f t="shared" si="4"/>
        <v>2014</v>
      </c>
      <c r="L272" s="99" t="s">
        <v>5366</v>
      </c>
    </row>
    <row r="273" spans="1:12" ht="38.25">
      <c r="A273" s="93">
        <v>272</v>
      </c>
      <c r="B273" s="142" t="s">
        <v>5649</v>
      </c>
      <c r="C273" s="142" t="s">
        <v>5651</v>
      </c>
      <c r="D273" s="143" t="s">
        <v>5299</v>
      </c>
      <c r="E273" s="144"/>
      <c r="I273" s="103">
        <v>41831</v>
      </c>
      <c r="J273" s="100" t="s">
        <v>999</v>
      </c>
      <c r="K273" s="98">
        <f t="shared" si="4"/>
        <v>2014</v>
      </c>
      <c r="L273" s="99" t="s">
        <v>5314</v>
      </c>
    </row>
    <row r="274" spans="1:12" ht="38.25">
      <c r="A274" s="93">
        <v>273</v>
      </c>
      <c r="B274" s="122" t="s">
        <v>5649</v>
      </c>
      <c r="C274" s="122" t="s">
        <v>5652</v>
      </c>
      <c r="D274" s="120" t="s">
        <v>5279</v>
      </c>
      <c r="I274" s="103">
        <v>41850</v>
      </c>
      <c r="J274" s="96" t="s">
        <v>951</v>
      </c>
      <c r="K274" s="98">
        <f t="shared" si="4"/>
        <v>2014</v>
      </c>
      <c r="L274" s="99" t="s">
        <v>5314</v>
      </c>
    </row>
    <row r="275" spans="1:12" ht="25.5">
      <c r="A275" s="93">
        <v>274</v>
      </c>
      <c r="B275" s="122"/>
      <c r="C275" s="101" t="s">
        <v>5653</v>
      </c>
      <c r="D275" s="101" t="s">
        <v>5284</v>
      </c>
      <c r="E275" s="101"/>
      <c r="F275" s="101"/>
      <c r="G275" s="101"/>
      <c r="H275" s="101"/>
      <c r="I275" s="103">
        <v>42084</v>
      </c>
      <c r="J275" s="96" t="s">
        <v>917</v>
      </c>
      <c r="K275" s="98">
        <f t="shared" si="4"/>
        <v>2015</v>
      </c>
      <c r="L275" s="99" t="s">
        <v>5314</v>
      </c>
    </row>
    <row r="276" spans="1:12" ht="51">
      <c r="A276" s="93">
        <v>275</v>
      </c>
      <c r="B276" s="145"/>
      <c r="C276" s="101" t="s">
        <v>5654</v>
      </c>
      <c r="D276" s="101" t="s">
        <v>5284</v>
      </c>
      <c r="E276" s="101">
        <v>4</v>
      </c>
      <c r="F276" s="101">
        <v>19</v>
      </c>
      <c r="G276" s="101"/>
      <c r="H276" s="101"/>
      <c r="I276" s="103">
        <v>42188</v>
      </c>
      <c r="J276" s="96" t="s">
        <v>938</v>
      </c>
      <c r="K276" s="98">
        <f t="shared" si="4"/>
        <v>2015</v>
      </c>
      <c r="L276" s="99" t="s">
        <v>5366</v>
      </c>
    </row>
    <row r="277" spans="1:12" ht="38.25">
      <c r="A277" s="93">
        <v>276</v>
      </c>
      <c r="B277" s="122" t="s">
        <v>5642</v>
      </c>
      <c r="C277" s="101" t="s">
        <v>5655</v>
      </c>
      <c r="D277" s="101" t="s">
        <v>5279</v>
      </c>
      <c r="E277" s="101"/>
      <c r="F277" s="101"/>
      <c r="G277" s="101"/>
      <c r="H277" s="101"/>
      <c r="I277" s="103">
        <v>42192</v>
      </c>
      <c r="J277" s="96" t="s">
        <v>925</v>
      </c>
      <c r="K277" s="98">
        <f t="shared" si="4"/>
        <v>2015</v>
      </c>
      <c r="L277" s="99" t="s">
        <v>5569</v>
      </c>
    </row>
    <row r="278" spans="1:12" ht="51">
      <c r="A278" s="93">
        <v>277</v>
      </c>
      <c r="B278" s="122" t="s">
        <v>5642</v>
      </c>
      <c r="C278" s="101" t="s">
        <v>5656</v>
      </c>
      <c r="D278" s="101" t="s">
        <v>5279</v>
      </c>
      <c r="E278" s="101"/>
      <c r="F278" s="101"/>
      <c r="G278" s="101"/>
      <c r="H278" s="101"/>
      <c r="I278" s="103">
        <v>42195</v>
      </c>
      <c r="J278" s="96" t="s">
        <v>831</v>
      </c>
      <c r="K278" s="98">
        <f t="shared" si="4"/>
        <v>2015</v>
      </c>
      <c r="L278" s="99" t="s">
        <v>5569</v>
      </c>
    </row>
    <row r="279" spans="1:12" ht="25.5">
      <c r="A279" s="93">
        <v>278</v>
      </c>
      <c r="B279" s="122" t="s">
        <v>5657</v>
      </c>
      <c r="C279" s="101" t="s">
        <v>5658</v>
      </c>
      <c r="D279" s="101" t="s">
        <v>5279</v>
      </c>
      <c r="E279" s="101"/>
      <c r="F279" s="101"/>
      <c r="G279" s="101"/>
      <c r="H279" s="101"/>
      <c r="I279" s="103">
        <v>42151</v>
      </c>
      <c r="J279" s="96" t="s">
        <v>974</v>
      </c>
      <c r="K279" s="98">
        <f t="shared" si="4"/>
        <v>2015</v>
      </c>
      <c r="L279" s="99" t="s">
        <v>5480</v>
      </c>
    </row>
    <row r="280" spans="1:12" ht="25.5">
      <c r="A280" s="93">
        <v>279</v>
      </c>
      <c r="B280" s="122" t="s">
        <v>5659</v>
      </c>
      <c r="C280" s="101" t="s">
        <v>5660</v>
      </c>
      <c r="D280" s="101" t="s">
        <v>5284</v>
      </c>
      <c r="E280" s="101"/>
      <c r="F280" s="101"/>
      <c r="G280" s="101"/>
      <c r="H280" s="101"/>
      <c r="I280" s="103">
        <v>42237</v>
      </c>
      <c r="J280" s="100" t="s">
        <v>994</v>
      </c>
      <c r="K280" s="98">
        <f t="shared" si="4"/>
        <v>2015</v>
      </c>
      <c r="L280" s="99" t="s">
        <v>5551</v>
      </c>
    </row>
    <row r="281" spans="1:12" ht="63.75">
      <c r="A281" s="93">
        <v>280</v>
      </c>
      <c r="B281" s="122" t="s">
        <v>5649</v>
      </c>
      <c r="C281" s="101" t="s">
        <v>5661</v>
      </c>
      <c r="D281" s="101" t="s">
        <v>5279</v>
      </c>
      <c r="E281" s="101">
        <v>0</v>
      </c>
      <c r="F281" s="101">
        <v>39</v>
      </c>
      <c r="G281" s="101"/>
      <c r="H281" s="101">
        <v>39</v>
      </c>
      <c r="I281" s="103">
        <v>42492</v>
      </c>
      <c r="J281" s="96" t="s">
        <v>911</v>
      </c>
      <c r="K281" s="98">
        <f t="shared" si="4"/>
        <v>2016</v>
      </c>
      <c r="L281" s="99" t="s">
        <v>5354</v>
      </c>
    </row>
    <row r="282" spans="1:12" ht="102">
      <c r="A282" s="93">
        <v>281</v>
      </c>
      <c r="B282" s="122" t="s">
        <v>5662</v>
      </c>
      <c r="C282" s="101" t="s">
        <v>5663</v>
      </c>
      <c r="D282" s="100" t="s">
        <v>5279</v>
      </c>
      <c r="E282" s="120"/>
      <c r="F282" s="120">
        <v>3</v>
      </c>
      <c r="G282" s="120"/>
      <c r="H282" s="120">
        <v>3</v>
      </c>
      <c r="I282" s="103">
        <v>42515</v>
      </c>
      <c r="J282" s="96" t="s">
        <v>965</v>
      </c>
      <c r="K282" s="98">
        <f t="shared" si="4"/>
        <v>2016</v>
      </c>
      <c r="L282" s="99" t="s">
        <v>5664</v>
      </c>
    </row>
    <row r="283" spans="1:12" ht="63.75">
      <c r="A283" s="93">
        <v>282</v>
      </c>
      <c r="B283" s="141" t="s">
        <v>5665</v>
      </c>
      <c r="C283" s="101" t="s">
        <v>5666</v>
      </c>
      <c r="D283" s="100" t="s">
        <v>5279</v>
      </c>
      <c r="I283" s="103">
        <v>42536</v>
      </c>
      <c r="J283" s="96" t="s">
        <v>1003</v>
      </c>
      <c r="K283" s="98">
        <f t="shared" si="4"/>
        <v>2016</v>
      </c>
      <c r="L283" s="99" t="s">
        <v>5569</v>
      </c>
    </row>
    <row r="284" spans="1:12" ht="38.25">
      <c r="A284" s="93">
        <v>283</v>
      </c>
      <c r="B284" s="141" t="s">
        <v>5649</v>
      </c>
      <c r="C284" s="101" t="s">
        <v>5667</v>
      </c>
      <c r="D284" s="100" t="s">
        <v>5279</v>
      </c>
      <c r="I284" s="103">
        <v>42551</v>
      </c>
      <c r="J284" s="96" t="s">
        <v>951</v>
      </c>
      <c r="K284" s="98">
        <f t="shared" si="4"/>
        <v>2016</v>
      </c>
      <c r="L284" s="99" t="s">
        <v>5366</v>
      </c>
    </row>
    <row r="285" spans="1:12" ht="38.25">
      <c r="A285" s="93">
        <v>284</v>
      </c>
      <c r="B285" s="122" t="s">
        <v>5665</v>
      </c>
      <c r="C285" s="122" t="s">
        <v>5668</v>
      </c>
      <c r="D285" s="100" t="s">
        <v>5279</v>
      </c>
      <c r="I285" s="103">
        <v>42552</v>
      </c>
      <c r="J285" s="96" t="s">
        <v>1003</v>
      </c>
      <c r="K285" s="98">
        <f t="shared" si="4"/>
        <v>2016</v>
      </c>
      <c r="L285" s="99" t="s">
        <v>5569</v>
      </c>
    </row>
    <row r="286" spans="1:12" ht="38.25">
      <c r="A286" s="93">
        <v>285</v>
      </c>
      <c r="B286" s="141" t="s">
        <v>5649</v>
      </c>
      <c r="C286" s="122" t="s">
        <v>5669</v>
      </c>
      <c r="D286" s="100" t="s">
        <v>5279</v>
      </c>
      <c r="I286" s="103">
        <v>42557</v>
      </c>
      <c r="J286" s="96" t="s">
        <v>885</v>
      </c>
      <c r="K286" s="98">
        <f t="shared" si="4"/>
        <v>2016</v>
      </c>
      <c r="L286" s="99" t="s">
        <v>5366</v>
      </c>
    </row>
    <row r="287" spans="1:12" ht="38.25">
      <c r="A287" s="93">
        <v>286</v>
      </c>
      <c r="B287" s="141" t="s">
        <v>5665</v>
      </c>
      <c r="C287" s="122" t="s">
        <v>5670</v>
      </c>
      <c r="D287" s="100" t="s">
        <v>5279</v>
      </c>
      <c r="I287" s="103">
        <v>42557</v>
      </c>
      <c r="J287" s="96" t="s">
        <v>925</v>
      </c>
      <c r="K287" s="98">
        <f t="shared" si="4"/>
        <v>2016</v>
      </c>
      <c r="L287" s="99" t="s">
        <v>5366</v>
      </c>
    </row>
    <row r="288" spans="1:12" ht="38.25">
      <c r="A288" s="93">
        <v>287</v>
      </c>
      <c r="B288" s="122" t="s">
        <v>5671</v>
      </c>
      <c r="C288" s="122" t="s">
        <v>5672</v>
      </c>
      <c r="D288" s="100" t="s">
        <v>5279</v>
      </c>
      <c r="I288" s="103">
        <v>42564</v>
      </c>
      <c r="J288" s="100" t="s">
        <v>994</v>
      </c>
      <c r="K288" s="98">
        <f t="shared" si="4"/>
        <v>2016</v>
      </c>
      <c r="L288" s="99" t="s">
        <v>5673</v>
      </c>
    </row>
    <row r="289" spans="1:12" ht="63.75">
      <c r="A289" s="93">
        <v>288</v>
      </c>
      <c r="B289" s="141" t="s">
        <v>5649</v>
      </c>
      <c r="C289" s="122" t="s">
        <v>5674</v>
      </c>
      <c r="D289" s="101" t="s">
        <v>5279</v>
      </c>
      <c r="I289" s="103">
        <v>42508</v>
      </c>
      <c r="J289" s="96" t="s">
        <v>974</v>
      </c>
      <c r="K289" s="98">
        <f t="shared" si="4"/>
        <v>2016</v>
      </c>
      <c r="L289" s="99" t="s">
        <v>5314</v>
      </c>
    </row>
    <row r="290" spans="1:12" ht="38.25">
      <c r="A290" s="93">
        <v>289</v>
      </c>
      <c r="B290" s="141" t="s">
        <v>5649</v>
      </c>
      <c r="C290" s="122" t="s">
        <v>5675</v>
      </c>
      <c r="D290" s="101" t="s">
        <v>5279</v>
      </c>
      <c r="I290" s="103">
        <v>42575</v>
      </c>
      <c r="J290" s="96" t="s">
        <v>885</v>
      </c>
      <c r="K290" s="98">
        <f t="shared" si="4"/>
        <v>2016</v>
      </c>
      <c r="L290" s="99" t="s">
        <v>5366</v>
      </c>
    </row>
    <row r="291" spans="1:12" ht="89.25">
      <c r="A291" s="93">
        <v>290</v>
      </c>
      <c r="B291" s="122" t="s">
        <v>5649</v>
      </c>
      <c r="C291" s="122" t="s">
        <v>5676</v>
      </c>
      <c r="D291" s="100" t="s">
        <v>5284</v>
      </c>
      <c r="I291" s="103">
        <v>42662</v>
      </c>
      <c r="J291" s="96" t="s">
        <v>980</v>
      </c>
      <c r="K291" s="98">
        <f t="shared" si="4"/>
        <v>2016</v>
      </c>
      <c r="L291" s="99" t="s">
        <v>5366</v>
      </c>
    </row>
    <row r="292" spans="1:12" ht="63.75">
      <c r="A292" s="93">
        <v>291</v>
      </c>
      <c r="B292" s="146" t="s">
        <v>5649</v>
      </c>
      <c r="C292" s="142" t="s">
        <v>5677</v>
      </c>
      <c r="D292" s="100" t="s">
        <v>5279</v>
      </c>
      <c r="I292" s="103">
        <v>42572</v>
      </c>
      <c r="J292" s="100" t="s">
        <v>999</v>
      </c>
      <c r="K292" s="98" t="s">
        <v>5274</v>
      </c>
      <c r="L292" s="99" t="s">
        <v>5366</v>
      </c>
    </row>
    <row r="293" spans="1:12" ht="63.75">
      <c r="A293" s="93">
        <v>292</v>
      </c>
      <c r="B293" s="146" t="s">
        <v>5649</v>
      </c>
      <c r="C293" s="142" t="s">
        <v>5678</v>
      </c>
      <c r="D293" s="100" t="s">
        <v>5279</v>
      </c>
      <c r="I293" s="103">
        <v>42583</v>
      </c>
      <c r="J293" s="96" t="s">
        <v>1003</v>
      </c>
      <c r="K293" s="98">
        <f t="shared" si="4"/>
        <v>2016</v>
      </c>
      <c r="L293" s="99" t="s">
        <v>5366</v>
      </c>
    </row>
    <row r="294" spans="1:12" ht="63.75">
      <c r="A294" s="93">
        <v>293</v>
      </c>
      <c r="B294" s="146" t="s">
        <v>5649</v>
      </c>
      <c r="C294" s="142" t="s">
        <v>5679</v>
      </c>
      <c r="D294" s="100" t="s">
        <v>5279</v>
      </c>
      <c r="I294" s="103">
        <v>42584</v>
      </c>
      <c r="J294" s="96" t="s">
        <v>934</v>
      </c>
      <c r="K294" s="98">
        <f t="shared" si="4"/>
        <v>2016</v>
      </c>
      <c r="L294" s="99" t="s">
        <v>5366</v>
      </c>
    </row>
    <row r="295" spans="1:12" ht="51">
      <c r="A295" s="93">
        <v>294</v>
      </c>
      <c r="B295" s="146" t="s">
        <v>5649</v>
      </c>
      <c r="C295" s="147" t="s">
        <v>5680</v>
      </c>
      <c r="D295" s="100" t="s">
        <v>5299</v>
      </c>
      <c r="I295" s="103">
        <v>42580</v>
      </c>
      <c r="J295" s="100" t="s">
        <v>5681</v>
      </c>
      <c r="K295" s="98">
        <f t="shared" si="4"/>
        <v>2016</v>
      </c>
      <c r="L295" s="99" t="s">
        <v>5314</v>
      </c>
    </row>
    <row r="296" spans="1:12" ht="63.75">
      <c r="A296" s="93">
        <v>295</v>
      </c>
      <c r="B296" s="146" t="s">
        <v>5649</v>
      </c>
      <c r="C296" s="147" t="s">
        <v>5682</v>
      </c>
      <c r="D296" s="100" t="s">
        <v>5279</v>
      </c>
      <c r="I296" s="103">
        <v>42583</v>
      </c>
      <c r="J296" s="96" t="s">
        <v>989</v>
      </c>
      <c r="K296" s="98">
        <f t="shared" si="4"/>
        <v>2016</v>
      </c>
      <c r="L296" s="99" t="s">
        <v>5366</v>
      </c>
    </row>
    <row r="297" spans="1:12" ht="63.75">
      <c r="A297" s="93">
        <v>296</v>
      </c>
      <c r="B297" s="146" t="s">
        <v>5649</v>
      </c>
      <c r="C297" s="142" t="s">
        <v>5683</v>
      </c>
      <c r="D297" s="100" t="s">
        <v>5284</v>
      </c>
      <c r="I297" s="103">
        <v>42587</v>
      </c>
      <c r="J297" s="96" t="s">
        <v>980</v>
      </c>
      <c r="K297" s="98">
        <f t="shared" si="4"/>
        <v>2016</v>
      </c>
      <c r="L297" s="99" t="s">
        <v>5366</v>
      </c>
    </row>
    <row r="298" spans="1:12" ht="38.25">
      <c r="A298" s="93">
        <v>297</v>
      </c>
      <c r="B298" s="146" t="s">
        <v>5649</v>
      </c>
      <c r="C298" s="142" t="s">
        <v>5684</v>
      </c>
      <c r="D298" s="100" t="s">
        <v>5634</v>
      </c>
      <c r="I298" s="103">
        <v>42606</v>
      </c>
      <c r="J298" s="96" t="s">
        <v>951</v>
      </c>
      <c r="K298" s="98">
        <f t="shared" si="4"/>
        <v>2016</v>
      </c>
      <c r="L298" s="99" t="s">
        <v>5366</v>
      </c>
    </row>
    <row r="299" spans="1:12" ht="63.75">
      <c r="A299" s="93">
        <v>298</v>
      </c>
      <c r="B299" s="142" t="s">
        <v>5685</v>
      </c>
      <c r="C299" s="148" t="s">
        <v>5686</v>
      </c>
      <c r="D299" s="100" t="s">
        <v>5279</v>
      </c>
      <c r="I299" s="103">
        <v>42670</v>
      </c>
      <c r="J299" s="96" t="s">
        <v>879</v>
      </c>
      <c r="K299" s="98">
        <f t="shared" si="4"/>
        <v>2016</v>
      </c>
      <c r="L299" s="99" t="s">
        <v>5480</v>
      </c>
    </row>
    <row r="300" spans="1:12" ht="76.5">
      <c r="A300" s="93">
        <v>299</v>
      </c>
      <c r="B300" s="142" t="s">
        <v>5685</v>
      </c>
      <c r="C300" s="142" t="s">
        <v>5687</v>
      </c>
      <c r="D300" s="100" t="s">
        <v>5634</v>
      </c>
      <c r="I300" s="103">
        <v>42664</v>
      </c>
      <c r="J300" s="100" t="s">
        <v>822</v>
      </c>
      <c r="K300" s="98">
        <f t="shared" si="4"/>
        <v>2016</v>
      </c>
      <c r="L300" s="99" t="s">
        <v>5480</v>
      </c>
    </row>
    <row r="301" spans="1:12" ht="89.25">
      <c r="A301" s="93">
        <v>300</v>
      </c>
      <c r="B301" s="146" t="s">
        <v>5629</v>
      </c>
      <c r="C301" s="149" t="s">
        <v>5688</v>
      </c>
      <c r="D301" s="100" t="s">
        <v>5279</v>
      </c>
      <c r="I301" s="103">
        <v>42723</v>
      </c>
      <c r="J301" s="96" t="s">
        <v>862</v>
      </c>
      <c r="K301" s="98">
        <f t="shared" si="4"/>
        <v>2016</v>
      </c>
      <c r="L301" s="99" t="s">
        <v>5319</v>
      </c>
    </row>
    <row r="302" spans="1:12" ht="63.75">
      <c r="A302" s="93">
        <v>301</v>
      </c>
      <c r="B302" s="146" t="s">
        <v>5629</v>
      </c>
      <c r="C302" s="100" t="s">
        <v>5689</v>
      </c>
      <c r="D302" s="100" t="s">
        <v>5279</v>
      </c>
      <c r="I302" s="103">
        <v>42731</v>
      </c>
      <c r="J302" s="96" t="s">
        <v>965</v>
      </c>
      <c r="K302" s="98">
        <f t="shared" si="4"/>
        <v>2016</v>
      </c>
      <c r="L302" s="99" t="s">
        <v>5314</v>
      </c>
    </row>
    <row r="303" spans="1:12" ht="63.75">
      <c r="A303" s="93">
        <v>302</v>
      </c>
      <c r="B303" s="122" t="s">
        <v>5690</v>
      </c>
      <c r="C303" s="101" t="s">
        <v>5691</v>
      </c>
      <c r="D303" s="101" t="s">
        <v>5279</v>
      </c>
      <c r="I303" s="103">
        <v>42749</v>
      </c>
      <c r="J303" s="96" t="s">
        <v>942</v>
      </c>
      <c r="K303" s="98">
        <f t="shared" si="4"/>
        <v>2017</v>
      </c>
      <c r="L303" s="99" t="s">
        <v>5314</v>
      </c>
    </row>
    <row r="304" spans="1:12" ht="63.75">
      <c r="A304" s="93">
        <v>303</v>
      </c>
      <c r="B304" s="122" t="s">
        <v>5690</v>
      </c>
      <c r="C304" s="101" t="s">
        <v>5692</v>
      </c>
      <c r="D304" s="100" t="s">
        <v>5279</v>
      </c>
      <c r="I304" s="103">
        <v>42767</v>
      </c>
      <c r="J304" s="100" t="s">
        <v>994</v>
      </c>
      <c r="K304" s="98">
        <f t="shared" si="4"/>
        <v>2017</v>
      </c>
      <c r="L304" s="99" t="s">
        <v>5314</v>
      </c>
    </row>
    <row r="305" spans="1:12" ht="51">
      <c r="A305" s="93">
        <v>304</v>
      </c>
      <c r="B305" s="122" t="s">
        <v>5690</v>
      </c>
      <c r="C305" s="101" t="s">
        <v>5693</v>
      </c>
      <c r="D305" s="100" t="s">
        <v>5279</v>
      </c>
      <c r="I305" s="103">
        <v>42779</v>
      </c>
      <c r="J305" s="96" t="s">
        <v>965</v>
      </c>
      <c r="K305" s="98">
        <f t="shared" si="4"/>
        <v>2017</v>
      </c>
      <c r="L305" s="99" t="s">
        <v>5314</v>
      </c>
    </row>
    <row r="306" spans="1:12" ht="38.25">
      <c r="A306" s="93">
        <v>305</v>
      </c>
      <c r="B306" s="122" t="s">
        <v>5629</v>
      </c>
      <c r="C306" s="101" t="s">
        <v>5694</v>
      </c>
      <c r="D306" s="100" t="s">
        <v>5279</v>
      </c>
      <c r="I306" s="103">
        <v>42783</v>
      </c>
      <c r="J306" s="96" t="s">
        <v>974</v>
      </c>
      <c r="K306" s="98">
        <f t="shared" si="4"/>
        <v>2017</v>
      </c>
      <c r="L306" s="99" t="s">
        <v>5314</v>
      </c>
    </row>
    <row r="307" spans="1:12" ht="51">
      <c r="A307" s="93">
        <v>306</v>
      </c>
      <c r="B307" s="122" t="s">
        <v>5631</v>
      </c>
      <c r="C307" s="101" t="s">
        <v>5695</v>
      </c>
      <c r="D307" s="100" t="s">
        <v>5279</v>
      </c>
      <c r="I307" s="103">
        <v>42807</v>
      </c>
      <c r="J307" s="96" t="s">
        <v>965</v>
      </c>
      <c r="K307" s="98">
        <f t="shared" si="4"/>
        <v>2017</v>
      </c>
      <c r="L307" s="99" t="s">
        <v>5480</v>
      </c>
    </row>
    <row r="308" spans="1:12" ht="114.75">
      <c r="A308" s="93">
        <v>307</v>
      </c>
      <c r="B308" s="122" t="s">
        <v>5629</v>
      </c>
      <c r="C308" s="101" t="s">
        <v>5696</v>
      </c>
      <c r="D308" s="100" t="s">
        <v>5279</v>
      </c>
      <c r="I308" s="103">
        <v>42853</v>
      </c>
      <c r="J308" s="96" t="s">
        <v>897</v>
      </c>
      <c r="K308" s="98">
        <f t="shared" si="4"/>
        <v>2017</v>
      </c>
      <c r="L308" s="99" t="s">
        <v>5314</v>
      </c>
    </row>
    <row r="309" spans="1:12" ht="102">
      <c r="A309" s="93">
        <v>308</v>
      </c>
      <c r="B309" s="122" t="s">
        <v>5697</v>
      </c>
      <c r="C309" s="101" t="s">
        <v>5698</v>
      </c>
      <c r="D309" s="100" t="s">
        <v>5279</v>
      </c>
      <c r="I309" s="103">
        <v>42877</v>
      </c>
      <c r="J309" s="96" t="s">
        <v>965</v>
      </c>
      <c r="K309" s="98">
        <f t="shared" si="4"/>
        <v>2017</v>
      </c>
      <c r="L309" s="99" t="s">
        <v>5354</v>
      </c>
    </row>
    <row r="310" spans="1:12" ht="51">
      <c r="A310" s="93">
        <v>309</v>
      </c>
      <c r="B310" s="122" t="s">
        <v>5697</v>
      </c>
      <c r="C310" s="101" t="s">
        <v>5699</v>
      </c>
      <c r="D310" s="100" t="s">
        <v>5279</v>
      </c>
      <c r="I310" s="103">
        <v>42887</v>
      </c>
      <c r="J310" s="96" t="s">
        <v>5700</v>
      </c>
      <c r="K310" s="98">
        <f t="shared" si="4"/>
        <v>2017</v>
      </c>
      <c r="L310" s="99" t="s">
        <v>5366</v>
      </c>
    </row>
    <row r="311" spans="1:12" ht="63.75">
      <c r="A311" s="93">
        <v>310</v>
      </c>
      <c r="B311" s="150" t="s">
        <v>5701</v>
      </c>
      <c r="C311" s="101" t="s">
        <v>5702</v>
      </c>
      <c r="D311" s="100" t="s">
        <v>5279</v>
      </c>
      <c r="I311" s="103">
        <v>42891</v>
      </c>
      <c r="J311" s="96" t="s">
        <v>985</v>
      </c>
      <c r="K311" s="98">
        <f t="shared" si="4"/>
        <v>2017</v>
      </c>
      <c r="L311" s="99" t="s">
        <v>5569</v>
      </c>
    </row>
    <row r="312" spans="1:12" ht="51">
      <c r="A312" s="93">
        <v>311</v>
      </c>
      <c r="B312" s="141" t="s">
        <v>5703</v>
      </c>
      <c r="C312" s="101" t="s">
        <v>5704</v>
      </c>
      <c r="D312" s="100" t="s">
        <v>5279</v>
      </c>
      <c r="I312" s="103">
        <v>42892</v>
      </c>
      <c r="J312" s="96" t="s">
        <v>951</v>
      </c>
      <c r="K312" s="98">
        <f t="shared" si="4"/>
        <v>2017</v>
      </c>
      <c r="L312" s="99" t="s">
        <v>5314</v>
      </c>
    </row>
    <row r="313" spans="1:12" ht="114.75">
      <c r="A313" s="93">
        <v>312</v>
      </c>
      <c r="B313" s="122" t="s">
        <v>5697</v>
      </c>
      <c r="C313" s="101" t="s">
        <v>5705</v>
      </c>
      <c r="D313" s="100" t="s">
        <v>5279</v>
      </c>
      <c r="I313" s="103">
        <v>42894</v>
      </c>
      <c r="J313" s="96" t="s">
        <v>822</v>
      </c>
      <c r="K313" s="98">
        <f t="shared" si="4"/>
        <v>2017</v>
      </c>
      <c r="L313" s="99" t="s">
        <v>5366</v>
      </c>
    </row>
    <row r="314" spans="1:12" ht="38.25">
      <c r="A314" s="93">
        <v>313</v>
      </c>
      <c r="B314" s="122" t="s">
        <v>5697</v>
      </c>
      <c r="C314" s="101" t="s">
        <v>5706</v>
      </c>
      <c r="D314" s="100" t="s">
        <v>5279</v>
      </c>
      <c r="I314" s="103">
        <v>42898</v>
      </c>
      <c r="J314" s="100" t="s">
        <v>822</v>
      </c>
      <c r="K314" s="98">
        <f t="shared" si="4"/>
        <v>2017</v>
      </c>
      <c r="L314" s="99" t="s">
        <v>5366</v>
      </c>
    </row>
    <row r="315" spans="1:12" ht="51">
      <c r="A315" s="93">
        <v>314</v>
      </c>
      <c r="B315" s="122" t="s">
        <v>5697</v>
      </c>
      <c r="C315" s="101" t="s">
        <v>5707</v>
      </c>
      <c r="D315" s="100" t="s">
        <v>5279</v>
      </c>
      <c r="I315" s="103">
        <v>42903</v>
      </c>
      <c r="J315" s="96" t="s">
        <v>853</v>
      </c>
      <c r="K315" s="98">
        <f t="shared" si="4"/>
        <v>2017</v>
      </c>
      <c r="L315" s="99" t="s">
        <v>5366</v>
      </c>
    </row>
    <row r="316" spans="1:12" ht="38.25">
      <c r="A316" s="93">
        <v>315</v>
      </c>
      <c r="B316" s="122" t="s">
        <v>5697</v>
      </c>
      <c r="C316" s="100" t="s">
        <v>5708</v>
      </c>
      <c r="D316" s="100" t="s">
        <v>5279</v>
      </c>
      <c r="I316" s="103">
        <v>42915</v>
      </c>
      <c r="J316" s="96" t="s">
        <v>965</v>
      </c>
      <c r="K316" s="98">
        <f t="shared" si="4"/>
        <v>2017</v>
      </c>
      <c r="L316" s="99" t="s">
        <v>5366</v>
      </c>
    </row>
    <row r="317" spans="1:12" ht="51">
      <c r="A317" s="93">
        <v>316</v>
      </c>
      <c r="B317" s="122" t="s">
        <v>5697</v>
      </c>
      <c r="C317" s="101" t="s">
        <v>5709</v>
      </c>
      <c r="D317" s="100" t="s">
        <v>5279</v>
      </c>
      <c r="I317" s="103">
        <v>42909</v>
      </c>
      <c r="J317" s="96" t="s">
        <v>965</v>
      </c>
      <c r="K317" s="98">
        <f t="shared" si="4"/>
        <v>2017</v>
      </c>
      <c r="L317" s="99" t="s">
        <v>5366</v>
      </c>
    </row>
    <row r="318" spans="1:12" ht="76.5">
      <c r="A318" s="93">
        <v>317</v>
      </c>
      <c r="B318" s="122" t="s">
        <v>5697</v>
      </c>
      <c r="C318" s="101" t="s">
        <v>5710</v>
      </c>
      <c r="D318" s="100" t="s">
        <v>5279</v>
      </c>
      <c r="I318" s="103">
        <v>42890</v>
      </c>
      <c r="J318" s="96" t="s">
        <v>822</v>
      </c>
      <c r="K318" s="98">
        <f t="shared" si="4"/>
        <v>2017</v>
      </c>
      <c r="L318" s="99" t="s">
        <v>5366</v>
      </c>
    </row>
    <row r="319" spans="1:12" ht="63.75">
      <c r="A319" s="93">
        <v>318</v>
      </c>
      <c r="B319" s="150" t="s">
        <v>5701</v>
      </c>
      <c r="C319" s="101" t="s">
        <v>5711</v>
      </c>
      <c r="D319" s="100" t="s">
        <v>5279</v>
      </c>
      <c r="I319" s="103">
        <v>42917</v>
      </c>
      <c r="J319" s="96" t="s">
        <v>934</v>
      </c>
      <c r="K319" s="98">
        <f t="shared" si="4"/>
        <v>2017</v>
      </c>
      <c r="L319" s="99" t="s">
        <v>5569</v>
      </c>
    </row>
    <row r="320" spans="1:12" ht="63.75">
      <c r="A320" s="93">
        <v>319</v>
      </c>
      <c r="B320" s="150" t="s">
        <v>5701</v>
      </c>
      <c r="C320" s="117" t="s">
        <v>5712</v>
      </c>
      <c r="D320" s="100" t="s">
        <v>5279</v>
      </c>
      <c r="I320" s="103">
        <v>42917</v>
      </c>
      <c r="J320" s="96" t="s">
        <v>985</v>
      </c>
      <c r="K320" s="98">
        <f t="shared" si="4"/>
        <v>2017</v>
      </c>
      <c r="L320" s="99" t="s">
        <v>5569</v>
      </c>
    </row>
    <row r="321" spans="1:12" ht="63.75">
      <c r="A321" s="93">
        <v>320</v>
      </c>
      <c r="B321" s="150" t="s">
        <v>5701</v>
      </c>
      <c r="C321" s="101" t="s">
        <v>5713</v>
      </c>
      <c r="D321" s="100" t="s">
        <v>5279</v>
      </c>
      <c r="I321" s="103">
        <v>42917</v>
      </c>
      <c r="J321" s="96" t="s">
        <v>911</v>
      </c>
      <c r="K321" s="98">
        <f t="shared" si="4"/>
        <v>2017</v>
      </c>
      <c r="L321" s="99" t="s">
        <v>5569</v>
      </c>
    </row>
    <row r="322" spans="1:12" ht="76.5">
      <c r="A322" s="93">
        <v>321</v>
      </c>
      <c r="B322" s="150" t="s">
        <v>5701</v>
      </c>
      <c r="C322" s="101" t="s">
        <v>5714</v>
      </c>
      <c r="D322" s="100" t="s">
        <v>5299</v>
      </c>
      <c r="I322" s="103">
        <v>42919</v>
      </c>
      <c r="J322" s="96" t="s">
        <v>5617</v>
      </c>
      <c r="K322" s="98">
        <f t="shared" si="4"/>
        <v>2017</v>
      </c>
      <c r="L322" s="99" t="s">
        <v>5569</v>
      </c>
    </row>
    <row r="323" spans="1:12" ht="191.25">
      <c r="A323" s="93">
        <v>322</v>
      </c>
      <c r="B323" s="122" t="s">
        <v>5697</v>
      </c>
      <c r="C323" s="100" t="s">
        <v>5715</v>
      </c>
      <c r="D323" s="100" t="s">
        <v>5279</v>
      </c>
      <c r="I323" s="103">
        <v>42920</v>
      </c>
      <c r="J323" s="96" t="s">
        <v>965</v>
      </c>
      <c r="K323" s="98">
        <f t="shared" ref="K323:K386" si="5">YEAR(I323)</f>
        <v>2017</v>
      </c>
      <c r="L323" s="99" t="s">
        <v>5366</v>
      </c>
    </row>
    <row r="324" spans="1:12" ht="51">
      <c r="A324" s="93">
        <v>323</v>
      </c>
      <c r="B324" s="141" t="s">
        <v>5716</v>
      </c>
      <c r="C324" s="101" t="s">
        <v>5717</v>
      </c>
      <c r="D324" s="100" t="s">
        <v>5279</v>
      </c>
      <c r="I324" s="103">
        <v>42919</v>
      </c>
      <c r="J324" s="96" t="s">
        <v>960</v>
      </c>
      <c r="K324" s="98">
        <f t="shared" si="5"/>
        <v>2017</v>
      </c>
      <c r="L324" s="99" t="s">
        <v>5664</v>
      </c>
    </row>
    <row r="325" spans="1:12" ht="51">
      <c r="A325" s="93">
        <v>324</v>
      </c>
      <c r="B325" s="122" t="s">
        <v>5697</v>
      </c>
      <c r="C325" s="117" t="s">
        <v>5718</v>
      </c>
      <c r="D325" s="100" t="s">
        <v>5279</v>
      </c>
      <c r="I325" s="103">
        <v>42931</v>
      </c>
      <c r="J325" s="100" t="s">
        <v>954</v>
      </c>
      <c r="K325" s="98">
        <f t="shared" si="5"/>
        <v>2017</v>
      </c>
      <c r="L325" s="99" t="s">
        <v>5366</v>
      </c>
    </row>
    <row r="326" spans="1:12" ht="25.5">
      <c r="A326" s="93">
        <v>325</v>
      </c>
      <c r="B326" s="122" t="s">
        <v>5697</v>
      </c>
      <c r="C326" s="101" t="s">
        <v>5719</v>
      </c>
      <c r="D326" s="100" t="s">
        <v>5279</v>
      </c>
      <c r="I326" s="103">
        <v>42940</v>
      </c>
      <c r="J326" s="100" t="s">
        <v>954</v>
      </c>
      <c r="K326" s="98">
        <f t="shared" si="5"/>
        <v>2017</v>
      </c>
      <c r="L326" s="99" t="s">
        <v>5366</v>
      </c>
    </row>
    <row r="327" spans="1:12" ht="51">
      <c r="A327" s="93">
        <v>326</v>
      </c>
      <c r="B327" s="122" t="s">
        <v>5701</v>
      </c>
      <c r="C327" s="101" t="s">
        <v>5720</v>
      </c>
      <c r="D327" s="100" t="s">
        <v>5279</v>
      </c>
      <c r="I327" s="103">
        <v>42931</v>
      </c>
      <c r="J327" s="96" t="s">
        <v>989</v>
      </c>
      <c r="K327" s="98">
        <f t="shared" si="5"/>
        <v>2017</v>
      </c>
      <c r="L327" s="99" t="s">
        <v>5569</v>
      </c>
    </row>
    <row r="328" spans="1:12" ht="89.25">
      <c r="A328" s="93">
        <v>327</v>
      </c>
      <c r="B328" s="122" t="s">
        <v>5697</v>
      </c>
      <c r="C328" s="117" t="s">
        <v>5721</v>
      </c>
      <c r="D328" s="100" t="s">
        <v>5279</v>
      </c>
      <c r="I328" s="103">
        <v>42933</v>
      </c>
      <c r="J328" s="96" t="s">
        <v>989</v>
      </c>
      <c r="K328" s="98">
        <f t="shared" si="5"/>
        <v>2017</v>
      </c>
      <c r="L328" s="99" t="s">
        <v>5366</v>
      </c>
    </row>
    <row r="329" spans="1:12" ht="63.75">
      <c r="A329" s="93">
        <v>328</v>
      </c>
      <c r="B329" s="122" t="s">
        <v>5697</v>
      </c>
      <c r="C329" s="117" t="s">
        <v>5722</v>
      </c>
      <c r="D329" s="100" t="s">
        <v>5279</v>
      </c>
      <c r="I329" s="103">
        <v>42937</v>
      </c>
      <c r="J329" s="96" t="s">
        <v>1003</v>
      </c>
      <c r="K329" s="98">
        <f t="shared" si="5"/>
        <v>2017</v>
      </c>
      <c r="L329" s="99" t="s">
        <v>5366</v>
      </c>
    </row>
    <row r="330" spans="1:12" ht="63.75">
      <c r="A330" s="93">
        <v>329</v>
      </c>
      <c r="B330" s="122" t="s">
        <v>5701</v>
      </c>
      <c r="C330" s="117" t="s">
        <v>5723</v>
      </c>
      <c r="D330" s="100" t="s">
        <v>5279</v>
      </c>
      <c r="I330" s="103">
        <v>42919</v>
      </c>
      <c r="J330" s="96" t="s">
        <v>892</v>
      </c>
      <c r="K330" s="98">
        <f t="shared" si="5"/>
        <v>2017</v>
      </c>
      <c r="L330" s="99" t="s">
        <v>5569</v>
      </c>
    </row>
    <row r="331" spans="1:12" ht="51">
      <c r="A331" s="93">
        <v>330</v>
      </c>
      <c r="B331" s="122" t="s">
        <v>5701</v>
      </c>
      <c r="C331" s="117" t="s">
        <v>5724</v>
      </c>
      <c r="D331" s="100" t="s">
        <v>5279</v>
      </c>
      <c r="I331" s="103">
        <v>42920</v>
      </c>
      <c r="J331" s="96" t="s">
        <v>911</v>
      </c>
      <c r="K331" s="98">
        <f t="shared" si="5"/>
        <v>2017</v>
      </c>
      <c r="L331" s="99" t="s">
        <v>5569</v>
      </c>
    </row>
    <row r="332" spans="1:12" ht="76.5">
      <c r="A332" s="93">
        <v>331</v>
      </c>
      <c r="B332" s="122" t="s">
        <v>5697</v>
      </c>
      <c r="C332" s="101" t="s">
        <v>5725</v>
      </c>
      <c r="D332" s="100" t="s">
        <v>5279</v>
      </c>
      <c r="I332" s="103">
        <v>42943</v>
      </c>
      <c r="J332" s="96" t="s">
        <v>1003</v>
      </c>
      <c r="K332" s="98">
        <f t="shared" si="5"/>
        <v>2017</v>
      </c>
      <c r="L332" s="99" t="s">
        <v>5726</v>
      </c>
    </row>
    <row r="333" spans="1:12" ht="63.75">
      <c r="A333" s="93">
        <v>332</v>
      </c>
      <c r="B333" s="122" t="s">
        <v>5697</v>
      </c>
      <c r="C333" s="101" t="s">
        <v>5727</v>
      </c>
      <c r="D333" s="100" t="s">
        <v>5279</v>
      </c>
      <c r="I333" s="103">
        <v>42949</v>
      </c>
      <c r="J333" s="96" t="s">
        <v>942</v>
      </c>
      <c r="K333" s="98">
        <f t="shared" si="5"/>
        <v>2017</v>
      </c>
      <c r="L333" s="99" t="s">
        <v>5366</v>
      </c>
    </row>
    <row r="334" spans="1:12" ht="63.75">
      <c r="A334" s="93">
        <v>333</v>
      </c>
      <c r="B334" s="122" t="s">
        <v>5701</v>
      </c>
      <c r="C334" s="117" t="s">
        <v>5728</v>
      </c>
      <c r="D334" s="100" t="s">
        <v>5279</v>
      </c>
      <c r="I334" s="103">
        <v>42951</v>
      </c>
      <c r="J334" s="96" t="s">
        <v>1003</v>
      </c>
      <c r="K334" s="98">
        <f t="shared" si="5"/>
        <v>2017</v>
      </c>
      <c r="L334" s="99" t="s">
        <v>5569</v>
      </c>
    </row>
    <row r="335" spans="1:12" ht="63.75">
      <c r="A335" s="93">
        <v>334</v>
      </c>
      <c r="B335" s="122" t="s">
        <v>5697</v>
      </c>
      <c r="C335" s="117" t="s">
        <v>5729</v>
      </c>
      <c r="D335" s="101" t="s">
        <v>5279</v>
      </c>
      <c r="I335" s="103">
        <v>42948</v>
      </c>
      <c r="J335" s="96" t="s">
        <v>965</v>
      </c>
      <c r="K335" s="98">
        <f t="shared" si="5"/>
        <v>2017</v>
      </c>
      <c r="L335" s="99" t="s">
        <v>5366</v>
      </c>
    </row>
    <row r="336" spans="1:12" ht="51">
      <c r="A336" s="93">
        <v>335</v>
      </c>
      <c r="B336" s="122" t="s">
        <v>5701</v>
      </c>
      <c r="C336" s="117" t="s">
        <v>5730</v>
      </c>
      <c r="D336" s="100" t="s">
        <v>5516</v>
      </c>
      <c r="I336" s="103">
        <v>42951</v>
      </c>
      <c r="J336" s="96" t="s">
        <v>870</v>
      </c>
      <c r="K336" s="98">
        <f t="shared" si="5"/>
        <v>2017</v>
      </c>
      <c r="L336" s="99" t="s">
        <v>5569</v>
      </c>
    </row>
    <row r="337" spans="1:12" ht="63.75">
      <c r="A337" s="93">
        <v>336</v>
      </c>
      <c r="B337" s="122" t="s">
        <v>5731</v>
      </c>
      <c r="C337" s="117" t="s">
        <v>5732</v>
      </c>
      <c r="D337" s="100" t="s">
        <v>5279</v>
      </c>
      <c r="I337" s="103">
        <v>42952</v>
      </c>
      <c r="J337" s="96" t="s">
        <v>925</v>
      </c>
      <c r="K337" s="98">
        <f t="shared" si="5"/>
        <v>2017</v>
      </c>
      <c r="L337" s="99" t="s">
        <v>5600</v>
      </c>
    </row>
    <row r="338" spans="1:12" ht="38.25">
      <c r="A338" s="93">
        <v>337</v>
      </c>
      <c r="B338" s="122" t="s">
        <v>5701</v>
      </c>
      <c r="C338" s="117" t="s">
        <v>5733</v>
      </c>
      <c r="D338" s="100" t="s">
        <v>5279</v>
      </c>
      <c r="I338" s="103">
        <v>42953</v>
      </c>
      <c r="J338" s="96" t="s">
        <v>934</v>
      </c>
      <c r="K338" s="98">
        <f t="shared" si="5"/>
        <v>2017</v>
      </c>
      <c r="L338" s="99" t="s">
        <v>5569</v>
      </c>
    </row>
    <row r="339" spans="1:12" ht="63.75">
      <c r="A339" s="93">
        <v>338</v>
      </c>
      <c r="B339" s="122" t="s">
        <v>5734</v>
      </c>
      <c r="C339" s="117" t="s">
        <v>5735</v>
      </c>
      <c r="D339" s="100" t="s">
        <v>5284</v>
      </c>
      <c r="I339" s="103">
        <v>42968</v>
      </c>
      <c r="J339" s="96" t="s">
        <v>1003</v>
      </c>
      <c r="K339" s="98">
        <f t="shared" si="5"/>
        <v>2017</v>
      </c>
      <c r="L339" s="99" t="s">
        <v>5285</v>
      </c>
    </row>
    <row r="340" spans="1:12" ht="51">
      <c r="A340" s="93">
        <v>339</v>
      </c>
      <c r="B340" s="122" t="s">
        <v>5716</v>
      </c>
      <c r="C340" s="101" t="s">
        <v>5736</v>
      </c>
      <c r="D340" s="100" t="s">
        <v>5279</v>
      </c>
      <c r="I340" s="103">
        <v>42990</v>
      </c>
      <c r="J340" s="96" t="s">
        <v>885</v>
      </c>
      <c r="K340" s="98">
        <f t="shared" si="5"/>
        <v>2017</v>
      </c>
      <c r="L340" s="99" t="s">
        <v>5664</v>
      </c>
    </row>
    <row r="341" spans="1:12" ht="63.75">
      <c r="A341" s="93">
        <v>340</v>
      </c>
      <c r="B341" s="122" t="s">
        <v>5731</v>
      </c>
      <c r="C341" s="101" t="s">
        <v>5737</v>
      </c>
      <c r="D341" s="100" t="s">
        <v>5284</v>
      </c>
      <c r="I341" s="103">
        <v>42992</v>
      </c>
      <c r="J341" s="96" t="s">
        <v>917</v>
      </c>
      <c r="K341" s="98">
        <f t="shared" si="5"/>
        <v>2017</v>
      </c>
      <c r="L341" s="99" t="s">
        <v>5280</v>
      </c>
    </row>
    <row r="342" spans="1:12" ht="51">
      <c r="A342" s="93">
        <v>341</v>
      </c>
      <c r="B342" s="122" t="s">
        <v>5731</v>
      </c>
      <c r="C342" s="101" t="s">
        <v>5738</v>
      </c>
      <c r="D342" s="100" t="s">
        <v>5284</v>
      </c>
      <c r="I342" s="103">
        <v>43007</v>
      </c>
      <c r="J342" s="96" t="s">
        <v>844</v>
      </c>
      <c r="K342" s="98">
        <f t="shared" si="5"/>
        <v>2017</v>
      </c>
      <c r="L342" s="99" t="s">
        <v>5551</v>
      </c>
    </row>
    <row r="343" spans="1:12" ht="51">
      <c r="A343" s="93">
        <v>342</v>
      </c>
      <c r="B343" s="141" t="s">
        <v>5739</v>
      </c>
      <c r="C343" s="101" t="s">
        <v>5740</v>
      </c>
      <c r="D343" s="100" t="s">
        <v>5279</v>
      </c>
      <c r="I343" s="103">
        <v>43007</v>
      </c>
      <c r="J343" s="96" t="s">
        <v>974</v>
      </c>
      <c r="K343" s="98">
        <f t="shared" si="5"/>
        <v>2017</v>
      </c>
      <c r="L343" s="99" t="s">
        <v>5314</v>
      </c>
    </row>
    <row r="344" spans="1:12" ht="51">
      <c r="A344" s="93">
        <v>343</v>
      </c>
      <c r="B344" s="122" t="s">
        <v>5741</v>
      </c>
      <c r="C344" s="101" t="s">
        <v>5742</v>
      </c>
      <c r="D344" s="100" t="s">
        <v>5288</v>
      </c>
      <c r="I344" s="103">
        <v>43009</v>
      </c>
      <c r="J344" s="101" t="s">
        <v>738</v>
      </c>
      <c r="K344" s="98">
        <f t="shared" si="5"/>
        <v>2017</v>
      </c>
      <c r="L344" s="99" t="s">
        <v>5538</v>
      </c>
    </row>
    <row r="345" spans="1:12" ht="51">
      <c r="A345" s="93">
        <v>344</v>
      </c>
      <c r="B345" s="122" t="s">
        <v>5716</v>
      </c>
      <c r="C345" s="101" t="s">
        <v>5743</v>
      </c>
      <c r="D345" s="100" t="s">
        <v>5279</v>
      </c>
      <c r="I345" s="103">
        <v>43027</v>
      </c>
      <c r="J345" s="96" t="s">
        <v>989</v>
      </c>
      <c r="K345" s="98">
        <f t="shared" si="5"/>
        <v>2017</v>
      </c>
      <c r="L345" s="99" t="s">
        <v>5664</v>
      </c>
    </row>
    <row r="346" spans="1:12" ht="51">
      <c r="A346" s="93">
        <v>345</v>
      </c>
      <c r="B346" s="141" t="s">
        <v>5731</v>
      </c>
      <c r="C346" s="101" t="s">
        <v>5744</v>
      </c>
      <c r="D346" s="100" t="s">
        <v>5279</v>
      </c>
      <c r="I346" s="103">
        <v>43034</v>
      </c>
      <c r="J346" s="96" t="s">
        <v>951</v>
      </c>
      <c r="K346" s="98">
        <f t="shared" si="5"/>
        <v>2017</v>
      </c>
      <c r="L346" s="99" t="s">
        <v>5673</v>
      </c>
    </row>
    <row r="347" spans="1:12" ht="51">
      <c r="A347" s="93">
        <v>346</v>
      </c>
      <c r="B347" s="122" t="s">
        <v>5745</v>
      </c>
      <c r="C347" s="101" t="s">
        <v>5746</v>
      </c>
      <c r="D347" s="100" t="s">
        <v>5279</v>
      </c>
      <c r="I347" s="103">
        <v>43031</v>
      </c>
      <c r="J347" s="96" t="s">
        <v>942</v>
      </c>
      <c r="K347" s="98">
        <f t="shared" si="5"/>
        <v>2017</v>
      </c>
      <c r="L347" s="99" t="s">
        <v>5747</v>
      </c>
    </row>
    <row r="348" spans="1:12" ht="25.5">
      <c r="A348" s="93">
        <v>347</v>
      </c>
      <c r="B348" s="141" t="s">
        <v>5716</v>
      </c>
      <c r="C348" s="101" t="s">
        <v>5748</v>
      </c>
      <c r="D348" s="100" t="s">
        <v>5279</v>
      </c>
      <c r="I348" s="103">
        <v>43049</v>
      </c>
      <c r="J348" s="96" t="s">
        <v>965</v>
      </c>
      <c r="K348" s="98">
        <f t="shared" si="5"/>
        <v>2017</v>
      </c>
      <c r="L348" s="99" t="s">
        <v>5664</v>
      </c>
    </row>
    <row r="349" spans="1:12" ht="63.75">
      <c r="A349" s="93">
        <v>348</v>
      </c>
      <c r="B349" s="122" t="s">
        <v>5731</v>
      </c>
      <c r="C349" s="101" t="s">
        <v>5749</v>
      </c>
      <c r="D349" s="100" t="s">
        <v>5279</v>
      </c>
      <c r="I349" s="103">
        <v>43059</v>
      </c>
      <c r="J349" s="100" t="s">
        <v>951</v>
      </c>
      <c r="K349" s="98">
        <f t="shared" si="5"/>
        <v>2017</v>
      </c>
      <c r="L349" s="99" t="s">
        <v>5673</v>
      </c>
    </row>
    <row r="350" spans="1:12" ht="63.75">
      <c r="A350" s="93">
        <v>349</v>
      </c>
      <c r="B350" s="122" t="s">
        <v>5731</v>
      </c>
      <c r="C350" s="101" t="s">
        <v>5750</v>
      </c>
      <c r="D350" s="100" t="s">
        <v>5284</v>
      </c>
      <c r="I350" s="103">
        <v>43077</v>
      </c>
      <c r="J350" s="96" t="s">
        <v>921</v>
      </c>
      <c r="K350" s="98">
        <f t="shared" si="5"/>
        <v>2017</v>
      </c>
      <c r="L350" s="99" t="s">
        <v>5291</v>
      </c>
    </row>
    <row r="351" spans="1:12" ht="76.5">
      <c r="A351" s="93">
        <v>350</v>
      </c>
      <c r="B351" s="122" t="s">
        <v>5685</v>
      </c>
      <c r="C351" s="101" t="s">
        <v>5751</v>
      </c>
      <c r="D351" s="100" t="s">
        <v>5284</v>
      </c>
      <c r="I351" s="103">
        <v>43106</v>
      </c>
      <c r="J351" s="96" t="s">
        <v>917</v>
      </c>
      <c r="K351" s="98">
        <f t="shared" si="5"/>
        <v>2018</v>
      </c>
      <c r="L351" s="99" t="s">
        <v>5480</v>
      </c>
    </row>
    <row r="352" spans="1:12" ht="51">
      <c r="A352" s="93">
        <v>351</v>
      </c>
      <c r="B352" s="141" t="s">
        <v>5731</v>
      </c>
      <c r="C352" s="101" t="s">
        <v>5752</v>
      </c>
      <c r="D352" s="100" t="s">
        <v>5279</v>
      </c>
      <c r="I352" s="103">
        <v>43127</v>
      </c>
      <c r="J352" s="96" t="s">
        <v>897</v>
      </c>
      <c r="K352" s="98">
        <f t="shared" si="5"/>
        <v>2018</v>
      </c>
      <c r="L352" s="99" t="s">
        <v>5291</v>
      </c>
    </row>
    <row r="353" spans="1:12" ht="63.75">
      <c r="A353" s="93">
        <v>352</v>
      </c>
      <c r="B353" s="141" t="s">
        <v>5731</v>
      </c>
      <c r="C353" s="101" t="s">
        <v>5753</v>
      </c>
      <c r="D353" s="100" t="s">
        <v>5279</v>
      </c>
      <c r="I353" s="103">
        <v>43150</v>
      </c>
      <c r="J353" s="96" t="s">
        <v>989</v>
      </c>
      <c r="K353" s="98">
        <f t="shared" si="5"/>
        <v>2018</v>
      </c>
      <c r="L353" s="99" t="s">
        <v>5291</v>
      </c>
    </row>
    <row r="354" spans="1:12" ht="51">
      <c r="A354" s="93">
        <v>353</v>
      </c>
      <c r="B354" s="122" t="s">
        <v>5754</v>
      </c>
      <c r="C354" s="101" t="s">
        <v>5755</v>
      </c>
      <c r="D354" s="100" t="s">
        <v>5279</v>
      </c>
      <c r="I354" s="103">
        <v>43228</v>
      </c>
      <c r="J354" s="96" t="s">
        <v>844</v>
      </c>
      <c r="K354" s="98">
        <f t="shared" si="5"/>
        <v>2018</v>
      </c>
      <c r="L354" s="99" t="s">
        <v>5354</v>
      </c>
    </row>
    <row r="355" spans="1:12" ht="76.5">
      <c r="A355" s="93">
        <v>354</v>
      </c>
      <c r="B355" s="122" t="s">
        <v>5754</v>
      </c>
      <c r="C355" s="101" t="s">
        <v>5756</v>
      </c>
      <c r="D355" s="100" t="s">
        <v>5516</v>
      </c>
      <c r="I355" s="103">
        <v>43230</v>
      </c>
      <c r="J355" s="96" t="s">
        <v>844</v>
      </c>
      <c r="K355" s="98">
        <f t="shared" si="5"/>
        <v>2018</v>
      </c>
      <c r="L355" s="99" t="s">
        <v>5354</v>
      </c>
    </row>
    <row r="356" spans="1:12" ht="114.75">
      <c r="A356" s="93">
        <v>355</v>
      </c>
      <c r="B356" s="122" t="s">
        <v>5754</v>
      </c>
      <c r="C356" s="101" t="s">
        <v>5757</v>
      </c>
      <c r="D356" s="100" t="s">
        <v>5299</v>
      </c>
      <c r="I356" s="103">
        <v>43232</v>
      </c>
      <c r="J356" s="96" t="s">
        <v>5758</v>
      </c>
      <c r="K356" s="98">
        <f t="shared" si="5"/>
        <v>2018</v>
      </c>
      <c r="L356" s="99" t="s">
        <v>5354</v>
      </c>
    </row>
    <row r="357" spans="1:12" ht="51">
      <c r="A357" s="93">
        <v>356</v>
      </c>
      <c r="B357" s="122" t="s">
        <v>5754</v>
      </c>
      <c r="C357" s="101" t="s">
        <v>5759</v>
      </c>
      <c r="D357" s="100" t="s">
        <v>5279</v>
      </c>
      <c r="I357" s="103">
        <v>43232</v>
      </c>
      <c r="J357" s="96" t="s">
        <v>974</v>
      </c>
      <c r="K357" s="98">
        <f t="shared" si="5"/>
        <v>2018</v>
      </c>
      <c r="L357" s="99" t="s">
        <v>5354</v>
      </c>
    </row>
    <row r="358" spans="1:12" ht="51">
      <c r="A358" s="93">
        <v>357</v>
      </c>
      <c r="B358" s="122" t="s">
        <v>5754</v>
      </c>
      <c r="C358" s="101" t="s">
        <v>5760</v>
      </c>
      <c r="D358" s="100" t="s">
        <v>5279</v>
      </c>
      <c r="I358" s="103">
        <v>43233</v>
      </c>
      <c r="J358" s="96" t="s">
        <v>974</v>
      </c>
      <c r="K358" s="98">
        <f t="shared" si="5"/>
        <v>2018</v>
      </c>
      <c r="L358" s="99" t="s">
        <v>5354</v>
      </c>
    </row>
    <row r="359" spans="1:12" ht="51">
      <c r="A359" s="93">
        <v>358</v>
      </c>
      <c r="B359" s="122" t="s">
        <v>5754</v>
      </c>
      <c r="C359" s="101" t="s">
        <v>5761</v>
      </c>
      <c r="D359" s="100" t="s">
        <v>5279</v>
      </c>
      <c r="I359" s="103">
        <v>43232</v>
      </c>
      <c r="J359" s="96" t="s">
        <v>974</v>
      </c>
      <c r="K359" s="98">
        <f t="shared" si="5"/>
        <v>2018</v>
      </c>
      <c r="L359" s="99" t="s">
        <v>5354</v>
      </c>
    </row>
    <row r="360" spans="1:12" ht="63.75">
      <c r="A360" s="93">
        <v>359</v>
      </c>
      <c r="B360" s="122" t="s">
        <v>5754</v>
      </c>
      <c r="C360" s="101" t="s">
        <v>5762</v>
      </c>
      <c r="D360" s="100" t="s">
        <v>5279</v>
      </c>
      <c r="I360" s="103">
        <v>43232</v>
      </c>
      <c r="J360" s="96" t="s">
        <v>974</v>
      </c>
      <c r="K360" s="98">
        <f t="shared" si="5"/>
        <v>2018</v>
      </c>
      <c r="L360" s="99" t="s">
        <v>5354</v>
      </c>
    </row>
    <row r="361" spans="1:12" ht="76.5">
      <c r="A361" s="93">
        <v>360</v>
      </c>
      <c r="B361" s="122" t="s">
        <v>5754</v>
      </c>
      <c r="C361" s="101" t="s">
        <v>5763</v>
      </c>
      <c r="D361" s="100" t="s">
        <v>5279</v>
      </c>
      <c r="I361" s="103">
        <v>43232</v>
      </c>
      <c r="J361" s="96" t="s">
        <v>989</v>
      </c>
      <c r="K361" s="98">
        <f t="shared" si="5"/>
        <v>2018</v>
      </c>
      <c r="L361" s="99" t="s">
        <v>5354</v>
      </c>
    </row>
    <row r="362" spans="1:12" ht="25.5">
      <c r="A362" s="93">
        <v>361</v>
      </c>
      <c r="B362" s="122" t="s">
        <v>5754</v>
      </c>
      <c r="C362" s="101" t="s">
        <v>5764</v>
      </c>
      <c r="D362" s="100" t="s">
        <v>5279</v>
      </c>
      <c r="I362" s="103">
        <v>43233</v>
      </c>
      <c r="J362" s="100" t="s">
        <v>999</v>
      </c>
      <c r="K362" s="98">
        <f t="shared" si="5"/>
        <v>2018</v>
      </c>
      <c r="L362" s="99" t="s">
        <v>5354</v>
      </c>
    </row>
    <row r="363" spans="1:12" ht="63.75">
      <c r="A363" s="93">
        <v>362</v>
      </c>
      <c r="B363" s="122" t="s">
        <v>5754</v>
      </c>
      <c r="C363" s="101" t="s">
        <v>5765</v>
      </c>
      <c r="D363" s="100" t="s">
        <v>5279</v>
      </c>
      <c r="I363" s="103">
        <v>43233</v>
      </c>
      <c r="J363" s="100" t="s">
        <v>999</v>
      </c>
      <c r="K363" s="98">
        <f t="shared" si="5"/>
        <v>2018</v>
      </c>
      <c r="L363" s="99" t="s">
        <v>5354</v>
      </c>
    </row>
    <row r="364" spans="1:12" ht="63.75">
      <c r="A364" s="93">
        <v>363</v>
      </c>
      <c r="B364" s="122" t="s">
        <v>5754</v>
      </c>
      <c r="C364" s="101" t="s">
        <v>5766</v>
      </c>
      <c r="D364" s="100" t="s">
        <v>5279</v>
      </c>
      <c r="I364" s="103">
        <v>43233</v>
      </c>
      <c r="J364" s="96" t="s">
        <v>974</v>
      </c>
      <c r="K364" s="98">
        <f t="shared" si="5"/>
        <v>2018</v>
      </c>
      <c r="L364" s="99" t="s">
        <v>5354</v>
      </c>
    </row>
    <row r="365" spans="1:12" ht="76.5">
      <c r="A365" s="93">
        <v>364</v>
      </c>
      <c r="B365" s="122" t="s">
        <v>5754</v>
      </c>
      <c r="C365" s="101" t="s">
        <v>5767</v>
      </c>
      <c r="D365" s="100" t="s">
        <v>5288</v>
      </c>
      <c r="I365" s="103">
        <v>43234</v>
      </c>
      <c r="J365" s="96" t="s">
        <v>5617</v>
      </c>
      <c r="K365" s="98">
        <f t="shared" si="5"/>
        <v>2018</v>
      </c>
      <c r="L365" s="99" t="s">
        <v>5354</v>
      </c>
    </row>
    <row r="366" spans="1:12" ht="51">
      <c r="A366" s="93">
        <v>365</v>
      </c>
      <c r="B366" s="122" t="s">
        <v>5754</v>
      </c>
      <c r="C366" s="101" t="s">
        <v>5768</v>
      </c>
      <c r="D366" s="100" t="s">
        <v>5279</v>
      </c>
      <c r="I366" s="103">
        <v>43235</v>
      </c>
      <c r="J366" s="101" t="s">
        <v>738</v>
      </c>
      <c r="K366" s="98">
        <f t="shared" si="5"/>
        <v>2018</v>
      </c>
      <c r="L366" s="99" t="s">
        <v>5354</v>
      </c>
    </row>
    <row r="367" spans="1:12" ht="76.5">
      <c r="A367" s="93">
        <v>366</v>
      </c>
      <c r="B367" s="122" t="s">
        <v>5754</v>
      </c>
      <c r="C367" s="101" t="s">
        <v>5769</v>
      </c>
      <c r="D367" s="100" t="s">
        <v>5279</v>
      </c>
      <c r="I367" s="103">
        <v>43235</v>
      </c>
      <c r="J367" s="96" t="s">
        <v>1003</v>
      </c>
      <c r="K367" s="98">
        <f t="shared" si="5"/>
        <v>2018</v>
      </c>
      <c r="L367" s="99" t="s">
        <v>5354</v>
      </c>
    </row>
    <row r="368" spans="1:12" ht="63.75">
      <c r="A368" s="93">
        <v>367</v>
      </c>
      <c r="B368" s="122" t="s">
        <v>5754</v>
      </c>
      <c r="C368" s="101" t="s">
        <v>5770</v>
      </c>
      <c r="D368" s="100" t="s">
        <v>5279</v>
      </c>
      <c r="I368" s="103">
        <v>43235</v>
      </c>
      <c r="J368" s="96" t="s">
        <v>921</v>
      </c>
      <c r="K368" s="98">
        <f t="shared" si="5"/>
        <v>2018</v>
      </c>
      <c r="L368" s="99" t="s">
        <v>5354</v>
      </c>
    </row>
    <row r="369" spans="1:12" ht="51">
      <c r="A369" s="93">
        <v>368</v>
      </c>
      <c r="B369" s="122" t="s">
        <v>5754</v>
      </c>
      <c r="C369" s="101" t="s">
        <v>5771</v>
      </c>
      <c r="D369" s="100" t="s">
        <v>5279</v>
      </c>
      <c r="I369" s="103">
        <v>43236</v>
      </c>
      <c r="J369" s="96" t="s">
        <v>974</v>
      </c>
      <c r="K369" s="98">
        <f t="shared" si="5"/>
        <v>2018</v>
      </c>
      <c r="L369" s="99" t="s">
        <v>5354</v>
      </c>
    </row>
    <row r="370" spans="1:12" ht="89.25">
      <c r="A370" s="93">
        <v>369</v>
      </c>
      <c r="B370" s="122" t="s">
        <v>5754</v>
      </c>
      <c r="C370" s="101" t="s">
        <v>5772</v>
      </c>
      <c r="D370" s="100" t="s">
        <v>5279</v>
      </c>
      <c r="I370" s="103">
        <v>43236</v>
      </c>
      <c r="J370" s="96" t="s">
        <v>980</v>
      </c>
      <c r="K370" s="98">
        <f t="shared" si="5"/>
        <v>2018</v>
      </c>
      <c r="L370" s="99" t="s">
        <v>5354</v>
      </c>
    </row>
    <row r="371" spans="1:12" ht="114.75">
      <c r="A371" s="93">
        <v>370</v>
      </c>
      <c r="B371" s="122" t="s">
        <v>5754</v>
      </c>
      <c r="C371" s="101" t="s">
        <v>5773</v>
      </c>
      <c r="D371" s="100" t="s">
        <v>5279</v>
      </c>
      <c r="I371" s="103">
        <v>43237</v>
      </c>
      <c r="J371" s="96" t="s">
        <v>985</v>
      </c>
      <c r="K371" s="98">
        <f t="shared" si="5"/>
        <v>2018</v>
      </c>
      <c r="L371" s="99" t="s">
        <v>5354</v>
      </c>
    </row>
    <row r="372" spans="1:12" ht="114.75">
      <c r="A372" s="93">
        <v>371</v>
      </c>
      <c r="B372" s="122" t="s">
        <v>5754</v>
      </c>
      <c r="C372" s="101" t="s">
        <v>5774</v>
      </c>
      <c r="D372" s="100" t="s">
        <v>5279</v>
      </c>
      <c r="I372" s="103">
        <v>43235</v>
      </c>
      <c r="J372" s="96" t="s">
        <v>921</v>
      </c>
      <c r="K372" s="98">
        <f t="shared" si="5"/>
        <v>2018</v>
      </c>
      <c r="L372" s="99" t="s">
        <v>5354</v>
      </c>
    </row>
    <row r="373" spans="1:12" ht="51">
      <c r="A373" s="93">
        <v>372</v>
      </c>
      <c r="B373" s="122" t="s">
        <v>5754</v>
      </c>
      <c r="C373" s="101" t="s">
        <v>5775</v>
      </c>
      <c r="D373" s="100" t="s">
        <v>5279</v>
      </c>
      <c r="I373" s="103">
        <v>43238</v>
      </c>
      <c r="J373" s="100" t="s">
        <v>999</v>
      </c>
      <c r="K373" s="98">
        <f t="shared" si="5"/>
        <v>2018</v>
      </c>
      <c r="L373" s="99" t="s">
        <v>5354</v>
      </c>
    </row>
    <row r="374" spans="1:12" ht="63.75">
      <c r="A374" s="93">
        <v>373</v>
      </c>
      <c r="B374" s="122" t="s">
        <v>5754</v>
      </c>
      <c r="C374" s="101" t="s">
        <v>5776</v>
      </c>
      <c r="D374" s="100" t="s">
        <v>5279</v>
      </c>
      <c r="I374" s="103">
        <v>43235</v>
      </c>
      <c r="J374" s="96" t="s">
        <v>921</v>
      </c>
      <c r="K374" s="98">
        <f t="shared" si="5"/>
        <v>2018</v>
      </c>
      <c r="L374" s="99" t="s">
        <v>5354</v>
      </c>
    </row>
    <row r="375" spans="1:12" ht="76.5">
      <c r="A375" s="93">
        <v>374</v>
      </c>
      <c r="B375" s="122" t="s">
        <v>5777</v>
      </c>
      <c r="C375" s="101" t="s">
        <v>5778</v>
      </c>
      <c r="D375" s="100" t="s">
        <v>5279</v>
      </c>
      <c r="I375" s="103">
        <v>43236</v>
      </c>
      <c r="J375" s="96" t="s">
        <v>921</v>
      </c>
      <c r="K375" s="98">
        <f t="shared" si="5"/>
        <v>2018</v>
      </c>
      <c r="L375" s="99" t="s">
        <v>5354</v>
      </c>
    </row>
    <row r="376" spans="1:12" ht="63.75">
      <c r="A376" s="93">
        <v>375</v>
      </c>
      <c r="B376" s="122" t="s">
        <v>5754</v>
      </c>
      <c r="C376" s="101" t="s">
        <v>5779</v>
      </c>
      <c r="D376" s="100" t="s">
        <v>5279</v>
      </c>
      <c r="I376" s="103">
        <v>43236</v>
      </c>
      <c r="J376" s="96" t="s">
        <v>921</v>
      </c>
      <c r="K376" s="98">
        <f t="shared" si="5"/>
        <v>2018</v>
      </c>
      <c r="L376" s="99" t="s">
        <v>5354</v>
      </c>
    </row>
    <row r="377" spans="1:12" ht="76.5">
      <c r="A377" s="93">
        <v>376</v>
      </c>
      <c r="B377" s="122" t="s">
        <v>5754</v>
      </c>
      <c r="C377" s="101" t="s">
        <v>5780</v>
      </c>
      <c r="D377" s="100" t="s">
        <v>5516</v>
      </c>
      <c r="I377" s="103">
        <v>43239</v>
      </c>
      <c r="J377" s="96" t="s">
        <v>911</v>
      </c>
      <c r="K377" s="98">
        <f t="shared" si="5"/>
        <v>2018</v>
      </c>
      <c r="L377" s="99" t="s">
        <v>5354</v>
      </c>
    </row>
    <row r="378" spans="1:12" ht="51">
      <c r="A378" s="93">
        <v>377</v>
      </c>
      <c r="B378" s="122" t="s">
        <v>5754</v>
      </c>
      <c r="C378" s="101" t="s">
        <v>5781</v>
      </c>
      <c r="D378" s="100" t="s">
        <v>5279</v>
      </c>
      <c r="I378" s="103">
        <v>43238</v>
      </c>
      <c r="J378" s="96" t="s">
        <v>934</v>
      </c>
      <c r="K378" s="98">
        <f t="shared" si="5"/>
        <v>2018</v>
      </c>
      <c r="L378" s="99" t="s">
        <v>5354</v>
      </c>
    </row>
    <row r="379" spans="1:12" ht="25.5">
      <c r="A379" s="93">
        <v>378</v>
      </c>
      <c r="B379" s="122" t="s">
        <v>5754</v>
      </c>
      <c r="C379" s="101" t="s">
        <v>5782</v>
      </c>
      <c r="D379" s="100" t="s">
        <v>5279</v>
      </c>
      <c r="I379" s="103">
        <v>43241</v>
      </c>
      <c r="J379" s="100" t="s">
        <v>999</v>
      </c>
      <c r="K379" s="98">
        <f t="shared" si="5"/>
        <v>2018</v>
      </c>
      <c r="L379" s="99" t="s">
        <v>5354</v>
      </c>
    </row>
    <row r="380" spans="1:12" ht="51">
      <c r="A380" s="93">
        <v>379</v>
      </c>
      <c r="B380" s="122" t="s">
        <v>5754</v>
      </c>
      <c r="C380" s="101" t="s">
        <v>5783</v>
      </c>
      <c r="D380" s="100" t="s">
        <v>5279</v>
      </c>
      <c r="I380" s="103">
        <v>43235</v>
      </c>
      <c r="J380" s="96" t="s">
        <v>974</v>
      </c>
      <c r="K380" s="98">
        <f t="shared" si="5"/>
        <v>2018</v>
      </c>
      <c r="L380" s="99" t="s">
        <v>5354</v>
      </c>
    </row>
    <row r="381" spans="1:12" ht="51">
      <c r="A381" s="93">
        <v>380</v>
      </c>
      <c r="B381" s="122" t="s">
        <v>5754</v>
      </c>
      <c r="C381" s="101" t="s">
        <v>5784</v>
      </c>
      <c r="D381" s="100" t="s">
        <v>5279</v>
      </c>
      <c r="I381" s="103">
        <v>43240</v>
      </c>
      <c r="J381" s="96" t="s">
        <v>974</v>
      </c>
      <c r="K381" s="98">
        <f t="shared" si="5"/>
        <v>2018</v>
      </c>
      <c r="L381" s="99" t="s">
        <v>5354</v>
      </c>
    </row>
    <row r="382" spans="1:12" ht="51">
      <c r="A382" s="93">
        <v>381</v>
      </c>
      <c r="B382" s="122" t="s">
        <v>5754</v>
      </c>
      <c r="C382" s="101" t="s">
        <v>5785</v>
      </c>
      <c r="D382" s="100" t="s">
        <v>5279</v>
      </c>
      <c r="I382" s="103">
        <v>43241</v>
      </c>
      <c r="J382" s="96" t="s">
        <v>974</v>
      </c>
      <c r="K382" s="98">
        <f t="shared" si="5"/>
        <v>2018</v>
      </c>
      <c r="L382" s="99" t="s">
        <v>5354</v>
      </c>
    </row>
    <row r="383" spans="1:12" ht="63.75">
      <c r="A383" s="93">
        <v>382</v>
      </c>
      <c r="B383" s="122" t="s">
        <v>5754</v>
      </c>
      <c r="C383" s="101" t="s">
        <v>5786</v>
      </c>
      <c r="D383" s="100" t="s">
        <v>5279</v>
      </c>
      <c r="I383" s="103">
        <v>43241</v>
      </c>
      <c r="J383" s="96" t="s">
        <v>974</v>
      </c>
      <c r="K383" s="98">
        <f t="shared" si="5"/>
        <v>2018</v>
      </c>
      <c r="L383" s="99" t="s">
        <v>5354</v>
      </c>
    </row>
    <row r="384" spans="1:12" ht="38.25">
      <c r="A384" s="93">
        <v>383</v>
      </c>
      <c r="B384" s="122" t="s">
        <v>5754</v>
      </c>
      <c r="C384" s="101" t="s">
        <v>5787</v>
      </c>
      <c r="D384" s="100" t="s">
        <v>5279</v>
      </c>
      <c r="I384" s="103">
        <v>43244</v>
      </c>
      <c r="J384" s="96" t="s">
        <v>965</v>
      </c>
      <c r="K384" s="98">
        <f t="shared" si="5"/>
        <v>2018</v>
      </c>
      <c r="L384" s="99" t="s">
        <v>5354</v>
      </c>
    </row>
    <row r="385" spans="1:12" ht="38.25">
      <c r="A385" s="93">
        <v>384</v>
      </c>
      <c r="B385" s="122" t="s">
        <v>5754</v>
      </c>
      <c r="C385" s="101" t="s">
        <v>5788</v>
      </c>
      <c r="D385" s="100" t="s">
        <v>5279</v>
      </c>
      <c r="I385" s="103">
        <v>43244</v>
      </c>
      <c r="J385" s="96" t="s">
        <v>965</v>
      </c>
      <c r="K385" s="98">
        <f t="shared" si="5"/>
        <v>2018</v>
      </c>
      <c r="L385" s="99" t="s">
        <v>5354</v>
      </c>
    </row>
    <row r="386" spans="1:12" ht="38.25">
      <c r="A386" s="93">
        <v>385</v>
      </c>
      <c r="B386" s="122" t="s">
        <v>5754</v>
      </c>
      <c r="C386" s="101" t="s">
        <v>5789</v>
      </c>
      <c r="D386" s="100" t="s">
        <v>5516</v>
      </c>
      <c r="I386" s="103">
        <v>43245</v>
      </c>
      <c r="J386" s="96" t="s">
        <v>965</v>
      </c>
      <c r="K386" s="98">
        <f t="shared" si="5"/>
        <v>2018</v>
      </c>
      <c r="L386" s="99" t="s">
        <v>5354</v>
      </c>
    </row>
    <row r="387" spans="1:12" ht="76.5">
      <c r="A387" s="93">
        <v>386</v>
      </c>
      <c r="B387" s="122" t="s">
        <v>5754</v>
      </c>
      <c r="C387" s="101" t="s">
        <v>5790</v>
      </c>
      <c r="D387" s="100" t="s">
        <v>5279</v>
      </c>
      <c r="I387" s="103">
        <v>43236</v>
      </c>
      <c r="J387" s="96" t="s">
        <v>921</v>
      </c>
      <c r="K387" s="98">
        <f t="shared" ref="K387:K450" si="6">YEAR(I387)</f>
        <v>2018</v>
      </c>
      <c r="L387" s="99" t="s">
        <v>5354</v>
      </c>
    </row>
    <row r="388" spans="1:12" ht="51">
      <c r="A388" s="93">
        <v>387</v>
      </c>
      <c r="B388" s="122" t="s">
        <v>5754</v>
      </c>
      <c r="C388" s="101" t="s">
        <v>5791</v>
      </c>
      <c r="D388" s="100" t="s">
        <v>5299</v>
      </c>
      <c r="I388" s="103">
        <v>43236</v>
      </c>
      <c r="J388" s="96" t="s">
        <v>5792</v>
      </c>
      <c r="K388" s="98">
        <f t="shared" si="6"/>
        <v>2018</v>
      </c>
      <c r="L388" s="99" t="s">
        <v>5354</v>
      </c>
    </row>
    <row r="389" spans="1:12" ht="38.25">
      <c r="A389" s="93">
        <v>388</v>
      </c>
      <c r="B389" s="122" t="s">
        <v>5754</v>
      </c>
      <c r="C389" s="101" t="s">
        <v>5793</v>
      </c>
      <c r="D389" s="100" t="s">
        <v>5299</v>
      </c>
      <c r="I389" s="103">
        <v>43238</v>
      </c>
      <c r="J389" s="96" t="s">
        <v>934</v>
      </c>
      <c r="K389" s="98">
        <f t="shared" si="6"/>
        <v>2018</v>
      </c>
      <c r="L389" s="99" t="s">
        <v>5354</v>
      </c>
    </row>
    <row r="390" spans="1:12" ht="51">
      <c r="A390" s="93">
        <v>389</v>
      </c>
      <c r="B390" s="122" t="s">
        <v>5754</v>
      </c>
      <c r="C390" s="101" t="s">
        <v>5794</v>
      </c>
      <c r="D390" s="100" t="s">
        <v>5279</v>
      </c>
      <c r="I390" s="103">
        <v>43252</v>
      </c>
      <c r="J390" s="96" t="s">
        <v>994</v>
      </c>
      <c r="K390" s="98">
        <f t="shared" si="6"/>
        <v>2018</v>
      </c>
      <c r="L390" s="99" t="s">
        <v>5366</v>
      </c>
    </row>
    <row r="391" spans="1:12" ht="63.75">
      <c r="A391" s="93">
        <v>390</v>
      </c>
      <c r="B391" s="122" t="s">
        <v>5754</v>
      </c>
      <c r="C391" s="101" t="s">
        <v>5795</v>
      </c>
      <c r="D391" s="100" t="s">
        <v>5279</v>
      </c>
      <c r="I391" s="103">
        <v>43252</v>
      </c>
      <c r="J391" s="96" t="s">
        <v>994</v>
      </c>
      <c r="K391" s="98">
        <f t="shared" si="6"/>
        <v>2018</v>
      </c>
      <c r="L391" s="99" t="s">
        <v>5366</v>
      </c>
    </row>
    <row r="392" spans="1:12" ht="63.75">
      <c r="A392" s="93">
        <v>391</v>
      </c>
      <c r="B392" s="122" t="s">
        <v>5754</v>
      </c>
      <c r="C392" s="101" t="s">
        <v>5796</v>
      </c>
      <c r="D392" s="100" t="s">
        <v>5279</v>
      </c>
      <c r="I392" s="103">
        <v>43251</v>
      </c>
      <c r="J392" s="96" t="s">
        <v>994</v>
      </c>
      <c r="K392" s="98">
        <f t="shared" si="6"/>
        <v>2018</v>
      </c>
      <c r="L392" s="99" t="s">
        <v>5354</v>
      </c>
    </row>
    <row r="393" spans="1:12" ht="38.25">
      <c r="A393" s="93">
        <v>392</v>
      </c>
      <c r="B393" s="122" t="s">
        <v>5754</v>
      </c>
      <c r="C393" s="101" t="s">
        <v>5797</v>
      </c>
      <c r="D393" s="100" t="s">
        <v>5299</v>
      </c>
      <c r="I393" s="103">
        <v>43273</v>
      </c>
      <c r="J393" s="96" t="s">
        <v>965</v>
      </c>
      <c r="K393" s="98">
        <f t="shared" si="6"/>
        <v>2018</v>
      </c>
      <c r="L393" s="99" t="s">
        <v>5366</v>
      </c>
    </row>
    <row r="394" spans="1:12" ht="51">
      <c r="A394" s="93">
        <v>393</v>
      </c>
      <c r="B394" s="122" t="s">
        <v>5754</v>
      </c>
      <c r="C394" s="101" t="s">
        <v>5798</v>
      </c>
      <c r="D394" s="100" t="s">
        <v>5279</v>
      </c>
      <c r="I394" s="103">
        <v>43252</v>
      </c>
      <c r="J394" s="96" t="s">
        <v>942</v>
      </c>
      <c r="K394" s="98">
        <f t="shared" si="6"/>
        <v>2018</v>
      </c>
      <c r="L394" s="99" t="s">
        <v>5366</v>
      </c>
    </row>
    <row r="395" spans="1:12" ht="38.25">
      <c r="A395" s="93">
        <v>394</v>
      </c>
      <c r="B395" s="122" t="s">
        <v>5777</v>
      </c>
      <c r="C395" s="101" t="s">
        <v>5799</v>
      </c>
      <c r="D395" s="100" t="s">
        <v>5299</v>
      </c>
      <c r="I395" s="103">
        <v>43253</v>
      </c>
      <c r="J395" s="96" t="s">
        <v>994</v>
      </c>
      <c r="K395" s="98">
        <f t="shared" si="6"/>
        <v>2018</v>
      </c>
      <c r="L395" s="99" t="s">
        <v>5366</v>
      </c>
    </row>
    <row r="396" spans="1:12" ht="38.25">
      <c r="A396" s="93">
        <v>395</v>
      </c>
      <c r="B396" s="122" t="s">
        <v>5777</v>
      </c>
      <c r="C396" s="101" t="s">
        <v>5800</v>
      </c>
      <c r="D396" s="100" t="s">
        <v>5279</v>
      </c>
      <c r="I396" s="103">
        <v>43256</v>
      </c>
      <c r="J396" s="96" t="s">
        <v>942</v>
      </c>
      <c r="K396" s="98">
        <f t="shared" si="6"/>
        <v>2018</v>
      </c>
      <c r="L396" s="99" t="s">
        <v>5366</v>
      </c>
    </row>
    <row r="397" spans="1:12" ht="25.5">
      <c r="A397" s="93">
        <v>396</v>
      </c>
      <c r="B397" s="122" t="s">
        <v>5754</v>
      </c>
      <c r="C397" s="100" t="s">
        <v>5801</v>
      </c>
      <c r="D397" s="100" t="s">
        <v>5299</v>
      </c>
      <c r="I397" s="103">
        <v>43252</v>
      </c>
      <c r="J397" s="96" t="s">
        <v>942</v>
      </c>
      <c r="K397" s="98">
        <f t="shared" si="6"/>
        <v>2018</v>
      </c>
      <c r="L397" s="99" t="s">
        <v>5366</v>
      </c>
    </row>
    <row r="398" spans="1:12" ht="51">
      <c r="A398" s="93">
        <v>397</v>
      </c>
      <c r="B398" s="122" t="s">
        <v>5754</v>
      </c>
      <c r="C398" s="101" t="s">
        <v>5802</v>
      </c>
      <c r="D398" s="100" t="s">
        <v>5299</v>
      </c>
      <c r="I398" s="103">
        <v>43258</v>
      </c>
      <c r="J398" s="96" t="s">
        <v>942</v>
      </c>
      <c r="K398" s="98">
        <f t="shared" si="6"/>
        <v>2018</v>
      </c>
      <c r="L398" s="99" t="s">
        <v>5366</v>
      </c>
    </row>
    <row r="399" spans="1:12" ht="51">
      <c r="A399" s="93">
        <v>398</v>
      </c>
      <c r="B399" s="141" t="s">
        <v>5803</v>
      </c>
      <c r="C399" s="151" t="s">
        <v>5804</v>
      </c>
      <c r="D399" s="100" t="s">
        <v>5279</v>
      </c>
      <c r="I399" s="103">
        <v>43249</v>
      </c>
      <c r="J399" s="96" t="s">
        <v>989</v>
      </c>
      <c r="K399" s="98">
        <f t="shared" si="6"/>
        <v>2018</v>
      </c>
      <c r="L399" s="99" t="s">
        <v>5569</v>
      </c>
    </row>
    <row r="400" spans="1:12" ht="51">
      <c r="A400" s="93">
        <v>399</v>
      </c>
      <c r="B400" s="141" t="s">
        <v>5805</v>
      </c>
      <c r="C400" s="100" t="s">
        <v>5806</v>
      </c>
      <c r="D400" s="100" t="s">
        <v>5279</v>
      </c>
      <c r="I400" s="103">
        <v>43240</v>
      </c>
      <c r="J400" s="96" t="s">
        <v>974</v>
      </c>
      <c r="K400" s="98">
        <f t="shared" si="6"/>
        <v>2018</v>
      </c>
      <c r="L400" s="99" t="s">
        <v>5569</v>
      </c>
    </row>
    <row r="401" spans="1:12" ht="38.25">
      <c r="A401" s="93">
        <v>400</v>
      </c>
      <c r="B401" s="141" t="s">
        <v>5807</v>
      </c>
      <c r="C401" s="151" t="s">
        <v>5808</v>
      </c>
      <c r="D401" s="100" t="s">
        <v>5279</v>
      </c>
      <c r="I401" s="103">
        <v>43283</v>
      </c>
      <c r="J401" s="96" t="s">
        <v>892</v>
      </c>
      <c r="K401" s="98">
        <f t="shared" si="6"/>
        <v>2018</v>
      </c>
      <c r="L401" s="99" t="s">
        <v>5569</v>
      </c>
    </row>
    <row r="402" spans="1:12" ht="38.25">
      <c r="A402" s="93">
        <v>401</v>
      </c>
      <c r="B402" s="141" t="s">
        <v>5807</v>
      </c>
      <c r="C402" s="151" t="s">
        <v>5809</v>
      </c>
      <c r="D402" s="100" t="s">
        <v>5279</v>
      </c>
      <c r="I402" s="103">
        <v>43294</v>
      </c>
      <c r="J402" s="96" t="s">
        <v>947</v>
      </c>
      <c r="K402" s="98">
        <f t="shared" si="6"/>
        <v>2018</v>
      </c>
      <c r="L402" s="99" t="s">
        <v>5366</v>
      </c>
    </row>
    <row r="403" spans="1:12" ht="51">
      <c r="A403" s="93">
        <v>402</v>
      </c>
      <c r="B403" s="141" t="s">
        <v>5807</v>
      </c>
      <c r="C403" s="151" t="s">
        <v>5810</v>
      </c>
      <c r="D403" s="100" t="s">
        <v>5279</v>
      </c>
      <c r="I403" s="103">
        <v>43253</v>
      </c>
      <c r="J403" s="100" t="s">
        <v>999</v>
      </c>
      <c r="K403" s="98">
        <f t="shared" si="6"/>
        <v>2018</v>
      </c>
      <c r="L403" s="99" t="s">
        <v>5366</v>
      </c>
    </row>
    <row r="404" spans="1:12" ht="38.25">
      <c r="A404" s="93">
        <v>403</v>
      </c>
      <c r="B404" s="122" t="s">
        <v>5754</v>
      </c>
      <c r="C404" s="151" t="s">
        <v>5811</v>
      </c>
      <c r="D404" s="100" t="s">
        <v>5279</v>
      </c>
      <c r="I404" s="103">
        <v>43273</v>
      </c>
      <c r="J404" s="96" t="s">
        <v>965</v>
      </c>
      <c r="K404" s="98">
        <f t="shared" si="6"/>
        <v>2018</v>
      </c>
      <c r="L404" s="99" t="s">
        <v>5366</v>
      </c>
    </row>
    <row r="405" spans="1:12" ht="25.5">
      <c r="A405" s="93">
        <v>404</v>
      </c>
      <c r="B405" s="122" t="s">
        <v>5754</v>
      </c>
      <c r="C405" s="151" t="s">
        <v>5812</v>
      </c>
      <c r="D405" s="100" t="s">
        <v>5279</v>
      </c>
      <c r="I405" s="103">
        <v>43245</v>
      </c>
      <c r="J405" s="96" t="s">
        <v>965</v>
      </c>
      <c r="K405" s="98">
        <f t="shared" si="6"/>
        <v>2018</v>
      </c>
      <c r="L405" s="99" t="s">
        <v>5354</v>
      </c>
    </row>
    <row r="406" spans="1:12" ht="76.5">
      <c r="A406" s="93">
        <v>405</v>
      </c>
      <c r="B406" s="122" t="s">
        <v>5754</v>
      </c>
      <c r="C406" s="151" t="s">
        <v>5813</v>
      </c>
      <c r="D406" s="100" t="s">
        <v>5299</v>
      </c>
      <c r="I406" s="103">
        <v>43244</v>
      </c>
      <c r="J406" s="96" t="s">
        <v>965</v>
      </c>
      <c r="K406" s="98">
        <f t="shared" si="6"/>
        <v>2018</v>
      </c>
      <c r="L406" s="99" t="s">
        <v>5354</v>
      </c>
    </row>
    <row r="407" spans="1:12" ht="25.5">
      <c r="A407" s="93">
        <v>406</v>
      </c>
      <c r="B407" s="122" t="s">
        <v>5754</v>
      </c>
      <c r="C407" s="151" t="s">
        <v>5814</v>
      </c>
      <c r="D407" s="100" t="s">
        <v>5279</v>
      </c>
      <c r="I407" s="103">
        <v>43273</v>
      </c>
      <c r="J407" s="96" t="s">
        <v>965</v>
      </c>
      <c r="K407" s="98">
        <f t="shared" si="6"/>
        <v>2018</v>
      </c>
      <c r="L407" s="99" t="s">
        <v>5366</v>
      </c>
    </row>
    <row r="408" spans="1:12" ht="25.5">
      <c r="A408" s="93">
        <v>407</v>
      </c>
      <c r="B408" s="122" t="s">
        <v>5754</v>
      </c>
      <c r="C408" s="151" t="s">
        <v>5815</v>
      </c>
      <c r="D408" s="100" t="s">
        <v>5279</v>
      </c>
      <c r="I408" s="103">
        <v>43250</v>
      </c>
      <c r="J408" s="96" t="s">
        <v>965</v>
      </c>
      <c r="K408" s="98">
        <f t="shared" si="6"/>
        <v>2018</v>
      </c>
      <c r="L408" s="99" t="s">
        <v>5354</v>
      </c>
    </row>
    <row r="409" spans="1:12" ht="38.25">
      <c r="A409" s="93">
        <v>408</v>
      </c>
      <c r="B409" s="122" t="s">
        <v>5754</v>
      </c>
      <c r="C409" s="151" t="s">
        <v>5816</v>
      </c>
      <c r="D409" s="100" t="s">
        <v>5516</v>
      </c>
      <c r="I409" s="103">
        <v>43250</v>
      </c>
      <c r="J409" s="96" t="s">
        <v>965</v>
      </c>
      <c r="K409" s="98">
        <f t="shared" si="6"/>
        <v>2018</v>
      </c>
      <c r="L409" s="99" t="s">
        <v>5354</v>
      </c>
    </row>
    <row r="410" spans="1:12" ht="38.25">
      <c r="A410" s="93">
        <v>409</v>
      </c>
      <c r="B410" s="122" t="s">
        <v>5754</v>
      </c>
      <c r="C410" s="151" t="s">
        <v>5817</v>
      </c>
      <c r="D410" s="100" t="s">
        <v>5516</v>
      </c>
      <c r="I410" s="103">
        <v>43257</v>
      </c>
      <c r="J410" s="96" t="s">
        <v>965</v>
      </c>
      <c r="K410" s="98">
        <f t="shared" si="6"/>
        <v>2018</v>
      </c>
      <c r="L410" s="99" t="s">
        <v>5366</v>
      </c>
    </row>
    <row r="411" spans="1:12" ht="38.25">
      <c r="A411" s="93">
        <v>410</v>
      </c>
      <c r="B411" s="122" t="s">
        <v>5754</v>
      </c>
      <c r="C411" s="151" t="s">
        <v>5818</v>
      </c>
      <c r="D411" s="100" t="s">
        <v>5279</v>
      </c>
      <c r="I411" s="103">
        <v>43273</v>
      </c>
      <c r="J411" s="96" t="s">
        <v>965</v>
      </c>
      <c r="K411" s="98">
        <f t="shared" si="6"/>
        <v>2018</v>
      </c>
      <c r="L411" s="99" t="s">
        <v>5366</v>
      </c>
    </row>
    <row r="412" spans="1:12" ht="38.25">
      <c r="A412" s="93">
        <v>411</v>
      </c>
      <c r="B412" s="122" t="s">
        <v>5754</v>
      </c>
      <c r="C412" s="151" t="s">
        <v>5819</v>
      </c>
      <c r="D412" s="100" t="s">
        <v>5279</v>
      </c>
      <c r="I412" s="103">
        <v>43287</v>
      </c>
      <c r="J412" s="96" t="s">
        <v>965</v>
      </c>
      <c r="K412" s="98">
        <f t="shared" si="6"/>
        <v>2018</v>
      </c>
      <c r="L412" s="99" t="s">
        <v>5366</v>
      </c>
    </row>
    <row r="413" spans="1:12" ht="51">
      <c r="A413" s="93">
        <v>412</v>
      </c>
      <c r="B413" s="141" t="s">
        <v>5803</v>
      </c>
      <c r="C413" s="101" t="s">
        <v>5820</v>
      </c>
      <c r="D413" s="100" t="s">
        <v>5279</v>
      </c>
      <c r="I413" s="103">
        <v>43291</v>
      </c>
      <c r="J413" s="96" t="s">
        <v>897</v>
      </c>
      <c r="K413" s="98">
        <f t="shared" si="6"/>
        <v>2018</v>
      </c>
      <c r="L413" s="99" t="s">
        <v>5569</v>
      </c>
    </row>
    <row r="414" spans="1:12" ht="51">
      <c r="A414" s="93">
        <v>413</v>
      </c>
      <c r="B414" s="141" t="s">
        <v>5803</v>
      </c>
      <c r="C414" s="101" t="s">
        <v>5821</v>
      </c>
      <c r="D414" s="100" t="s">
        <v>5279</v>
      </c>
      <c r="I414" s="103">
        <v>39647</v>
      </c>
      <c r="J414" s="96" t="s">
        <v>911</v>
      </c>
      <c r="K414" s="98">
        <f t="shared" si="6"/>
        <v>2008</v>
      </c>
      <c r="L414" s="99" t="s">
        <v>5569</v>
      </c>
    </row>
    <row r="415" spans="1:12" ht="63.75">
      <c r="A415" s="93">
        <v>414</v>
      </c>
      <c r="B415" s="141" t="s">
        <v>5803</v>
      </c>
      <c r="C415" s="101" t="s">
        <v>5822</v>
      </c>
      <c r="D415" s="100" t="s">
        <v>5279</v>
      </c>
      <c r="I415" s="103">
        <v>43299</v>
      </c>
      <c r="J415" s="96" t="s">
        <v>989</v>
      </c>
      <c r="K415" s="98">
        <f t="shared" si="6"/>
        <v>2018</v>
      </c>
      <c r="L415" s="99" t="s">
        <v>5569</v>
      </c>
    </row>
    <row r="416" spans="1:12" ht="51">
      <c r="A416" s="93">
        <v>415</v>
      </c>
      <c r="B416" s="141" t="s">
        <v>5803</v>
      </c>
      <c r="C416" s="101" t="s">
        <v>5823</v>
      </c>
      <c r="D416" s="100" t="s">
        <v>5279</v>
      </c>
      <c r="I416" s="103">
        <v>43298</v>
      </c>
      <c r="J416" s="96" t="s">
        <v>911</v>
      </c>
      <c r="K416" s="98">
        <f t="shared" si="6"/>
        <v>2018</v>
      </c>
      <c r="L416" s="99" t="s">
        <v>5569</v>
      </c>
    </row>
    <row r="417" spans="1:12" ht="114.75">
      <c r="A417" s="93">
        <v>416</v>
      </c>
      <c r="B417" s="141" t="s">
        <v>5803</v>
      </c>
      <c r="C417" s="100" t="s">
        <v>5824</v>
      </c>
      <c r="D417" s="100" t="s">
        <v>5299</v>
      </c>
      <c r="I417" s="103">
        <v>43287</v>
      </c>
      <c r="J417" s="96" t="s">
        <v>5617</v>
      </c>
      <c r="K417" s="98">
        <f t="shared" si="6"/>
        <v>2018</v>
      </c>
      <c r="L417" s="99" t="s">
        <v>5569</v>
      </c>
    </row>
    <row r="418" spans="1:12" ht="63.75">
      <c r="A418" s="93">
        <v>417</v>
      </c>
      <c r="B418" s="141" t="s">
        <v>5803</v>
      </c>
      <c r="C418" s="101" t="s">
        <v>5825</v>
      </c>
      <c r="D418" s="100" t="s">
        <v>5279</v>
      </c>
      <c r="I418" s="103">
        <v>43284</v>
      </c>
      <c r="J418" s="96" t="s">
        <v>934</v>
      </c>
      <c r="K418" s="98">
        <f t="shared" si="6"/>
        <v>2018</v>
      </c>
      <c r="L418" s="99" t="s">
        <v>5569</v>
      </c>
    </row>
    <row r="419" spans="1:12" ht="63.75">
      <c r="A419" s="93">
        <v>418</v>
      </c>
      <c r="B419" s="141" t="s">
        <v>5803</v>
      </c>
      <c r="C419" s="101" t="s">
        <v>5826</v>
      </c>
      <c r="D419" s="100" t="s">
        <v>5279</v>
      </c>
      <c r="I419" s="103">
        <v>43290</v>
      </c>
      <c r="J419" s="96" t="s">
        <v>911</v>
      </c>
      <c r="K419" s="98">
        <f t="shared" si="6"/>
        <v>2018</v>
      </c>
      <c r="L419" s="99" t="s">
        <v>5569</v>
      </c>
    </row>
    <row r="420" spans="1:12" ht="51">
      <c r="A420" s="93">
        <v>419</v>
      </c>
      <c r="B420" s="141" t="s">
        <v>5803</v>
      </c>
      <c r="C420" s="101" t="s">
        <v>5827</v>
      </c>
      <c r="D420" s="100" t="s">
        <v>5279</v>
      </c>
      <c r="I420" s="103">
        <v>43302</v>
      </c>
      <c r="J420" s="96" t="s">
        <v>897</v>
      </c>
      <c r="K420" s="98">
        <f t="shared" si="6"/>
        <v>2018</v>
      </c>
      <c r="L420" s="99" t="s">
        <v>5569</v>
      </c>
    </row>
    <row r="421" spans="1:12" ht="63.75">
      <c r="A421" s="93">
        <v>420</v>
      </c>
      <c r="B421" s="122" t="s">
        <v>5754</v>
      </c>
      <c r="C421" s="151" t="s">
        <v>5828</v>
      </c>
      <c r="D421" s="100" t="s">
        <v>5279</v>
      </c>
      <c r="I421" s="103">
        <v>43301</v>
      </c>
      <c r="J421" s="96" t="s">
        <v>1003</v>
      </c>
      <c r="K421" s="98">
        <f t="shared" si="6"/>
        <v>2018</v>
      </c>
      <c r="L421" s="99" t="s">
        <v>5366</v>
      </c>
    </row>
    <row r="422" spans="1:12" ht="51">
      <c r="A422" s="93">
        <v>421</v>
      </c>
      <c r="B422" s="122" t="s">
        <v>5754</v>
      </c>
      <c r="C422" s="151" t="s">
        <v>5829</v>
      </c>
      <c r="D422" s="100" t="s">
        <v>5279</v>
      </c>
      <c r="I422" s="103">
        <v>43313</v>
      </c>
      <c r="J422" s="100" t="s">
        <v>951</v>
      </c>
      <c r="K422" s="98">
        <f t="shared" si="6"/>
        <v>2018</v>
      </c>
      <c r="L422" s="99" t="s">
        <v>5366</v>
      </c>
    </row>
    <row r="423" spans="1:12" ht="63.75">
      <c r="A423" s="93">
        <v>422</v>
      </c>
      <c r="B423" s="122" t="s">
        <v>5697</v>
      </c>
      <c r="C423" s="151" t="s">
        <v>5830</v>
      </c>
      <c r="D423" s="100" t="s">
        <v>5279</v>
      </c>
      <c r="I423" s="103">
        <v>43314</v>
      </c>
      <c r="J423" s="100" t="s">
        <v>951</v>
      </c>
      <c r="K423" s="98">
        <f t="shared" si="6"/>
        <v>2018</v>
      </c>
      <c r="L423" s="99" t="s">
        <v>5366</v>
      </c>
    </row>
    <row r="424" spans="1:12" ht="63.75">
      <c r="A424" s="93">
        <v>423</v>
      </c>
      <c r="B424" s="122" t="s">
        <v>5697</v>
      </c>
      <c r="C424" s="151" t="s">
        <v>5831</v>
      </c>
      <c r="D424" s="100" t="s">
        <v>5279</v>
      </c>
      <c r="I424" s="103">
        <v>43316</v>
      </c>
      <c r="J424" s="100" t="s">
        <v>951</v>
      </c>
      <c r="K424" s="98">
        <f t="shared" si="6"/>
        <v>2018</v>
      </c>
      <c r="L424" s="99" t="s">
        <v>5314</v>
      </c>
    </row>
    <row r="425" spans="1:12" ht="63.75">
      <c r="A425" s="93">
        <v>424</v>
      </c>
      <c r="B425" s="122" t="s">
        <v>5754</v>
      </c>
      <c r="C425" s="151" t="s">
        <v>5832</v>
      </c>
      <c r="D425" s="100" t="s">
        <v>5279</v>
      </c>
      <c r="I425" s="103">
        <v>43313</v>
      </c>
      <c r="J425" s="100" t="s">
        <v>951</v>
      </c>
      <c r="K425" s="98">
        <f t="shared" si="6"/>
        <v>2018</v>
      </c>
      <c r="L425" s="99" t="s">
        <v>5366</v>
      </c>
    </row>
    <row r="426" spans="1:12" ht="38.25">
      <c r="A426" s="93">
        <v>425</v>
      </c>
      <c r="B426" s="122" t="s">
        <v>5697</v>
      </c>
      <c r="C426" s="151" t="s">
        <v>5833</v>
      </c>
      <c r="D426" s="100" t="s">
        <v>5279</v>
      </c>
      <c r="I426" s="103">
        <v>43321</v>
      </c>
      <c r="J426" s="96" t="s">
        <v>862</v>
      </c>
      <c r="K426" s="98">
        <f t="shared" si="6"/>
        <v>2018</v>
      </c>
      <c r="L426" s="99" t="s">
        <v>5673</v>
      </c>
    </row>
    <row r="427" spans="1:12" ht="63.75">
      <c r="A427" s="93">
        <v>426</v>
      </c>
      <c r="B427" s="122" t="s">
        <v>5777</v>
      </c>
      <c r="C427" s="101" t="s">
        <v>5834</v>
      </c>
      <c r="D427" s="100" t="s">
        <v>5279</v>
      </c>
      <c r="I427" s="103">
        <v>43353</v>
      </c>
      <c r="J427" s="96" t="s">
        <v>989</v>
      </c>
      <c r="K427" s="98">
        <f t="shared" si="6"/>
        <v>2018</v>
      </c>
      <c r="L427" s="99" t="s">
        <v>5480</v>
      </c>
    </row>
    <row r="428" spans="1:12" ht="63.75">
      <c r="A428" s="93">
        <v>427</v>
      </c>
      <c r="B428" s="141" t="s">
        <v>5631</v>
      </c>
      <c r="C428" s="101" t="s">
        <v>5835</v>
      </c>
      <c r="D428" s="100" t="s">
        <v>5279</v>
      </c>
      <c r="I428" s="103">
        <v>43353</v>
      </c>
      <c r="J428" s="96" t="s">
        <v>844</v>
      </c>
      <c r="K428" s="98">
        <f t="shared" si="6"/>
        <v>2018</v>
      </c>
      <c r="L428" s="99" t="s">
        <v>5480</v>
      </c>
    </row>
    <row r="429" spans="1:12" ht="38.25">
      <c r="A429" s="93">
        <v>428</v>
      </c>
      <c r="B429" s="122" t="s">
        <v>5754</v>
      </c>
      <c r="C429" s="101" t="s">
        <v>5836</v>
      </c>
      <c r="D429" s="100" t="s">
        <v>5279</v>
      </c>
      <c r="I429" s="103">
        <v>43353</v>
      </c>
      <c r="J429" s="96" t="s">
        <v>5837</v>
      </c>
      <c r="K429" s="98">
        <f t="shared" si="6"/>
        <v>2018</v>
      </c>
      <c r="L429" s="99" t="s">
        <v>5280</v>
      </c>
    </row>
    <row r="430" spans="1:12" ht="63.75">
      <c r="A430" s="93">
        <v>429</v>
      </c>
      <c r="B430" s="122" t="s">
        <v>5754</v>
      </c>
      <c r="C430" s="101" t="s">
        <v>5838</v>
      </c>
      <c r="D430" s="100" t="s">
        <v>5279</v>
      </c>
      <c r="I430" s="103">
        <v>43361</v>
      </c>
      <c r="J430" s="96" t="s">
        <v>838</v>
      </c>
      <c r="K430" s="98">
        <f t="shared" si="6"/>
        <v>2018</v>
      </c>
      <c r="L430" s="99" t="s">
        <v>5314</v>
      </c>
    </row>
    <row r="431" spans="1:12" ht="38.25">
      <c r="A431" s="93">
        <v>430</v>
      </c>
      <c r="B431" s="122" t="s">
        <v>5754</v>
      </c>
      <c r="C431" s="101" t="s">
        <v>5839</v>
      </c>
      <c r="D431" s="100" t="s">
        <v>5279</v>
      </c>
      <c r="I431" s="103">
        <v>43405</v>
      </c>
      <c r="J431" s="96" t="s">
        <v>5840</v>
      </c>
      <c r="K431" s="98">
        <f t="shared" si="6"/>
        <v>2018</v>
      </c>
      <c r="L431" s="99" t="s">
        <v>5314</v>
      </c>
    </row>
    <row r="432" spans="1:12" ht="25.5">
      <c r="A432" s="93">
        <v>431</v>
      </c>
      <c r="B432" s="141" t="s">
        <v>5629</v>
      </c>
      <c r="C432" s="117" t="s">
        <v>5841</v>
      </c>
      <c r="D432" s="100" t="s">
        <v>5279</v>
      </c>
      <c r="I432" s="103">
        <v>43442</v>
      </c>
      <c r="J432" s="101" t="s">
        <v>738</v>
      </c>
      <c r="K432" s="98">
        <f t="shared" si="6"/>
        <v>2018</v>
      </c>
      <c r="L432" s="99" t="s">
        <v>5351</v>
      </c>
    </row>
    <row r="433" spans="1:12" ht="38.25">
      <c r="A433" s="93">
        <v>432</v>
      </c>
      <c r="B433" s="122" t="s">
        <v>5664</v>
      </c>
      <c r="C433" s="101" t="s">
        <v>5842</v>
      </c>
      <c r="D433" s="100" t="s">
        <v>5279</v>
      </c>
      <c r="I433" s="152">
        <v>43595</v>
      </c>
      <c r="J433" s="101" t="s">
        <v>911</v>
      </c>
      <c r="K433" s="98">
        <f t="shared" si="6"/>
        <v>2019</v>
      </c>
      <c r="L433" s="99" t="s">
        <v>5664</v>
      </c>
    </row>
    <row r="434" spans="1:12" ht="51">
      <c r="A434" s="93">
        <v>433</v>
      </c>
      <c r="B434" s="122" t="s">
        <v>5843</v>
      </c>
      <c r="C434" s="101" t="s">
        <v>5844</v>
      </c>
      <c r="D434" s="100" t="s">
        <v>5279</v>
      </c>
      <c r="I434" s="152">
        <v>43596</v>
      </c>
      <c r="J434" s="96" t="s">
        <v>885</v>
      </c>
      <c r="K434" s="98">
        <f t="shared" si="6"/>
        <v>2019</v>
      </c>
      <c r="L434" s="99" t="s">
        <v>5291</v>
      </c>
    </row>
    <row r="435" spans="1:12" ht="63.75">
      <c r="A435" s="93">
        <v>434</v>
      </c>
      <c r="B435" s="122" t="s">
        <v>5845</v>
      </c>
      <c r="C435" s="101" t="s">
        <v>5846</v>
      </c>
      <c r="D435" s="100" t="s">
        <v>5279</v>
      </c>
      <c r="I435" s="152">
        <v>43605</v>
      </c>
      <c r="J435" s="101" t="s">
        <v>989</v>
      </c>
      <c r="K435" s="98">
        <f t="shared" si="6"/>
        <v>2019</v>
      </c>
      <c r="L435" s="99" t="s">
        <v>5354</v>
      </c>
    </row>
    <row r="436" spans="1:12" ht="63.75">
      <c r="A436" s="93">
        <v>435</v>
      </c>
      <c r="B436" s="122" t="s">
        <v>5845</v>
      </c>
      <c r="C436" s="101" t="s">
        <v>5847</v>
      </c>
      <c r="D436" s="100" t="s">
        <v>5279</v>
      </c>
      <c r="I436" s="152">
        <v>43605</v>
      </c>
      <c r="J436" s="101" t="s">
        <v>911</v>
      </c>
      <c r="K436" s="98">
        <f t="shared" si="6"/>
        <v>2019</v>
      </c>
      <c r="L436" s="99" t="s">
        <v>5354</v>
      </c>
    </row>
    <row r="437" spans="1:12" ht="51">
      <c r="A437" s="93">
        <v>436</v>
      </c>
      <c r="B437" s="122" t="s">
        <v>5845</v>
      </c>
      <c r="C437" s="101" t="s">
        <v>5848</v>
      </c>
      <c r="D437" s="100" t="s">
        <v>5279</v>
      </c>
      <c r="I437" s="152">
        <v>43608</v>
      </c>
      <c r="J437" s="101" t="s">
        <v>965</v>
      </c>
      <c r="K437" s="98">
        <f t="shared" si="6"/>
        <v>2019</v>
      </c>
      <c r="L437" s="99" t="s">
        <v>5354</v>
      </c>
    </row>
    <row r="438" spans="1:12" ht="63.75">
      <c r="A438" s="93">
        <v>437</v>
      </c>
      <c r="B438" s="122" t="s">
        <v>5849</v>
      </c>
      <c r="C438" s="101" t="s">
        <v>5850</v>
      </c>
      <c r="D438" s="100" t="s">
        <v>5279</v>
      </c>
      <c r="I438" s="152">
        <v>43616</v>
      </c>
      <c r="J438" s="101" t="s">
        <v>960</v>
      </c>
      <c r="K438" s="98">
        <f t="shared" si="6"/>
        <v>2019</v>
      </c>
      <c r="L438" s="99" t="s">
        <v>5664</v>
      </c>
    </row>
    <row r="439" spans="1:12" ht="63.75">
      <c r="A439" s="93">
        <v>438</v>
      </c>
      <c r="B439" s="122" t="s">
        <v>5845</v>
      </c>
      <c r="C439" s="101" t="s">
        <v>5851</v>
      </c>
      <c r="D439" s="100" t="s">
        <v>5279</v>
      </c>
      <c r="I439" s="153">
        <v>43620</v>
      </c>
      <c r="J439" s="101" t="s">
        <v>942</v>
      </c>
      <c r="K439" s="98">
        <f t="shared" si="6"/>
        <v>2019</v>
      </c>
      <c r="L439" s="99" t="s">
        <v>5366</v>
      </c>
    </row>
    <row r="440" spans="1:12" ht="51">
      <c r="A440" s="93">
        <v>439</v>
      </c>
      <c r="B440" s="122" t="s">
        <v>5551</v>
      </c>
      <c r="C440" s="101" t="s">
        <v>5852</v>
      </c>
      <c r="D440" s="100" t="s">
        <v>5284</v>
      </c>
      <c r="I440" s="153">
        <v>43745</v>
      </c>
      <c r="J440" s="96" t="s">
        <v>925</v>
      </c>
      <c r="K440" s="98">
        <f t="shared" si="6"/>
        <v>2019</v>
      </c>
      <c r="L440" s="99" t="s">
        <v>5551</v>
      </c>
    </row>
    <row r="441" spans="1:12" ht="89.25">
      <c r="A441" s="93">
        <v>440</v>
      </c>
      <c r="B441" s="122" t="s">
        <v>5701</v>
      </c>
      <c r="C441" s="101" t="s">
        <v>5853</v>
      </c>
      <c r="D441" s="100" t="s">
        <v>5279</v>
      </c>
      <c r="I441" s="153">
        <v>43717</v>
      </c>
      <c r="J441" s="96" t="s">
        <v>885</v>
      </c>
      <c r="K441" s="98">
        <f t="shared" si="6"/>
        <v>2019</v>
      </c>
      <c r="L441" s="99" t="s">
        <v>5569</v>
      </c>
    </row>
    <row r="442" spans="1:12" ht="89.25">
      <c r="A442" s="93">
        <v>441</v>
      </c>
      <c r="B442" s="122" t="s">
        <v>5701</v>
      </c>
      <c r="C442" s="101" t="s">
        <v>5854</v>
      </c>
      <c r="D442" s="100" t="s">
        <v>5279</v>
      </c>
      <c r="I442" s="153">
        <v>43650</v>
      </c>
      <c r="J442" s="101" t="s">
        <v>930</v>
      </c>
      <c r="K442" s="98">
        <f t="shared" si="6"/>
        <v>2019</v>
      </c>
      <c r="L442" s="99" t="s">
        <v>5569</v>
      </c>
    </row>
    <row r="443" spans="1:12" ht="102">
      <c r="A443" s="93">
        <v>442</v>
      </c>
      <c r="B443" s="122" t="s">
        <v>5701</v>
      </c>
      <c r="C443" s="101" t="s">
        <v>5855</v>
      </c>
      <c r="D443" s="100" t="s">
        <v>5279</v>
      </c>
      <c r="I443" s="153">
        <v>43651</v>
      </c>
      <c r="J443" s="101" t="s">
        <v>930</v>
      </c>
      <c r="K443" s="98">
        <f>YEAR(I443)</f>
        <v>2019</v>
      </c>
      <c r="L443" s="99" t="s">
        <v>5569</v>
      </c>
    </row>
    <row r="444" spans="1:12" ht="63.75">
      <c r="A444" s="93">
        <v>443</v>
      </c>
      <c r="B444" s="122" t="s">
        <v>5701</v>
      </c>
      <c r="C444" s="101" t="s">
        <v>5856</v>
      </c>
      <c r="D444" s="100" t="s">
        <v>5516</v>
      </c>
      <c r="I444" s="153">
        <v>43727</v>
      </c>
      <c r="J444" s="101" t="s">
        <v>5857</v>
      </c>
      <c r="K444" s="98">
        <f t="shared" si="6"/>
        <v>2019</v>
      </c>
      <c r="L444" s="99" t="s">
        <v>5569</v>
      </c>
    </row>
    <row r="445" spans="1:12" ht="89.25">
      <c r="A445" s="93">
        <v>444</v>
      </c>
      <c r="B445" s="122" t="s">
        <v>5701</v>
      </c>
      <c r="C445" s="101" t="s">
        <v>5858</v>
      </c>
      <c r="D445" s="100" t="s">
        <v>5279</v>
      </c>
      <c r="I445" s="153">
        <v>43648</v>
      </c>
      <c r="J445" s="101" t="s">
        <v>994</v>
      </c>
      <c r="K445" s="98">
        <f t="shared" si="6"/>
        <v>2019</v>
      </c>
      <c r="L445" s="99" t="s">
        <v>5569</v>
      </c>
    </row>
    <row r="446" spans="1:12" ht="51">
      <c r="A446" s="93">
        <v>445</v>
      </c>
      <c r="B446" s="122" t="s">
        <v>5701</v>
      </c>
      <c r="C446" s="101" t="s">
        <v>5859</v>
      </c>
      <c r="D446" s="100" t="s">
        <v>5279</v>
      </c>
      <c r="I446" s="153">
        <v>43649</v>
      </c>
      <c r="J446" s="101" t="s">
        <v>822</v>
      </c>
      <c r="K446" s="98">
        <f t="shared" si="6"/>
        <v>2019</v>
      </c>
      <c r="L446" s="99" t="s">
        <v>5569</v>
      </c>
    </row>
    <row r="447" spans="1:12" ht="76.5">
      <c r="A447" s="93">
        <v>446</v>
      </c>
      <c r="B447" s="122" t="s">
        <v>5701</v>
      </c>
      <c r="C447" s="101" t="s">
        <v>5860</v>
      </c>
      <c r="D447" s="100" t="s">
        <v>5279</v>
      </c>
      <c r="I447" s="153">
        <v>43650</v>
      </c>
      <c r="J447" s="100" t="s">
        <v>822</v>
      </c>
      <c r="K447" s="98">
        <f t="shared" si="6"/>
        <v>2019</v>
      </c>
      <c r="L447" s="99" t="s">
        <v>5569</v>
      </c>
    </row>
    <row r="448" spans="1:12" ht="89.25">
      <c r="A448" s="93">
        <v>447</v>
      </c>
      <c r="B448" s="141" t="s">
        <v>5664</v>
      </c>
      <c r="C448" s="101" t="s">
        <v>5861</v>
      </c>
      <c r="D448" s="100" t="s">
        <v>5279</v>
      </c>
      <c r="I448" s="154">
        <v>43650</v>
      </c>
      <c r="J448" s="96" t="s">
        <v>969</v>
      </c>
      <c r="K448" s="98">
        <f t="shared" si="6"/>
        <v>2019</v>
      </c>
      <c r="L448" s="99" t="s">
        <v>5664</v>
      </c>
    </row>
    <row r="449" spans="1:12" ht="51">
      <c r="A449" s="93">
        <v>448</v>
      </c>
      <c r="B449" s="141" t="s">
        <v>5664</v>
      </c>
      <c r="C449" s="101" t="s">
        <v>5862</v>
      </c>
      <c r="D449" s="100" t="s">
        <v>5279</v>
      </c>
      <c r="I449" s="154">
        <v>43650</v>
      </c>
      <c r="J449" s="100" t="s">
        <v>954</v>
      </c>
      <c r="K449" s="98">
        <f t="shared" si="6"/>
        <v>2019</v>
      </c>
      <c r="L449" s="99" t="s">
        <v>5664</v>
      </c>
    </row>
    <row r="450" spans="1:12" ht="114.75">
      <c r="A450" s="93">
        <v>449</v>
      </c>
      <c r="B450" s="122" t="s">
        <v>5701</v>
      </c>
      <c r="C450" s="101" t="s">
        <v>5863</v>
      </c>
      <c r="D450" s="100" t="s">
        <v>5279</v>
      </c>
      <c r="I450" s="152">
        <v>43662</v>
      </c>
      <c r="J450" s="96" t="s">
        <v>892</v>
      </c>
      <c r="K450" s="98">
        <f t="shared" si="6"/>
        <v>2019</v>
      </c>
      <c r="L450" s="99" t="s">
        <v>5569</v>
      </c>
    </row>
    <row r="451" spans="1:12" ht="127.5">
      <c r="A451" s="93">
        <v>450</v>
      </c>
      <c r="B451" s="122" t="s">
        <v>5701</v>
      </c>
      <c r="C451" s="101" t="s">
        <v>5864</v>
      </c>
      <c r="D451" s="100" t="s">
        <v>5279</v>
      </c>
      <c r="I451" s="152">
        <v>43662</v>
      </c>
      <c r="J451" s="101" t="s">
        <v>5865</v>
      </c>
      <c r="K451" s="98">
        <f t="shared" ref="K451:K514" si="7">YEAR(I451)</f>
        <v>2019</v>
      </c>
      <c r="L451" s="99" t="s">
        <v>5569</v>
      </c>
    </row>
    <row r="452" spans="1:12" ht="63.75">
      <c r="A452" s="93">
        <v>451</v>
      </c>
      <c r="B452" s="122" t="s">
        <v>5701</v>
      </c>
      <c r="C452" s="101" t="s">
        <v>5866</v>
      </c>
      <c r="D452" s="100" t="s">
        <v>5279</v>
      </c>
      <c r="I452" s="152">
        <v>43663</v>
      </c>
      <c r="J452" s="96" t="s">
        <v>897</v>
      </c>
      <c r="K452" s="98">
        <f t="shared" si="7"/>
        <v>2019</v>
      </c>
      <c r="L452" s="99" t="s">
        <v>5569</v>
      </c>
    </row>
    <row r="453" spans="1:12" ht="89.25">
      <c r="A453" s="93">
        <v>452</v>
      </c>
      <c r="B453" s="122" t="s">
        <v>5701</v>
      </c>
      <c r="C453" s="101" t="s">
        <v>5867</v>
      </c>
      <c r="D453" s="100" t="s">
        <v>5279</v>
      </c>
      <c r="I453" s="152">
        <v>43662</v>
      </c>
      <c r="J453" s="96" t="s">
        <v>897</v>
      </c>
      <c r="K453" s="98">
        <f t="shared" si="7"/>
        <v>2019</v>
      </c>
      <c r="L453" s="99" t="s">
        <v>5569</v>
      </c>
    </row>
    <row r="454" spans="1:12" ht="63.75">
      <c r="A454" s="93">
        <v>453</v>
      </c>
      <c r="B454" s="122" t="s">
        <v>5701</v>
      </c>
      <c r="C454" s="101" t="s">
        <v>5868</v>
      </c>
      <c r="D454" s="100" t="s">
        <v>5279</v>
      </c>
      <c r="I454" s="152">
        <v>43671</v>
      </c>
      <c r="J454" s="101" t="s">
        <v>5865</v>
      </c>
      <c r="K454" s="98">
        <f t="shared" si="7"/>
        <v>2019</v>
      </c>
      <c r="L454" s="99" t="s">
        <v>5569</v>
      </c>
    </row>
    <row r="455" spans="1:12" ht="51">
      <c r="A455" s="93">
        <v>454</v>
      </c>
      <c r="B455" s="122" t="s">
        <v>5701</v>
      </c>
      <c r="C455" s="101" t="s">
        <v>5869</v>
      </c>
      <c r="D455" s="100" t="s">
        <v>5279</v>
      </c>
      <c r="I455" s="152">
        <v>43676</v>
      </c>
      <c r="J455" s="96" t="s">
        <v>969</v>
      </c>
      <c r="K455" s="98">
        <f t="shared" si="7"/>
        <v>2019</v>
      </c>
      <c r="L455" s="99" t="s">
        <v>5569</v>
      </c>
    </row>
    <row r="456" spans="1:12" ht="63.75">
      <c r="A456" s="93">
        <v>455</v>
      </c>
      <c r="B456" s="122" t="s">
        <v>5701</v>
      </c>
      <c r="C456" s="101" t="s">
        <v>5870</v>
      </c>
      <c r="D456" s="100" t="s">
        <v>5279</v>
      </c>
      <c r="I456" s="152">
        <v>43676</v>
      </c>
      <c r="J456" s="96" t="s">
        <v>1003</v>
      </c>
      <c r="K456" s="98">
        <f t="shared" si="7"/>
        <v>2019</v>
      </c>
      <c r="L456" s="99" t="s">
        <v>5569</v>
      </c>
    </row>
    <row r="457" spans="1:12" ht="102">
      <c r="A457" s="93">
        <v>456</v>
      </c>
      <c r="B457" s="122" t="s">
        <v>5701</v>
      </c>
      <c r="C457" s="101" t="s">
        <v>5871</v>
      </c>
      <c r="D457" s="101" t="s">
        <v>5299</v>
      </c>
      <c r="I457" s="152">
        <v>43678</v>
      </c>
      <c r="J457" s="96" t="s">
        <v>5617</v>
      </c>
      <c r="K457" s="98">
        <f t="shared" si="7"/>
        <v>2019</v>
      </c>
      <c r="L457" s="99" t="s">
        <v>5569</v>
      </c>
    </row>
    <row r="458" spans="1:12" ht="76.5">
      <c r="A458" s="93">
        <v>457</v>
      </c>
      <c r="B458" s="122" t="s">
        <v>5701</v>
      </c>
      <c r="C458" s="101" t="s">
        <v>5872</v>
      </c>
      <c r="D458" s="100" t="s">
        <v>5279</v>
      </c>
      <c r="I458" s="152">
        <v>43685</v>
      </c>
      <c r="J458" s="101" t="s">
        <v>938</v>
      </c>
      <c r="K458" s="98">
        <f t="shared" si="7"/>
        <v>2019</v>
      </c>
      <c r="L458" s="99" t="s">
        <v>5569</v>
      </c>
    </row>
    <row r="459" spans="1:12" ht="63.75">
      <c r="A459" s="93">
        <v>458</v>
      </c>
      <c r="B459" s="122" t="s">
        <v>5701</v>
      </c>
      <c r="C459" s="101" t="s">
        <v>5873</v>
      </c>
      <c r="D459" s="100" t="s">
        <v>5279</v>
      </c>
      <c r="I459" s="152">
        <v>43695</v>
      </c>
      <c r="J459" s="101" t="s">
        <v>965</v>
      </c>
      <c r="K459" s="98">
        <f t="shared" si="7"/>
        <v>2019</v>
      </c>
      <c r="L459" s="99" t="s">
        <v>5569</v>
      </c>
    </row>
    <row r="460" spans="1:12" ht="63.75">
      <c r="A460" s="93">
        <v>459</v>
      </c>
      <c r="B460" s="141" t="s">
        <v>5664</v>
      </c>
      <c r="C460" s="101" t="s">
        <v>5874</v>
      </c>
      <c r="D460" s="100" t="s">
        <v>5279</v>
      </c>
      <c r="I460" s="154">
        <v>43696</v>
      </c>
      <c r="J460" s="101" t="s">
        <v>974</v>
      </c>
      <c r="K460" s="98">
        <f t="shared" si="7"/>
        <v>2019</v>
      </c>
      <c r="L460" s="99" t="s">
        <v>5664</v>
      </c>
    </row>
    <row r="461" spans="1:12" ht="63.75">
      <c r="A461" s="93">
        <v>460</v>
      </c>
      <c r="B461" s="122" t="s">
        <v>5701</v>
      </c>
      <c r="C461" s="101" t="s">
        <v>5875</v>
      </c>
      <c r="D461" s="100" t="s">
        <v>5279</v>
      </c>
      <c r="I461" s="152">
        <v>43695</v>
      </c>
      <c r="J461" s="101" t="s">
        <v>965</v>
      </c>
      <c r="K461" s="98">
        <f t="shared" si="7"/>
        <v>2019</v>
      </c>
      <c r="L461" s="99" t="s">
        <v>5569</v>
      </c>
    </row>
    <row r="462" spans="1:12" ht="89.25">
      <c r="A462" s="93">
        <v>461</v>
      </c>
      <c r="B462" s="141" t="s">
        <v>5845</v>
      </c>
      <c r="C462" s="101" t="s">
        <v>5876</v>
      </c>
      <c r="D462" s="100" t="s">
        <v>5279</v>
      </c>
      <c r="I462" s="154">
        <v>43708</v>
      </c>
      <c r="J462" s="101" t="s">
        <v>738</v>
      </c>
      <c r="K462" s="98">
        <f t="shared" si="7"/>
        <v>2019</v>
      </c>
      <c r="L462" s="99" t="s">
        <v>5673</v>
      </c>
    </row>
    <row r="463" spans="1:12" ht="38.25">
      <c r="A463" s="93">
        <v>462</v>
      </c>
      <c r="B463" s="141" t="s">
        <v>5877</v>
      </c>
      <c r="C463" s="101" t="s">
        <v>5878</v>
      </c>
      <c r="D463" s="100" t="s">
        <v>5279</v>
      </c>
      <c r="I463" s="154">
        <v>43708</v>
      </c>
      <c r="J463" s="101" t="s">
        <v>814</v>
      </c>
      <c r="K463" s="98">
        <f t="shared" si="7"/>
        <v>2019</v>
      </c>
      <c r="L463" s="99" t="s">
        <v>5726</v>
      </c>
    </row>
    <row r="464" spans="1:12" ht="76.5">
      <c r="A464" s="93">
        <v>463</v>
      </c>
      <c r="B464" s="141" t="s">
        <v>5845</v>
      </c>
      <c r="C464" s="101" t="s">
        <v>5879</v>
      </c>
      <c r="D464" s="100" t="s">
        <v>5516</v>
      </c>
      <c r="I464" s="154">
        <v>43709</v>
      </c>
      <c r="J464" s="101" t="s">
        <v>738</v>
      </c>
      <c r="K464" s="98">
        <f t="shared" si="7"/>
        <v>2019</v>
      </c>
      <c r="L464" s="99" t="s">
        <v>5673</v>
      </c>
    </row>
    <row r="465" spans="1:12" ht="114.75">
      <c r="A465" s="93">
        <v>464</v>
      </c>
      <c r="B465" s="141" t="s">
        <v>5845</v>
      </c>
      <c r="C465" s="101" t="s">
        <v>5880</v>
      </c>
      <c r="D465" s="100" t="s">
        <v>5279</v>
      </c>
      <c r="I465" s="154">
        <v>43725</v>
      </c>
      <c r="J465" s="101" t="s">
        <v>5881</v>
      </c>
      <c r="K465" s="98">
        <f t="shared" si="7"/>
        <v>2019</v>
      </c>
      <c r="L465" s="99" t="s">
        <v>5366</v>
      </c>
    </row>
    <row r="466" spans="1:12" ht="76.5">
      <c r="A466" s="93">
        <v>465</v>
      </c>
      <c r="B466" s="141" t="s">
        <v>5845</v>
      </c>
      <c r="C466" s="101" t="s">
        <v>5882</v>
      </c>
      <c r="D466" s="100" t="s">
        <v>5279</v>
      </c>
      <c r="I466" s="154">
        <v>43727</v>
      </c>
      <c r="J466" s="101" t="s">
        <v>5881</v>
      </c>
      <c r="K466" s="98">
        <f t="shared" si="7"/>
        <v>2019</v>
      </c>
      <c r="L466" s="99" t="s">
        <v>5480</v>
      </c>
    </row>
    <row r="467" spans="1:12" ht="114.75">
      <c r="A467" s="93">
        <v>466</v>
      </c>
      <c r="B467" s="141" t="s">
        <v>5845</v>
      </c>
      <c r="C467" s="101" t="s">
        <v>5883</v>
      </c>
      <c r="D467" s="100" t="s">
        <v>5279</v>
      </c>
      <c r="I467" s="154">
        <v>43726</v>
      </c>
      <c r="J467" s="96" t="s">
        <v>989</v>
      </c>
      <c r="K467" s="98">
        <f t="shared" si="7"/>
        <v>2019</v>
      </c>
      <c r="L467" s="99" t="s">
        <v>5480</v>
      </c>
    </row>
    <row r="468" spans="1:12" ht="63.75">
      <c r="A468" s="93">
        <v>467</v>
      </c>
      <c r="B468" s="141" t="s">
        <v>5664</v>
      </c>
      <c r="C468" s="101" t="s">
        <v>5884</v>
      </c>
      <c r="D468" s="100" t="s">
        <v>5279</v>
      </c>
      <c r="I468" s="154">
        <v>43747</v>
      </c>
      <c r="J468" s="96" t="s">
        <v>838</v>
      </c>
      <c r="K468" s="98">
        <f t="shared" si="7"/>
        <v>2019</v>
      </c>
      <c r="L468" s="99" t="s">
        <v>5664</v>
      </c>
    </row>
    <row r="469" spans="1:12" ht="63.75">
      <c r="A469" s="93">
        <v>468</v>
      </c>
      <c r="B469" s="141" t="s">
        <v>5664</v>
      </c>
      <c r="C469" s="101" t="s">
        <v>5885</v>
      </c>
      <c r="D469" s="100" t="s">
        <v>5279</v>
      </c>
      <c r="I469" s="154">
        <v>43753</v>
      </c>
      <c r="J469" s="100" t="s">
        <v>822</v>
      </c>
      <c r="K469" s="98">
        <f t="shared" si="7"/>
        <v>2019</v>
      </c>
      <c r="L469" s="99" t="s">
        <v>5664</v>
      </c>
    </row>
    <row r="470" spans="1:12" ht="76.5">
      <c r="A470" s="93">
        <v>469</v>
      </c>
      <c r="B470" s="141" t="s">
        <v>5886</v>
      </c>
      <c r="C470" s="101" t="s">
        <v>5887</v>
      </c>
      <c r="D470" s="100" t="s">
        <v>5279</v>
      </c>
      <c r="I470" s="154">
        <v>43766</v>
      </c>
      <c r="J470" s="96" t="s">
        <v>862</v>
      </c>
      <c r="K470" s="98">
        <f t="shared" si="7"/>
        <v>2019</v>
      </c>
      <c r="L470" s="99" t="s">
        <v>5314</v>
      </c>
    </row>
    <row r="471" spans="1:12" ht="38.25">
      <c r="A471" s="93">
        <v>470</v>
      </c>
      <c r="B471" s="141" t="s">
        <v>5886</v>
      </c>
      <c r="C471" s="101" t="s">
        <v>5888</v>
      </c>
      <c r="D471" s="100" t="s">
        <v>5279</v>
      </c>
      <c r="I471" s="154">
        <v>43815</v>
      </c>
      <c r="J471" s="100" t="s">
        <v>951</v>
      </c>
      <c r="K471" s="98">
        <f t="shared" si="7"/>
        <v>2019</v>
      </c>
      <c r="L471" s="99" t="s">
        <v>5280</v>
      </c>
    </row>
    <row r="472" spans="1:12" ht="51">
      <c r="A472" s="93">
        <v>471</v>
      </c>
      <c r="B472" s="141" t="s">
        <v>5886</v>
      </c>
      <c r="C472" s="101" t="s">
        <v>5889</v>
      </c>
      <c r="D472" s="100" t="s">
        <v>5279</v>
      </c>
      <c r="I472" s="154">
        <v>43824</v>
      </c>
      <c r="J472" s="101" t="s">
        <v>5865</v>
      </c>
      <c r="K472" s="98">
        <f t="shared" si="7"/>
        <v>2019</v>
      </c>
      <c r="L472" s="99" t="s">
        <v>5291</v>
      </c>
    </row>
    <row r="473" spans="1:12" ht="63.75">
      <c r="A473" s="93">
        <v>472</v>
      </c>
      <c r="B473" s="122" t="s">
        <v>5701</v>
      </c>
      <c r="C473" s="101" t="s">
        <v>5890</v>
      </c>
      <c r="D473" s="100" t="s">
        <v>5279</v>
      </c>
      <c r="I473" s="152">
        <v>43628</v>
      </c>
      <c r="J473" s="96" t="s">
        <v>885</v>
      </c>
      <c r="K473" s="98">
        <f t="shared" si="7"/>
        <v>2019</v>
      </c>
      <c r="L473" s="99" t="s">
        <v>5569</v>
      </c>
    </row>
    <row r="474" spans="1:12" ht="89.25">
      <c r="A474" s="93">
        <v>473</v>
      </c>
      <c r="B474" s="122" t="s">
        <v>5701</v>
      </c>
      <c r="C474" s="101" t="s">
        <v>5891</v>
      </c>
      <c r="D474" s="100" t="s">
        <v>5279</v>
      </c>
      <c r="I474" s="152">
        <v>43640</v>
      </c>
      <c r="J474" s="101" t="s">
        <v>930</v>
      </c>
      <c r="K474" s="98">
        <f t="shared" si="7"/>
        <v>2019</v>
      </c>
      <c r="L474" s="99" t="s">
        <v>5569</v>
      </c>
    </row>
    <row r="475" spans="1:12" ht="89.25">
      <c r="A475" s="93">
        <v>474</v>
      </c>
      <c r="B475" s="122" t="s">
        <v>5701</v>
      </c>
      <c r="C475" s="101" t="s">
        <v>5892</v>
      </c>
      <c r="D475" s="100" t="s">
        <v>5279</v>
      </c>
      <c r="I475" s="152">
        <v>43641</v>
      </c>
      <c r="J475" s="101" t="s">
        <v>930</v>
      </c>
      <c r="K475" s="98">
        <f t="shared" si="7"/>
        <v>2019</v>
      </c>
      <c r="L475" s="99" t="s">
        <v>5569</v>
      </c>
    </row>
    <row r="476" spans="1:12" ht="38.25">
      <c r="A476" s="93">
        <v>475</v>
      </c>
      <c r="B476" s="122" t="s">
        <v>5701</v>
      </c>
      <c r="C476" s="101" t="s">
        <v>5893</v>
      </c>
      <c r="D476" s="120" t="s">
        <v>5516</v>
      </c>
      <c r="I476" s="152">
        <v>43641</v>
      </c>
      <c r="J476" s="101" t="s">
        <v>5857</v>
      </c>
      <c r="K476" s="98">
        <f t="shared" si="7"/>
        <v>2019</v>
      </c>
      <c r="L476" s="99" t="s">
        <v>5569</v>
      </c>
    </row>
    <row r="477" spans="1:12" ht="51">
      <c r="A477" s="93">
        <v>476</v>
      </c>
      <c r="B477" s="122" t="s">
        <v>5701</v>
      </c>
      <c r="C477" s="101" t="s">
        <v>5894</v>
      </c>
      <c r="D477" s="100" t="s">
        <v>5279</v>
      </c>
      <c r="I477" s="152">
        <v>43642</v>
      </c>
      <c r="J477" s="101" t="s">
        <v>994</v>
      </c>
      <c r="K477" s="98">
        <f t="shared" si="7"/>
        <v>2019</v>
      </c>
      <c r="L477" s="99" t="s">
        <v>5569</v>
      </c>
    </row>
    <row r="478" spans="1:12" ht="38.25">
      <c r="A478" s="93">
        <v>477</v>
      </c>
      <c r="B478" s="122" t="s">
        <v>5701</v>
      </c>
      <c r="C478" s="101" t="s">
        <v>5895</v>
      </c>
      <c r="D478" s="100" t="s">
        <v>5279</v>
      </c>
      <c r="I478" s="152">
        <v>43643</v>
      </c>
      <c r="J478" s="101" t="s">
        <v>822</v>
      </c>
      <c r="K478" s="98">
        <f t="shared" si="7"/>
        <v>2019</v>
      </c>
      <c r="L478" s="99" t="s">
        <v>5569</v>
      </c>
    </row>
    <row r="479" spans="1:12" ht="89.25">
      <c r="A479" s="93">
        <v>478</v>
      </c>
      <c r="B479" s="122" t="s">
        <v>5701</v>
      </c>
      <c r="C479" s="101" t="s">
        <v>5896</v>
      </c>
      <c r="D479" s="100" t="s">
        <v>5279</v>
      </c>
      <c r="I479" s="152">
        <v>43643</v>
      </c>
      <c r="J479" s="100" t="s">
        <v>822</v>
      </c>
      <c r="K479" s="98">
        <f t="shared" si="7"/>
        <v>2019</v>
      </c>
      <c r="L479" s="99" t="s">
        <v>5569</v>
      </c>
    </row>
    <row r="480" spans="1:12" ht="102">
      <c r="A480" s="93">
        <v>479</v>
      </c>
      <c r="B480" s="122" t="s">
        <v>5701</v>
      </c>
      <c r="C480" s="101" t="s">
        <v>5897</v>
      </c>
      <c r="D480" s="100" t="s">
        <v>5279</v>
      </c>
      <c r="I480" s="152">
        <v>43662</v>
      </c>
      <c r="J480" s="96" t="s">
        <v>892</v>
      </c>
      <c r="K480" s="98">
        <f t="shared" si="7"/>
        <v>2019</v>
      </c>
      <c r="L480" s="99" t="s">
        <v>5569</v>
      </c>
    </row>
    <row r="481" spans="1:12" ht="114.75">
      <c r="A481" s="93">
        <v>480</v>
      </c>
      <c r="B481" s="122" t="s">
        <v>5701</v>
      </c>
      <c r="C481" s="101" t="s">
        <v>5898</v>
      </c>
      <c r="D481" s="100" t="s">
        <v>5279</v>
      </c>
      <c r="I481" s="152">
        <v>43662</v>
      </c>
      <c r="J481" s="101" t="s">
        <v>5865</v>
      </c>
      <c r="K481" s="98">
        <f t="shared" si="7"/>
        <v>2019</v>
      </c>
      <c r="L481" s="99" t="s">
        <v>5569</v>
      </c>
    </row>
    <row r="482" spans="1:12" ht="38.25">
      <c r="A482" s="93">
        <v>481</v>
      </c>
      <c r="B482" s="122" t="s">
        <v>5701</v>
      </c>
      <c r="C482" s="101" t="s">
        <v>5899</v>
      </c>
      <c r="D482" s="100" t="s">
        <v>5279</v>
      </c>
      <c r="I482" s="152">
        <v>43663</v>
      </c>
      <c r="J482" s="96" t="s">
        <v>897</v>
      </c>
      <c r="K482" s="98">
        <f t="shared" si="7"/>
        <v>2019</v>
      </c>
      <c r="L482" s="99" t="s">
        <v>5569</v>
      </c>
    </row>
    <row r="483" spans="1:12" ht="51">
      <c r="A483" s="93">
        <v>482</v>
      </c>
      <c r="B483" s="122" t="s">
        <v>5701</v>
      </c>
      <c r="C483" s="101" t="s">
        <v>5900</v>
      </c>
      <c r="D483" s="100" t="s">
        <v>5279</v>
      </c>
      <c r="I483" s="152">
        <v>43662</v>
      </c>
      <c r="J483" s="96" t="s">
        <v>897</v>
      </c>
      <c r="K483" s="98">
        <f t="shared" si="7"/>
        <v>2019</v>
      </c>
      <c r="L483" s="99" t="s">
        <v>5569</v>
      </c>
    </row>
    <row r="484" spans="1:12" ht="38.25">
      <c r="A484" s="93">
        <v>483</v>
      </c>
      <c r="B484" s="122" t="s">
        <v>5701</v>
      </c>
      <c r="C484" s="101" t="s">
        <v>5901</v>
      </c>
      <c r="D484" s="100" t="s">
        <v>5279</v>
      </c>
      <c r="I484" s="152">
        <v>43671</v>
      </c>
      <c r="J484" s="101" t="s">
        <v>5865</v>
      </c>
      <c r="K484" s="98">
        <f t="shared" si="7"/>
        <v>2019</v>
      </c>
      <c r="L484" s="99" t="s">
        <v>5569</v>
      </c>
    </row>
    <row r="485" spans="1:12" ht="38.25">
      <c r="A485" s="93">
        <v>484</v>
      </c>
      <c r="B485" s="122" t="s">
        <v>5701</v>
      </c>
      <c r="C485" s="101" t="s">
        <v>5902</v>
      </c>
      <c r="D485" s="100" t="s">
        <v>5279</v>
      </c>
      <c r="I485" s="152">
        <v>43676</v>
      </c>
      <c r="J485" s="96" t="s">
        <v>969</v>
      </c>
      <c r="K485" s="98">
        <f t="shared" si="7"/>
        <v>2019</v>
      </c>
      <c r="L485" s="99" t="s">
        <v>5569</v>
      </c>
    </row>
    <row r="486" spans="1:12" ht="63.75">
      <c r="A486" s="93">
        <v>485</v>
      </c>
      <c r="B486" s="122" t="s">
        <v>5701</v>
      </c>
      <c r="C486" s="101" t="s">
        <v>5903</v>
      </c>
      <c r="D486" s="100" t="s">
        <v>5279</v>
      </c>
      <c r="I486" s="152">
        <v>43676</v>
      </c>
      <c r="J486" s="96" t="s">
        <v>1003</v>
      </c>
      <c r="K486" s="98">
        <f t="shared" si="7"/>
        <v>2019</v>
      </c>
      <c r="L486" s="99" t="s">
        <v>5569</v>
      </c>
    </row>
    <row r="487" spans="1:12" ht="63.75">
      <c r="A487" s="93">
        <v>486</v>
      </c>
      <c r="B487" s="122" t="s">
        <v>5701</v>
      </c>
      <c r="C487" s="101" t="s">
        <v>5904</v>
      </c>
      <c r="D487" s="100" t="s">
        <v>5279</v>
      </c>
      <c r="I487" s="152">
        <v>43678</v>
      </c>
      <c r="J487" s="96" t="s">
        <v>969</v>
      </c>
      <c r="K487" s="98">
        <f t="shared" si="7"/>
        <v>2019</v>
      </c>
      <c r="L487" s="99" t="s">
        <v>5569</v>
      </c>
    </row>
    <row r="488" spans="1:12" ht="38.25">
      <c r="A488" s="93">
        <v>487</v>
      </c>
      <c r="B488" s="122" t="s">
        <v>5701</v>
      </c>
      <c r="C488" s="101" t="s">
        <v>5905</v>
      </c>
      <c r="D488" s="100" t="s">
        <v>5279</v>
      </c>
      <c r="I488" s="152">
        <v>43685</v>
      </c>
      <c r="J488" s="101" t="s">
        <v>938</v>
      </c>
      <c r="K488" s="98">
        <f t="shared" si="7"/>
        <v>2019</v>
      </c>
      <c r="L488" s="99" t="s">
        <v>5569</v>
      </c>
    </row>
    <row r="489" spans="1:12" ht="25.5">
      <c r="A489" s="93">
        <v>488</v>
      </c>
      <c r="B489" s="122" t="s">
        <v>5701</v>
      </c>
      <c r="C489" s="101" t="s">
        <v>5906</v>
      </c>
      <c r="D489" s="100" t="s">
        <v>5279</v>
      </c>
      <c r="I489" s="152">
        <v>43695</v>
      </c>
      <c r="J489" s="101" t="s">
        <v>965</v>
      </c>
      <c r="K489" s="98">
        <f t="shared" si="7"/>
        <v>2019</v>
      </c>
      <c r="L489" s="99" t="s">
        <v>5569</v>
      </c>
    </row>
    <row r="490" spans="1:12" ht="38.25">
      <c r="A490" s="93">
        <v>489</v>
      </c>
      <c r="B490" s="122" t="s">
        <v>5701</v>
      </c>
      <c r="C490" s="101" t="s">
        <v>5907</v>
      </c>
      <c r="D490" s="100" t="s">
        <v>5279</v>
      </c>
      <c r="I490" s="152">
        <v>43695</v>
      </c>
      <c r="J490" s="101" t="s">
        <v>965</v>
      </c>
      <c r="K490" s="98">
        <f t="shared" si="7"/>
        <v>2019</v>
      </c>
      <c r="L490" s="99" t="s">
        <v>5569</v>
      </c>
    </row>
    <row r="491" spans="1:12" ht="25.5">
      <c r="A491" s="93">
        <v>490</v>
      </c>
      <c r="B491" s="122" t="s">
        <v>5908</v>
      </c>
      <c r="C491" s="101" t="s">
        <v>5909</v>
      </c>
      <c r="D491" s="100" t="s">
        <v>5284</v>
      </c>
      <c r="I491" s="152">
        <v>43521</v>
      </c>
      <c r="J491" s="101" t="s">
        <v>980</v>
      </c>
      <c r="K491" s="98">
        <f t="shared" si="7"/>
        <v>2019</v>
      </c>
      <c r="L491" s="99" t="s">
        <v>5538</v>
      </c>
    </row>
    <row r="492" spans="1:12" ht="25.5">
      <c r="A492" s="93">
        <v>491</v>
      </c>
      <c r="B492" s="155" t="s">
        <v>5910</v>
      </c>
      <c r="C492" s="152" t="s">
        <v>5911</v>
      </c>
      <c r="D492" s="100" t="s">
        <v>5279</v>
      </c>
      <c r="I492" s="152">
        <v>43924</v>
      </c>
      <c r="J492" s="152" t="s">
        <v>897</v>
      </c>
      <c r="K492" s="98">
        <f t="shared" si="7"/>
        <v>2020</v>
      </c>
      <c r="L492" s="99" t="s">
        <v>5354</v>
      </c>
    </row>
    <row r="493" spans="1:12" ht="25.5">
      <c r="A493" s="93">
        <v>492</v>
      </c>
      <c r="B493" s="155" t="s">
        <v>5910</v>
      </c>
      <c r="C493" s="101" t="s">
        <v>5912</v>
      </c>
      <c r="D493" s="100" t="s">
        <v>5279</v>
      </c>
      <c r="I493" s="152">
        <v>43961</v>
      </c>
      <c r="J493" s="96" t="s">
        <v>1003</v>
      </c>
      <c r="K493" s="98">
        <f t="shared" si="7"/>
        <v>2020</v>
      </c>
      <c r="L493" s="99" t="s">
        <v>5354</v>
      </c>
    </row>
    <row r="494" spans="1:12" ht="25.5">
      <c r="A494" s="93">
        <v>493</v>
      </c>
      <c r="B494" s="155" t="s">
        <v>5910</v>
      </c>
      <c r="C494" s="101" t="s">
        <v>5913</v>
      </c>
      <c r="D494" s="100" t="s">
        <v>5279</v>
      </c>
      <c r="I494" s="152">
        <v>43962</v>
      </c>
      <c r="J494" s="101" t="s">
        <v>974</v>
      </c>
      <c r="K494" s="98">
        <f t="shared" si="7"/>
        <v>2020</v>
      </c>
      <c r="L494" s="99" t="s">
        <v>5354</v>
      </c>
    </row>
    <row r="495" spans="1:12" ht="38.25">
      <c r="A495" s="93">
        <v>494</v>
      </c>
      <c r="B495" s="155" t="s">
        <v>5910</v>
      </c>
      <c r="C495" s="101" t="s">
        <v>5914</v>
      </c>
      <c r="D495" s="100" t="s">
        <v>5279</v>
      </c>
      <c r="I495" s="152">
        <v>43962</v>
      </c>
      <c r="J495" s="101" t="s">
        <v>974</v>
      </c>
      <c r="K495" s="98">
        <f t="shared" si="7"/>
        <v>2020</v>
      </c>
      <c r="L495" s="99" t="s">
        <v>5354</v>
      </c>
    </row>
    <row r="496" spans="1:12" ht="25.5">
      <c r="A496" s="93">
        <v>495</v>
      </c>
      <c r="B496" s="155" t="s">
        <v>5910</v>
      </c>
      <c r="C496" s="101" t="s">
        <v>5915</v>
      </c>
      <c r="D496" s="100" t="s">
        <v>5279</v>
      </c>
      <c r="I496" s="152">
        <v>43964</v>
      </c>
      <c r="J496" s="101" t="s">
        <v>738</v>
      </c>
      <c r="K496" s="98">
        <f t="shared" si="7"/>
        <v>2020</v>
      </c>
      <c r="L496" s="99" t="s">
        <v>5354</v>
      </c>
    </row>
    <row r="497" spans="1:12" ht="25.5">
      <c r="A497" s="93">
        <v>496</v>
      </c>
      <c r="B497" s="155" t="s">
        <v>5910</v>
      </c>
      <c r="C497" s="101" t="s">
        <v>5916</v>
      </c>
      <c r="D497" s="100" t="s">
        <v>5279</v>
      </c>
      <c r="I497" s="152">
        <v>43964</v>
      </c>
      <c r="J497" s="101" t="s">
        <v>814</v>
      </c>
      <c r="K497" s="98">
        <f t="shared" si="7"/>
        <v>2020</v>
      </c>
      <c r="L497" s="99" t="s">
        <v>5354</v>
      </c>
    </row>
    <row r="498" spans="1:12" ht="25.5">
      <c r="A498" s="93">
        <v>497</v>
      </c>
      <c r="B498" s="155" t="s">
        <v>5910</v>
      </c>
      <c r="C498" s="101" t="s">
        <v>5917</v>
      </c>
      <c r="D498" s="100" t="s">
        <v>5279</v>
      </c>
      <c r="I498" s="152">
        <v>43964</v>
      </c>
      <c r="J498" s="101" t="s">
        <v>921</v>
      </c>
      <c r="K498" s="98">
        <f t="shared" si="7"/>
        <v>2020</v>
      </c>
      <c r="L498" s="99" t="s">
        <v>5354</v>
      </c>
    </row>
    <row r="499" spans="1:12" ht="25.5">
      <c r="A499" s="93">
        <v>498</v>
      </c>
      <c r="B499" s="155" t="s">
        <v>5910</v>
      </c>
      <c r="C499" s="101" t="s">
        <v>5918</v>
      </c>
      <c r="D499" s="100" t="s">
        <v>5279</v>
      </c>
      <c r="I499" s="152">
        <v>43964</v>
      </c>
      <c r="J499" s="101" t="s">
        <v>921</v>
      </c>
      <c r="K499" s="98">
        <f t="shared" si="7"/>
        <v>2020</v>
      </c>
      <c r="L499" s="99" t="s">
        <v>5354</v>
      </c>
    </row>
    <row r="500" spans="1:12" ht="25.5">
      <c r="A500" s="93">
        <v>499</v>
      </c>
      <c r="B500" s="155" t="s">
        <v>5910</v>
      </c>
      <c r="C500" s="101" t="s">
        <v>5919</v>
      </c>
      <c r="D500" s="100" t="s">
        <v>5279</v>
      </c>
      <c r="I500" s="152">
        <v>43965</v>
      </c>
      <c r="J500" s="101" t="s">
        <v>985</v>
      </c>
      <c r="K500" s="98">
        <f t="shared" si="7"/>
        <v>2020</v>
      </c>
      <c r="L500" s="99" t="s">
        <v>5354</v>
      </c>
    </row>
    <row r="501" spans="1:12" ht="25.5">
      <c r="A501" s="93">
        <v>500</v>
      </c>
      <c r="B501" s="155" t="s">
        <v>5910</v>
      </c>
      <c r="C501" s="101" t="s">
        <v>5920</v>
      </c>
      <c r="D501" s="100" t="s">
        <v>5279</v>
      </c>
      <c r="I501" s="152">
        <v>43967</v>
      </c>
      <c r="J501" s="101" t="s">
        <v>934</v>
      </c>
      <c r="K501" s="98">
        <f t="shared" si="7"/>
        <v>2020</v>
      </c>
      <c r="L501" s="99" t="s">
        <v>5354</v>
      </c>
    </row>
    <row r="502" spans="1:12" ht="25.5">
      <c r="A502" s="93">
        <v>501</v>
      </c>
      <c r="B502" s="155" t="s">
        <v>5910</v>
      </c>
      <c r="C502" s="101" t="s">
        <v>5921</v>
      </c>
      <c r="D502" s="100" t="s">
        <v>5279</v>
      </c>
      <c r="I502" s="152">
        <v>43969</v>
      </c>
      <c r="J502" s="101" t="s">
        <v>985</v>
      </c>
      <c r="K502" s="98">
        <f t="shared" si="7"/>
        <v>2020</v>
      </c>
      <c r="L502" s="99" t="s">
        <v>5354</v>
      </c>
    </row>
    <row r="503" spans="1:12" ht="25.5">
      <c r="A503" s="93">
        <v>502</v>
      </c>
      <c r="B503" s="155" t="s">
        <v>5910</v>
      </c>
      <c r="C503" s="101" t="s">
        <v>5922</v>
      </c>
      <c r="D503" s="100" t="s">
        <v>5279</v>
      </c>
      <c r="I503" s="152">
        <v>43969</v>
      </c>
      <c r="J503" s="101" t="s">
        <v>985</v>
      </c>
      <c r="K503" s="98">
        <f t="shared" si="7"/>
        <v>2020</v>
      </c>
      <c r="L503" s="99" t="s">
        <v>5354</v>
      </c>
    </row>
    <row r="504" spans="1:12" ht="25.5">
      <c r="A504" s="93">
        <v>503</v>
      </c>
      <c r="B504" s="155" t="s">
        <v>5910</v>
      </c>
      <c r="C504" s="101" t="s">
        <v>5923</v>
      </c>
      <c r="D504" s="100" t="s">
        <v>5279</v>
      </c>
      <c r="I504" s="152">
        <v>43969</v>
      </c>
      <c r="J504" s="101" t="s">
        <v>985</v>
      </c>
      <c r="K504" s="98">
        <f t="shared" si="7"/>
        <v>2020</v>
      </c>
      <c r="L504" s="99" t="s">
        <v>5354</v>
      </c>
    </row>
    <row r="505" spans="1:12" ht="25.5">
      <c r="A505" s="93">
        <v>504</v>
      </c>
      <c r="B505" s="155" t="s">
        <v>5910</v>
      </c>
      <c r="C505" s="101" t="s">
        <v>5924</v>
      </c>
      <c r="D505" s="100" t="s">
        <v>5279</v>
      </c>
      <c r="I505" s="152">
        <v>43969</v>
      </c>
      <c r="J505" s="101" t="s">
        <v>985</v>
      </c>
      <c r="K505" s="98">
        <f t="shared" si="7"/>
        <v>2020</v>
      </c>
      <c r="L505" s="99" t="s">
        <v>5354</v>
      </c>
    </row>
    <row r="506" spans="1:12" ht="25.5">
      <c r="A506" s="93">
        <v>505</v>
      </c>
      <c r="B506" s="155" t="s">
        <v>5925</v>
      </c>
      <c r="C506" s="152" t="s">
        <v>5926</v>
      </c>
      <c r="D506" s="153" t="s">
        <v>5279</v>
      </c>
      <c r="I506" s="152">
        <v>43969</v>
      </c>
      <c r="J506" s="152" t="s">
        <v>897</v>
      </c>
      <c r="K506" s="98">
        <f t="shared" si="7"/>
        <v>2020</v>
      </c>
      <c r="L506" s="99" t="s">
        <v>5480</v>
      </c>
    </row>
    <row r="507" spans="1:12" ht="25.5">
      <c r="A507" s="93">
        <v>506</v>
      </c>
      <c r="B507" s="155" t="s">
        <v>5910</v>
      </c>
      <c r="C507" s="101" t="s">
        <v>5927</v>
      </c>
      <c r="D507" s="100" t="s">
        <v>5279</v>
      </c>
      <c r="I507" s="152">
        <v>43971</v>
      </c>
      <c r="J507" s="101" t="s">
        <v>985</v>
      </c>
      <c r="K507" s="98">
        <f t="shared" si="7"/>
        <v>2020</v>
      </c>
      <c r="L507" s="99" t="s">
        <v>5354</v>
      </c>
    </row>
    <row r="508" spans="1:12" ht="25.5">
      <c r="A508" s="93">
        <v>507</v>
      </c>
      <c r="B508" s="155" t="s">
        <v>5910</v>
      </c>
      <c r="C508" s="101" t="s">
        <v>5928</v>
      </c>
      <c r="D508" s="100" t="s">
        <v>5279</v>
      </c>
      <c r="I508" s="152">
        <v>43971</v>
      </c>
      <c r="J508" s="101" t="s">
        <v>985</v>
      </c>
      <c r="K508" s="98">
        <f t="shared" si="7"/>
        <v>2020</v>
      </c>
      <c r="L508" s="99" t="s">
        <v>5354</v>
      </c>
    </row>
    <row r="509" spans="1:12" ht="25.5">
      <c r="A509" s="93">
        <v>508</v>
      </c>
      <c r="B509" s="155" t="s">
        <v>5910</v>
      </c>
      <c r="C509" s="101" t="s">
        <v>5929</v>
      </c>
      <c r="D509" s="100" t="s">
        <v>5279</v>
      </c>
      <c r="I509" s="152">
        <v>43972</v>
      </c>
      <c r="J509" s="101" t="s">
        <v>965</v>
      </c>
      <c r="K509" s="98">
        <f t="shared" si="7"/>
        <v>2020</v>
      </c>
      <c r="L509" s="99" t="s">
        <v>5354</v>
      </c>
    </row>
    <row r="510" spans="1:12" ht="25.5">
      <c r="A510" s="93">
        <v>509</v>
      </c>
      <c r="B510" s="155" t="s">
        <v>5910</v>
      </c>
      <c r="C510" s="101" t="s">
        <v>5930</v>
      </c>
      <c r="D510" s="100" t="s">
        <v>5279</v>
      </c>
      <c r="I510" s="152">
        <v>43972</v>
      </c>
      <c r="J510" s="101" t="s">
        <v>930</v>
      </c>
      <c r="K510" s="98">
        <f t="shared" si="7"/>
        <v>2020</v>
      </c>
      <c r="L510" s="99" t="s">
        <v>5354</v>
      </c>
    </row>
    <row r="511" spans="1:12" ht="25.5">
      <c r="A511" s="93">
        <v>510</v>
      </c>
      <c r="B511" s="155" t="s">
        <v>5910</v>
      </c>
      <c r="C511" s="101" t="s">
        <v>5931</v>
      </c>
      <c r="D511" s="100" t="s">
        <v>5279</v>
      </c>
      <c r="I511" s="152">
        <v>43972</v>
      </c>
      <c r="J511" s="101" t="s">
        <v>965</v>
      </c>
      <c r="K511" s="98">
        <f t="shared" si="7"/>
        <v>2020</v>
      </c>
      <c r="L511" s="99" t="s">
        <v>5354</v>
      </c>
    </row>
    <row r="512" spans="1:12" ht="25.5">
      <c r="A512" s="93">
        <v>511</v>
      </c>
      <c r="B512" s="122" t="s">
        <v>5932</v>
      </c>
      <c r="C512" s="101" t="s">
        <v>5933</v>
      </c>
      <c r="D512" s="100" t="s">
        <v>5279</v>
      </c>
      <c r="I512" s="152">
        <v>44002</v>
      </c>
      <c r="J512" s="101" t="s">
        <v>822</v>
      </c>
      <c r="K512" s="98">
        <f t="shared" si="7"/>
        <v>2020</v>
      </c>
      <c r="L512" s="99" t="s">
        <v>5569</v>
      </c>
    </row>
    <row r="513" spans="1:12" ht="25.5">
      <c r="A513" s="93">
        <v>512</v>
      </c>
      <c r="B513" s="122" t="s">
        <v>5932</v>
      </c>
      <c r="C513" s="101" t="s">
        <v>5934</v>
      </c>
      <c r="D513" s="100" t="s">
        <v>5279</v>
      </c>
      <c r="I513" s="154">
        <v>44005</v>
      </c>
      <c r="J513" s="101" t="s">
        <v>1008</v>
      </c>
      <c r="K513" s="98">
        <f t="shared" si="7"/>
        <v>2020</v>
      </c>
      <c r="L513" s="99" t="s">
        <v>5569</v>
      </c>
    </row>
    <row r="514" spans="1:12" ht="25.5">
      <c r="A514" s="93">
        <v>513</v>
      </c>
      <c r="B514" s="122" t="s">
        <v>5932</v>
      </c>
      <c r="C514" s="101" t="s">
        <v>5935</v>
      </c>
      <c r="D514" s="100" t="s">
        <v>5279</v>
      </c>
      <c r="I514" s="154">
        <v>44007</v>
      </c>
      <c r="J514" s="101" t="s">
        <v>942</v>
      </c>
      <c r="K514" s="98">
        <f t="shared" si="7"/>
        <v>2020</v>
      </c>
      <c r="L514" s="99" t="s">
        <v>5569</v>
      </c>
    </row>
    <row r="515" spans="1:12" ht="25.5">
      <c r="A515" s="93">
        <v>514</v>
      </c>
      <c r="B515" s="122" t="s">
        <v>5932</v>
      </c>
      <c r="C515" s="101" t="s">
        <v>5936</v>
      </c>
      <c r="D515" s="100" t="s">
        <v>5279</v>
      </c>
      <c r="I515" s="154">
        <v>44008</v>
      </c>
      <c r="J515" s="101" t="s">
        <v>1008</v>
      </c>
      <c r="K515" s="98">
        <f t="shared" ref="K515:K578" si="8">YEAR(I515)</f>
        <v>2020</v>
      </c>
      <c r="L515" s="99" t="s">
        <v>5569</v>
      </c>
    </row>
    <row r="516" spans="1:12" ht="25.5">
      <c r="A516" s="93">
        <v>515</v>
      </c>
      <c r="B516" s="122" t="s">
        <v>5932</v>
      </c>
      <c r="C516" s="101" t="s">
        <v>5937</v>
      </c>
      <c r="D516" s="100" t="s">
        <v>5279</v>
      </c>
      <c r="I516" s="154">
        <v>44013</v>
      </c>
      <c r="J516" s="101" t="s">
        <v>885</v>
      </c>
      <c r="K516" s="98">
        <f t="shared" si="8"/>
        <v>2020</v>
      </c>
      <c r="L516" s="99" t="s">
        <v>5569</v>
      </c>
    </row>
    <row r="517" spans="1:12" ht="25.5">
      <c r="A517" s="93">
        <v>516</v>
      </c>
      <c r="B517" s="122" t="s">
        <v>5932</v>
      </c>
      <c r="C517" s="101" t="s">
        <v>5938</v>
      </c>
      <c r="D517" s="100" t="s">
        <v>5279</v>
      </c>
      <c r="I517" s="152">
        <v>44014</v>
      </c>
      <c r="J517" s="101" t="s">
        <v>965</v>
      </c>
      <c r="K517" s="98">
        <f t="shared" si="8"/>
        <v>2020</v>
      </c>
      <c r="L517" s="99" t="s">
        <v>5569</v>
      </c>
    </row>
    <row r="518" spans="1:12">
      <c r="A518" s="93">
        <v>517</v>
      </c>
      <c r="B518" s="122" t="s">
        <v>5932</v>
      </c>
      <c r="C518" s="101" t="s">
        <v>5939</v>
      </c>
      <c r="D518" s="100" t="s">
        <v>5299</v>
      </c>
      <c r="I518" s="152">
        <v>44014</v>
      </c>
      <c r="J518" s="96" t="s">
        <v>5617</v>
      </c>
      <c r="K518" s="98">
        <f t="shared" si="8"/>
        <v>2020</v>
      </c>
      <c r="L518" s="99" t="s">
        <v>5569</v>
      </c>
    </row>
    <row r="519" spans="1:12">
      <c r="A519" s="93">
        <v>518</v>
      </c>
      <c r="B519" s="122" t="s">
        <v>5932</v>
      </c>
      <c r="C519" s="101" t="s">
        <v>5940</v>
      </c>
      <c r="D519" s="100" t="s">
        <v>5279</v>
      </c>
      <c r="I519" s="152">
        <v>44014</v>
      </c>
      <c r="J519" s="101" t="s">
        <v>989</v>
      </c>
      <c r="K519" s="98">
        <f t="shared" si="8"/>
        <v>2020</v>
      </c>
      <c r="L519" s="99" t="s">
        <v>5569</v>
      </c>
    </row>
    <row r="520" spans="1:12" ht="25.5">
      <c r="A520" s="93">
        <v>519</v>
      </c>
      <c r="B520" s="122" t="s">
        <v>5932</v>
      </c>
      <c r="C520" s="101" t="s">
        <v>5941</v>
      </c>
      <c r="D520" s="100" t="s">
        <v>5279</v>
      </c>
      <c r="I520" s="152">
        <v>44014</v>
      </c>
      <c r="J520" s="101" t="s">
        <v>965</v>
      </c>
      <c r="K520" s="98">
        <f t="shared" si="8"/>
        <v>2020</v>
      </c>
      <c r="L520" s="99" t="s">
        <v>5569</v>
      </c>
    </row>
    <row r="521" spans="1:12" ht="25.5">
      <c r="A521" s="93">
        <v>520</v>
      </c>
      <c r="B521" s="122" t="s">
        <v>5932</v>
      </c>
      <c r="C521" s="101" t="s">
        <v>5942</v>
      </c>
      <c r="D521" s="100" t="s">
        <v>5279</v>
      </c>
      <c r="I521" s="152">
        <v>44015</v>
      </c>
      <c r="J521" s="101" t="s">
        <v>885</v>
      </c>
      <c r="K521" s="98">
        <f t="shared" si="8"/>
        <v>2020</v>
      </c>
      <c r="L521" s="99" t="s">
        <v>5569</v>
      </c>
    </row>
    <row r="522" spans="1:12" ht="25.5">
      <c r="A522" s="93">
        <v>521</v>
      </c>
      <c r="B522" s="122" t="s">
        <v>5932</v>
      </c>
      <c r="C522" s="101" t="s">
        <v>5943</v>
      </c>
      <c r="D522" s="100" t="s">
        <v>5279</v>
      </c>
      <c r="I522" s="152">
        <v>44015</v>
      </c>
      <c r="J522" s="100" t="s">
        <v>999</v>
      </c>
      <c r="K522" s="98">
        <f t="shared" si="8"/>
        <v>2020</v>
      </c>
      <c r="L522" s="99" t="s">
        <v>5569</v>
      </c>
    </row>
    <row r="523" spans="1:12">
      <c r="A523" s="93">
        <v>522</v>
      </c>
      <c r="B523" s="122" t="s">
        <v>5932</v>
      </c>
      <c r="C523" s="101" t="s">
        <v>5944</v>
      </c>
      <c r="D523" s="100" t="s">
        <v>5279</v>
      </c>
      <c r="I523" s="154">
        <v>44019</v>
      </c>
      <c r="J523" s="101" t="s">
        <v>930</v>
      </c>
      <c r="K523" s="98">
        <f t="shared" si="8"/>
        <v>2020</v>
      </c>
      <c r="L523" s="99" t="s">
        <v>5569</v>
      </c>
    </row>
    <row r="524" spans="1:12" ht="25.5">
      <c r="A524" s="93">
        <v>523</v>
      </c>
      <c r="B524" s="122" t="s">
        <v>5945</v>
      </c>
      <c r="C524" s="101" t="s">
        <v>5946</v>
      </c>
      <c r="D524" s="100" t="s">
        <v>5279</v>
      </c>
      <c r="I524" s="154">
        <v>44024</v>
      </c>
      <c r="J524" s="101" t="s">
        <v>917</v>
      </c>
      <c r="K524" s="98">
        <f t="shared" si="8"/>
        <v>2020</v>
      </c>
      <c r="L524" s="99" t="s">
        <v>5480</v>
      </c>
    </row>
    <row r="525" spans="1:12">
      <c r="A525" s="93">
        <v>524</v>
      </c>
      <c r="B525" s="122" t="s">
        <v>5932</v>
      </c>
      <c r="C525" s="120" t="s">
        <v>5947</v>
      </c>
      <c r="D525" s="100" t="s">
        <v>5279</v>
      </c>
      <c r="I525" s="154">
        <v>44027</v>
      </c>
      <c r="J525" s="101" t="s">
        <v>985</v>
      </c>
      <c r="K525" s="98">
        <f t="shared" si="8"/>
        <v>2020</v>
      </c>
      <c r="L525" s="99" t="s">
        <v>5569</v>
      </c>
    </row>
    <row r="526" spans="1:12">
      <c r="A526" s="93">
        <v>525</v>
      </c>
      <c r="B526" s="122" t="s">
        <v>5932</v>
      </c>
      <c r="C526" s="120" t="s">
        <v>5948</v>
      </c>
      <c r="D526" s="100" t="s">
        <v>5279</v>
      </c>
      <c r="I526" s="154">
        <v>44030</v>
      </c>
      <c r="J526" s="101" t="s">
        <v>965</v>
      </c>
      <c r="K526" s="98">
        <f t="shared" si="8"/>
        <v>2020</v>
      </c>
      <c r="L526" s="99" t="s">
        <v>5569</v>
      </c>
    </row>
    <row r="527" spans="1:12">
      <c r="A527" s="93">
        <v>526</v>
      </c>
      <c r="B527" s="122" t="s">
        <v>5932</v>
      </c>
      <c r="C527" s="120" t="s">
        <v>5949</v>
      </c>
      <c r="D527" s="100" t="s">
        <v>5279</v>
      </c>
      <c r="I527" s="154">
        <v>44032</v>
      </c>
      <c r="J527" s="101" t="s">
        <v>930</v>
      </c>
      <c r="K527" s="98">
        <f t="shared" si="8"/>
        <v>2020</v>
      </c>
      <c r="L527" s="99" t="s">
        <v>5569</v>
      </c>
    </row>
    <row r="528" spans="1:12">
      <c r="A528" s="93">
        <v>527</v>
      </c>
      <c r="B528" s="122" t="s">
        <v>5932</v>
      </c>
      <c r="C528" s="120" t="s">
        <v>5950</v>
      </c>
      <c r="D528" s="100" t="s">
        <v>5279</v>
      </c>
      <c r="I528" s="154">
        <v>44033</v>
      </c>
      <c r="J528" s="101" t="s">
        <v>930</v>
      </c>
      <c r="K528" s="98">
        <f t="shared" si="8"/>
        <v>2020</v>
      </c>
      <c r="L528" s="99" t="s">
        <v>5569</v>
      </c>
    </row>
    <row r="529" spans="1:12">
      <c r="A529" s="93">
        <v>528</v>
      </c>
      <c r="B529" s="122" t="s">
        <v>5932</v>
      </c>
      <c r="C529" s="120" t="s">
        <v>5951</v>
      </c>
      <c r="D529" s="100" t="s">
        <v>5279</v>
      </c>
      <c r="I529" s="154">
        <v>44033</v>
      </c>
      <c r="J529" s="101" t="s">
        <v>930</v>
      </c>
      <c r="K529" s="98">
        <f t="shared" si="8"/>
        <v>2020</v>
      </c>
      <c r="L529" s="99" t="s">
        <v>5569</v>
      </c>
    </row>
    <row r="530" spans="1:12">
      <c r="A530" s="93">
        <v>529</v>
      </c>
      <c r="B530" s="122" t="s">
        <v>5932</v>
      </c>
      <c r="C530" s="120" t="s">
        <v>5952</v>
      </c>
      <c r="D530" s="100" t="s">
        <v>5279</v>
      </c>
      <c r="I530" s="154">
        <v>44034</v>
      </c>
      <c r="J530" s="101" t="s">
        <v>930</v>
      </c>
      <c r="K530" s="98">
        <f t="shared" si="8"/>
        <v>2020</v>
      </c>
      <c r="L530" s="99" t="s">
        <v>5569</v>
      </c>
    </row>
    <row r="531" spans="1:12">
      <c r="A531" s="93">
        <v>530</v>
      </c>
      <c r="B531" s="122" t="s">
        <v>5932</v>
      </c>
      <c r="C531" s="120" t="s">
        <v>5953</v>
      </c>
      <c r="D531" s="100" t="s">
        <v>5279</v>
      </c>
      <c r="I531" s="154">
        <v>44035</v>
      </c>
      <c r="J531" s="101" t="s">
        <v>965</v>
      </c>
      <c r="K531" s="98">
        <f t="shared" si="8"/>
        <v>2020</v>
      </c>
      <c r="L531" s="99" t="s">
        <v>5569</v>
      </c>
    </row>
    <row r="532" spans="1:12">
      <c r="A532" s="93">
        <v>531</v>
      </c>
      <c r="B532" s="122" t="s">
        <v>5932</v>
      </c>
      <c r="C532" s="120" t="s">
        <v>5954</v>
      </c>
      <c r="D532" s="100" t="s">
        <v>5279</v>
      </c>
      <c r="I532" s="154">
        <v>44039</v>
      </c>
      <c r="J532" s="101" t="s">
        <v>930</v>
      </c>
      <c r="K532" s="98">
        <f t="shared" si="8"/>
        <v>2020</v>
      </c>
      <c r="L532" s="99" t="s">
        <v>5569</v>
      </c>
    </row>
    <row r="533" spans="1:12" ht="25.5">
      <c r="A533" s="93">
        <v>532</v>
      </c>
      <c r="B533" s="122" t="s">
        <v>5932</v>
      </c>
      <c r="C533" s="120" t="s">
        <v>5955</v>
      </c>
      <c r="D533" s="100" t="s">
        <v>5516</v>
      </c>
      <c r="I533" s="154">
        <v>44049</v>
      </c>
      <c r="J533" s="101" t="s">
        <v>980</v>
      </c>
      <c r="K533" s="98">
        <f t="shared" si="8"/>
        <v>2020</v>
      </c>
      <c r="L533" s="99" t="s">
        <v>5569</v>
      </c>
    </row>
    <row r="534" spans="1:12" ht="25.5">
      <c r="A534" s="93">
        <v>533</v>
      </c>
      <c r="B534" s="141" t="s">
        <v>5956</v>
      </c>
      <c r="C534" s="101" t="s">
        <v>5957</v>
      </c>
      <c r="D534" s="100" t="s">
        <v>5279</v>
      </c>
      <c r="I534" s="154">
        <v>44063</v>
      </c>
      <c r="J534" s="101" t="s">
        <v>853</v>
      </c>
      <c r="K534" s="98">
        <f t="shared" si="8"/>
        <v>2020</v>
      </c>
      <c r="L534" s="99" t="s">
        <v>5351</v>
      </c>
    </row>
    <row r="535" spans="1:12">
      <c r="A535" s="93">
        <v>534</v>
      </c>
      <c r="B535" s="122" t="s">
        <v>5932</v>
      </c>
      <c r="C535" s="120" t="s">
        <v>5958</v>
      </c>
      <c r="D535" s="100" t="s">
        <v>5279</v>
      </c>
      <c r="I535" s="154">
        <v>44089</v>
      </c>
      <c r="J535" s="101" t="s">
        <v>974</v>
      </c>
      <c r="K535" s="98">
        <f t="shared" si="8"/>
        <v>2020</v>
      </c>
      <c r="L535" s="99" t="s">
        <v>5569</v>
      </c>
    </row>
    <row r="536" spans="1:12">
      <c r="A536" s="93">
        <v>535</v>
      </c>
      <c r="B536" s="122" t="s">
        <v>5932</v>
      </c>
      <c r="C536" s="120" t="s">
        <v>5959</v>
      </c>
      <c r="D536" s="100" t="s">
        <v>5279</v>
      </c>
      <c r="I536" s="154">
        <v>44097</v>
      </c>
      <c r="J536" s="101" t="s">
        <v>870</v>
      </c>
      <c r="K536" s="98">
        <f t="shared" si="8"/>
        <v>2020</v>
      </c>
      <c r="L536" s="99" t="s">
        <v>5569</v>
      </c>
    </row>
    <row r="537" spans="1:12" ht="25.5">
      <c r="A537" s="93">
        <v>536</v>
      </c>
      <c r="B537" s="122" t="s">
        <v>5932</v>
      </c>
      <c r="C537" s="120" t="s">
        <v>5960</v>
      </c>
      <c r="D537" s="100" t="s">
        <v>5516</v>
      </c>
      <c r="I537" s="154">
        <v>44100</v>
      </c>
      <c r="J537" s="101" t="s">
        <v>844</v>
      </c>
      <c r="K537" s="98">
        <f t="shared" si="8"/>
        <v>2020</v>
      </c>
      <c r="L537" s="99" t="s">
        <v>5569</v>
      </c>
    </row>
    <row r="538" spans="1:12">
      <c r="A538" s="93">
        <v>537</v>
      </c>
      <c r="B538" s="122" t="s">
        <v>5932</v>
      </c>
      <c r="C538" s="120" t="s">
        <v>5961</v>
      </c>
      <c r="D538" s="100" t="s">
        <v>5279</v>
      </c>
      <c r="I538" s="154">
        <v>44101</v>
      </c>
      <c r="J538" s="101" t="s">
        <v>989</v>
      </c>
      <c r="K538" s="98">
        <f t="shared" si="8"/>
        <v>2020</v>
      </c>
      <c r="L538" s="99" t="s">
        <v>5569</v>
      </c>
    </row>
    <row r="539" spans="1:12" ht="25.5">
      <c r="A539" s="93">
        <v>538</v>
      </c>
      <c r="B539" s="141" t="s">
        <v>5664</v>
      </c>
      <c r="C539" s="101" t="s">
        <v>5962</v>
      </c>
      <c r="D539" s="120" t="s">
        <v>5279</v>
      </c>
      <c r="I539" s="154">
        <v>44161</v>
      </c>
      <c r="J539" s="96" t="s">
        <v>965</v>
      </c>
      <c r="K539" s="98">
        <f t="shared" si="8"/>
        <v>2020</v>
      </c>
      <c r="L539" s="99" t="s">
        <v>5664</v>
      </c>
    </row>
    <row r="540" spans="1:12" ht="25.5">
      <c r="A540" s="93">
        <v>539</v>
      </c>
      <c r="B540" s="141" t="s">
        <v>5664</v>
      </c>
      <c r="C540" s="101" t="s">
        <v>5963</v>
      </c>
      <c r="D540" s="120" t="s">
        <v>5279</v>
      </c>
      <c r="I540" s="154">
        <v>44162</v>
      </c>
      <c r="J540" s="101" t="s">
        <v>965</v>
      </c>
      <c r="K540" s="98">
        <f t="shared" si="8"/>
        <v>2020</v>
      </c>
      <c r="L540" s="99" t="s">
        <v>5664</v>
      </c>
    </row>
    <row r="541" spans="1:12" ht="51">
      <c r="A541" s="93">
        <v>540</v>
      </c>
      <c r="B541" s="255" t="s">
        <v>5877</v>
      </c>
      <c r="C541" s="101" t="s">
        <v>5964</v>
      </c>
      <c r="D541" s="101" t="s">
        <v>5279</v>
      </c>
      <c r="I541" s="152">
        <v>44318</v>
      </c>
      <c r="J541" s="256" t="s">
        <v>1003</v>
      </c>
      <c r="K541" s="98">
        <f t="shared" si="8"/>
        <v>2021</v>
      </c>
      <c r="L541" s="99" t="s">
        <v>5354</v>
      </c>
    </row>
    <row r="542" spans="1:12" ht="51">
      <c r="A542" s="93">
        <v>541</v>
      </c>
      <c r="B542" s="255"/>
      <c r="C542" s="152" t="s">
        <v>5965</v>
      </c>
      <c r="D542" s="101" t="s">
        <v>5279</v>
      </c>
      <c r="I542" s="152">
        <v>44319</v>
      </c>
      <c r="J542" s="256"/>
      <c r="K542" s="98">
        <f t="shared" si="8"/>
        <v>2021</v>
      </c>
      <c r="L542" s="99" t="s">
        <v>5314</v>
      </c>
    </row>
    <row r="543" spans="1:12" ht="38.25">
      <c r="A543" s="93">
        <v>542</v>
      </c>
      <c r="B543" s="155" t="s">
        <v>5966</v>
      </c>
      <c r="C543" s="101" t="s">
        <v>5967</v>
      </c>
      <c r="D543" s="101" t="s">
        <v>5279</v>
      </c>
      <c r="I543" s="152">
        <v>44327</v>
      </c>
      <c r="J543" s="101" t="s">
        <v>980</v>
      </c>
      <c r="K543" s="98">
        <f t="shared" si="8"/>
        <v>2021</v>
      </c>
      <c r="L543" s="99" t="s">
        <v>5747</v>
      </c>
    </row>
    <row r="544" spans="1:12" ht="51">
      <c r="A544" s="93">
        <v>543</v>
      </c>
      <c r="B544" s="155" t="s">
        <v>5877</v>
      </c>
      <c r="C544" s="101" t="s">
        <v>5968</v>
      </c>
      <c r="D544" s="101" t="s">
        <v>5279</v>
      </c>
      <c r="I544" s="152">
        <v>44333</v>
      </c>
      <c r="J544" s="101" t="s">
        <v>974</v>
      </c>
      <c r="K544" s="98">
        <f t="shared" si="8"/>
        <v>2021</v>
      </c>
      <c r="L544" s="99" t="s">
        <v>5354</v>
      </c>
    </row>
    <row r="545" spans="1:12" ht="38.25">
      <c r="A545" s="93">
        <v>544</v>
      </c>
      <c r="B545" s="155" t="s">
        <v>5877</v>
      </c>
      <c r="C545" s="101" t="s">
        <v>5969</v>
      </c>
      <c r="D545" s="101" t="s">
        <v>5279</v>
      </c>
      <c r="I545" s="152">
        <v>44336</v>
      </c>
      <c r="J545" s="101" t="s">
        <v>965</v>
      </c>
      <c r="K545" s="98">
        <f t="shared" si="8"/>
        <v>2021</v>
      </c>
      <c r="L545" s="99" t="s">
        <v>5354</v>
      </c>
    </row>
    <row r="546" spans="1:12" ht="63.75">
      <c r="A546" s="93">
        <v>545</v>
      </c>
      <c r="B546" s="155" t="s">
        <v>5877</v>
      </c>
      <c r="C546" s="101" t="s">
        <v>5970</v>
      </c>
      <c r="D546" s="101" t="s">
        <v>5279</v>
      </c>
      <c r="I546" s="152">
        <v>44338</v>
      </c>
      <c r="J546" s="101" t="s">
        <v>934</v>
      </c>
      <c r="K546" s="98">
        <f t="shared" si="8"/>
        <v>2021</v>
      </c>
      <c r="L546" s="99" t="s">
        <v>5354</v>
      </c>
    </row>
    <row r="547" spans="1:12" ht="38.25">
      <c r="A547" s="93">
        <v>546</v>
      </c>
      <c r="B547" s="155" t="s">
        <v>5971</v>
      </c>
      <c r="C547" s="101" t="s">
        <v>5972</v>
      </c>
      <c r="D547" s="101" t="s">
        <v>5279</v>
      </c>
      <c r="I547" s="152">
        <v>44347</v>
      </c>
      <c r="J547" s="101" t="s">
        <v>1003</v>
      </c>
      <c r="K547" s="98">
        <f t="shared" si="8"/>
        <v>2021</v>
      </c>
      <c r="L547" s="99" t="s">
        <v>5973</v>
      </c>
    </row>
    <row r="548" spans="1:12" ht="38.25">
      <c r="A548" s="93">
        <v>547</v>
      </c>
      <c r="B548" s="155" t="s">
        <v>5974</v>
      </c>
      <c r="C548" s="101" t="s">
        <v>5975</v>
      </c>
      <c r="D548" s="101" t="s">
        <v>5279</v>
      </c>
      <c r="I548" s="152">
        <v>44348</v>
      </c>
      <c r="J548" s="101" t="s">
        <v>969</v>
      </c>
      <c r="K548" s="98">
        <f t="shared" si="8"/>
        <v>2021</v>
      </c>
      <c r="L548" s="99" t="s">
        <v>5569</v>
      </c>
    </row>
    <row r="549" spans="1:12" ht="38.25">
      <c r="A549" s="93">
        <v>548</v>
      </c>
      <c r="B549" s="155" t="s">
        <v>5974</v>
      </c>
      <c r="C549" s="101" t="s">
        <v>5976</v>
      </c>
      <c r="D549" s="101" t="s">
        <v>5279</v>
      </c>
      <c r="I549" s="152">
        <v>44348</v>
      </c>
      <c r="J549" s="101" t="s">
        <v>969</v>
      </c>
      <c r="K549" s="98">
        <f t="shared" si="8"/>
        <v>2021</v>
      </c>
      <c r="L549" s="99" t="s">
        <v>5569</v>
      </c>
    </row>
    <row r="550" spans="1:12" ht="25.5">
      <c r="A550" s="93">
        <v>549</v>
      </c>
      <c r="B550" s="155" t="s">
        <v>5974</v>
      </c>
      <c r="C550" s="101" t="s">
        <v>5977</v>
      </c>
      <c r="D550" s="101" t="s">
        <v>5279</v>
      </c>
      <c r="I550" s="152">
        <v>44350</v>
      </c>
      <c r="J550" s="101" t="s">
        <v>947</v>
      </c>
      <c r="K550" s="98">
        <f t="shared" si="8"/>
        <v>2021</v>
      </c>
      <c r="L550" s="99" t="s">
        <v>5569</v>
      </c>
    </row>
    <row r="551" spans="1:12" ht="38.25">
      <c r="A551" s="93">
        <v>550</v>
      </c>
      <c r="B551" s="155" t="s">
        <v>5664</v>
      </c>
      <c r="C551" s="101" t="s">
        <v>5978</v>
      </c>
      <c r="D551" s="101" t="s">
        <v>5279</v>
      </c>
      <c r="I551" s="152">
        <v>44350</v>
      </c>
      <c r="J551" s="96" t="s">
        <v>985</v>
      </c>
      <c r="K551" s="98">
        <f t="shared" si="8"/>
        <v>2021</v>
      </c>
      <c r="L551" s="99" t="s">
        <v>5664</v>
      </c>
    </row>
    <row r="552" spans="1:12" ht="38.25">
      <c r="A552" s="93">
        <v>551</v>
      </c>
      <c r="B552" s="155" t="s">
        <v>5974</v>
      </c>
      <c r="C552" s="101" t="s">
        <v>5979</v>
      </c>
      <c r="D552" s="101" t="s">
        <v>5279</v>
      </c>
      <c r="I552" s="152">
        <v>44351</v>
      </c>
      <c r="J552" s="101" t="s">
        <v>969</v>
      </c>
      <c r="K552" s="98">
        <f t="shared" si="8"/>
        <v>2021</v>
      </c>
      <c r="L552" s="99" t="s">
        <v>5569</v>
      </c>
    </row>
    <row r="553" spans="1:12" ht="25.5">
      <c r="A553" s="93">
        <v>552</v>
      </c>
      <c r="B553" s="155" t="s">
        <v>5974</v>
      </c>
      <c r="C553" s="101" t="s">
        <v>5980</v>
      </c>
      <c r="D553" s="101" t="s">
        <v>5279</v>
      </c>
      <c r="I553" s="152">
        <v>44351</v>
      </c>
      <c r="J553" s="101" t="s">
        <v>947</v>
      </c>
      <c r="K553" s="98">
        <f t="shared" si="8"/>
        <v>2021</v>
      </c>
      <c r="L553" s="99" t="s">
        <v>5569</v>
      </c>
    </row>
    <row r="554" spans="1:12" ht="38.25">
      <c r="A554" s="93">
        <v>553</v>
      </c>
      <c r="B554" s="155" t="s">
        <v>5974</v>
      </c>
      <c r="C554" s="101" t="s">
        <v>5981</v>
      </c>
      <c r="D554" s="101" t="s">
        <v>5279</v>
      </c>
      <c r="I554" s="152">
        <v>44352</v>
      </c>
      <c r="J554" s="101" t="s">
        <v>969</v>
      </c>
      <c r="K554" s="98">
        <f t="shared" si="8"/>
        <v>2021</v>
      </c>
      <c r="L554" s="99" t="s">
        <v>5569</v>
      </c>
    </row>
    <row r="555" spans="1:12" ht="51">
      <c r="A555" s="93">
        <v>554</v>
      </c>
      <c r="B555" s="155" t="s">
        <v>5974</v>
      </c>
      <c r="C555" s="101" t="s">
        <v>5982</v>
      </c>
      <c r="D555" s="101" t="s">
        <v>5279</v>
      </c>
      <c r="I555" s="152">
        <v>44352</v>
      </c>
      <c r="J555" s="101" t="s">
        <v>911</v>
      </c>
      <c r="K555" s="98">
        <f t="shared" si="8"/>
        <v>2021</v>
      </c>
      <c r="L555" s="99" t="s">
        <v>5569</v>
      </c>
    </row>
    <row r="556" spans="1:12" ht="38.25">
      <c r="A556" s="93">
        <v>555</v>
      </c>
      <c r="B556" s="155" t="s">
        <v>5974</v>
      </c>
      <c r="C556" s="101" t="s">
        <v>5983</v>
      </c>
      <c r="D556" s="101" t="s">
        <v>5279</v>
      </c>
      <c r="I556" s="152">
        <v>44352</v>
      </c>
      <c r="J556" s="101" t="s">
        <v>911</v>
      </c>
      <c r="K556" s="98">
        <f t="shared" si="8"/>
        <v>2021</v>
      </c>
      <c r="L556" s="99" t="s">
        <v>5569</v>
      </c>
    </row>
    <row r="557" spans="1:12" ht="25.5">
      <c r="A557" s="93">
        <v>556</v>
      </c>
      <c r="B557" s="155" t="s">
        <v>5974</v>
      </c>
      <c r="C557" s="101" t="s">
        <v>5984</v>
      </c>
      <c r="D557" s="101" t="s">
        <v>5279</v>
      </c>
      <c r="I557" s="152">
        <v>44352</v>
      </c>
      <c r="J557" s="101" t="s">
        <v>969</v>
      </c>
      <c r="K557" s="98">
        <f t="shared" si="8"/>
        <v>2021</v>
      </c>
      <c r="L557" s="99" t="s">
        <v>5569</v>
      </c>
    </row>
    <row r="558" spans="1:12" ht="63.75">
      <c r="A558" s="93">
        <v>557</v>
      </c>
      <c r="B558" s="155" t="s">
        <v>5974</v>
      </c>
      <c r="C558" s="101" t="s">
        <v>5985</v>
      </c>
      <c r="D558" s="101" t="s">
        <v>5279</v>
      </c>
      <c r="I558" s="152">
        <v>44352</v>
      </c>
      <c r="J558" s="101" t="s">
        <v>870</v>
      </c>
      <c r="K558" s="98">
        <f t="shared" si="8"/>
        <v>2021</v>
      </c>
      <c r="L558" s="99" t="s">
        <v>5569</v>
      </c>
    </row>
    <row r="559" spans="1:12" ht="25.5">
      <c r="A559" s="93">
        <v>558</v>
      </c>
      <c r="B559" s="155" t="s">
        <v>5974</v>
      </c>
      <c r="C559" s="101" t="s">
        <v>5986</v>
      </c>
      <c r="D559" s="101" t="s">
        <v>5279</v>
      </c>
      <c r="I559" s="152">
        <v>44353</v>
      </c>
      <c r="J559" s="101" t="s">
        <v>980</v>
      </c>
      <c r="K559" s="98">
        <f t="shared" si="8"/>
        <v>2021</v>
      </c>
      <c r="L559" s="99" t="s">
        <v>5569</v>
      </c>
    </row>
    <row r="560" spans="1:12" ht="25.5">
      <c r="A560" s="93">
        <v>559</v>
      </c>
      <c r="B560" s="155" t="s">
        <v>5974</v>
      </c>
      <c r="C560" s="101" t="s">
        <v>5987</v>
      </c>
      <c r="D560" s="101" t="s">
        <v>5279</v>
      </c>
      <c r="I560" s="152">
        <v>44356</v>
      </c>
      <c r="J560" s="101" t="s">
        <v>1003</v>
      </c>
      <c r="K560" s="98">
        <f t="shared" si="8"/>
        <v>2021</v>
      </c>
      <c r="L560" s="99" t="s">
        <v>5569</v>
      </c>
    </row>
    <row r="561" spans="1:12" ht="25.5">
      <c r="A561" s="93">
        <v>560</v>
      </c>
      <c r="B561" s="155" t="s">
        <v>5974</v>
      </c>
      <c r="C561" s="101" t="s">
        <v>5988</v>
      </c>
      <c r="D561" s="101" t="s">
        <v>5279</v>
      </c>
      <c r="I561" s="152">
        <v>44365</v>
      </c>
      <c r="J561" s="101" t="s">
        <v>969</v>
      </c>
      <c r="K561" s="98">
        <f t="shared" si="8"/>
        <v>2021</v>
      </c>
      <c r="L561" s="99" t="s">
        <v>5569</v>
      </c>
    </row>
    <row r="562" spans="1:12" ht="51">
      <c r="A562" s="93">
        <v>561</v>
      </c>
      <c r="B562" s="155" t="s">
        <v>5974</v>
      </c>
      <c r="C562" s="152" t="s">
        <v>5989</v>
      </c>
      <c r="D562" s="152" t="s">
        <v>5279</v>
      </c>
      <c r="I562" s="152">
        <v>44367</v>
      </c>
      <c r="J562" s="152" t="s">
        <v>930</v>
      </c>
      <c r="K562" s="98">
        <f t="shared" si="8"/>
        <v>2021</v>
      </c>
      <c r="L562" s="99" t="s">
        <v>5569</v>
      </c>
    </row>
    <row r="563" spans="1:12">
      <c r="A563" s="93">
        <v>562</v>
      </c>
      <c r="B563" s="155" t="s">
        <v>5974</v>
      </c>
      <c r="C563" s="101" t="s">
        <v>5990</v>
      </c>
      <c r="D563" s="100" t="s">
        <v>5279</v>
      </c>
      <c r="I563" s="152">
        <v>44368</v>
      </c>
      <c r="J563" s="101" t="s">
        <v>951</v>
      </c>
      <c r="K563" s="98">
        <f t="shared" si="8"/>
        <v>2021</v>
      </c>
      <c r="L563" s="99" t="s">
        <v>5569</v>
      </c>
    </row>
    <row r="564" spans="1:12">
      <c r="A564" s="93">
        <v>563</v>
      </c>
      <c r="B564" s="155" t="s">
        <v>5974</v>
      </c>
      <c r="C564" s="101" t="s">
        <v>5991</v>
      </c>
      <c r="D564" s="100" t="s">
        <v>5299</v>
      </c>
      <c r="I564" s="152">
        <v>44370</v>
      </c>
      <c r="J564" s="96" t="s">
        <v>5617</v>
      </c>
      <c r="K564" s="98">
        <f t="shared" si="8"/>
        <v>2021</v>
      </c>
      <c r="L564" s="99" t="s">
        <v>5569</v>
      </c>
    </row>
    <row r="565" spans="1:12" ht="25.5">
      <c r="A565" s="93">
        <v>564</v>
      </c>
      <c r="B565" s="155" t="s">
        <v>5974</v>
      </c>
      <c r="C565" s="101" t="s">
        <v>5992</v>
      </c>
      <c r="D565" s="100" t="s">
        <v>5279</v>
      </c>
      <c r="I565" s="152">
        <v>44371</v>
      </c>
      <c r="J565" s="101" t="s">
        <v>1003</v>
      </c>
      <c r="K565" s="98">
        <f t="shared" si="8"/>
        <v>2021</v>
      </c>
      <c r="L565" s="99" t="s">
        <v>5569</v>
      </c>
    </row>
    <row r="566" spans="1:12">
      <c r="A566" s="93">
        <v>565</v>
      </c>
      <c r="B566" s="122" t="s">
        <v>5974</v>
      </c>
      <c r="C566" s="101" t="s">
        <v>5993</v>
      </c>
      <c r="D566" s="100" t="s">
        <v>5279</v>
      </c>
      <c r="I566" s="152">
        <v>44371</v>
      </c>
      <c r="J566" s="101" t="s">
        <v>951</v>
      </c>
      <c r="K566" s="98">
        <f t="shared" si="8"/>
        <v>2021</v>
      </c>
      <c r="L566" s="99" t="s">
        <v>5569</v>
      </c>
    </row>
    <row r="567" spans="1:12">
      <c r="A567" s="93">
        <v>566</v>
      </c>
      <c r="B567" s="122" t="s">
        <v>5974</v>
      </c>
      <c r="C567" s="156" t="s">
        <v>5994</v>
      </c>
      <c r="D567" s="100" t="s">
        <v>5279</v>
      </c>
      <c r="I567" s="154">
        <v>44371</v>
      </c>
      <c r="J567" s="101" t="s">
        <v>892</v>
      </c>
      <c r="K567" s="98">
        <f t="shared" si="8"/>
        <v>2021</v>
      </c>
      <c r="L567" s="99" t="s">
        <v>5569</v>
      </c>
    </row>
    <row r="568" spans="1:12" ht="25.5">
      <c r="A568" s="93">
        <v>567</v>
      </c>
      <c r="B568" s="122" t="s">
        <v>5974</v>
      </c>
      <c r="C568" s="101" t="s">
        <v>5995</v>
      </c>
      <c r="D568" s="100" t="s">
        <v>5279</v>
      </c>
      <c r="I568" s="152">
        <v>44372</v>
      </c>
      <c r="J568" s="101" t="s">
        <v>989</v>
      </c>
      <c r="K568" s="98">
        <f t="shared" si="8"/>
        <v>2021</v>
      </c>
      <c r="L568" s="99" t="s">
        <v>5569</v>
      </c>
    </row>
    <row r="569" spans="1:12" ht="25.5">
      <c r="A569" s="93">
        <v>568</v>
      </c>
      <c r="B569" s="122" t="s">
        <v>5974</v>
      </c>
      <c r="C569" s="101" t="s">
        <v>5996</v>
      </c>
      <c r="D569" s="100" t="s">
        <v>5279</v>
      </c>
      <c r="I569" s="154">
        <v>44373</v>
      </c>
      <c r="J569" s="101" t="s">
        <v>897</v>
      </c>
      <c r="K569" s="98">
        <f t="shared" si="8"/>
        <v>2021</v>
      </c>
      <c r="L569" s="99" t="s">
        <v>5569</v>
      </c>
    </row>
    <row r="570" spans="1:12" ht="25.5">
      <c r="A570" s="93">
        <v>569</v>
      </c>
      <c r="B570" s="122" t="s">
        <v>5974</v>
      </c>
      <c r="C570" s="101" t="s">
        <v>5997</v>
      </c>
      <c r="D570" s="100" t="s">
        <v>5279</v>
      </c>
      <c r="I570" s="154">
        <v>44373</v>
      </c>
      <c r="J570" s="101" t="s">
        <v>925</v>
      </c>
      <c r="K570" s="98">
        <f t="shared" si="8"/>
        <v>2021</v>
      </c>
      <c r="L570" s="99" t="s">
        <v>5569</v>
      </c>
    </row>
    <row r="571" spans="1:12" ht="25.5">
      <c r="A571" s="93">
        <v>570</v>
      </c>
      <c r="B571" s="122" t="s">
        <v>5974</v>
      </c>
      <c r="C571" s="101" t="s">
        <v>5998</v>
      </c>
      <c r="D571" s="100" t="s">
        <v>5279</v>
      </c>
      <c r="I571" s="154">
        <v>44375</v>
      </c>
      <c r="J571" s="101" t="s">
        <v>911</v>
      </c>
      <c r="K571" s="98">
        <f t="shared" si="8"/>
        <v>2021</v>
      </c>
      <c r="L571" s="99" t="s">
        <v>5569</v>
      </c>
    </row>
    <row r="572" spans="1:12">
      <c r="A572" s="93">
        <v>571</v>
      </c>
      <c r="B572" s="122" t="s">
        <v>5974</v>
      </c>
      <c r="C572" s="101" t="s">
        <v>5999</v>
      </c>
      <c r="D572" s="100" t="s">
        <v>5279</v>
      </c>
      <c r="I572" s="152">
        <v>44404</v>
      </c>
      <c r="J572" s="101" t="s">
        <v>911</v>
      </c>
      <c r="K572" s="98">
        <f t="shared" si="8"/>
        <v>2021</v>
      </c>
      <c r="L572" s="99" t="s">
        <v>5569</v>
      </c>
    </row>
    <row r="573" spans="1:12" ht="25.5">
      <c r="A573" s="93">
        <v>572</v>
      </c>
      <c r="B573" s="155" t="s">
        <v>5877</v>
      </c>
      <c r="C573" s="101" t="s">
        <v>6000</v>
      </c>
      <c r="D573" s="100" t="s">
        <v>5279</v>
      </c>
      <c r="I573" s="152">
        <v>44405</v>
      </c>
      <c r="J573" s="101" t="s">
        <v>930</v>
      </c>
      <c r="K573" s="98">
        <f t="shared" si="8"/>
        <v>2021</v>
      </c>
      <c r="L573" s="99" t="s">
        <v>5366</v>
      </c>
    </row>
    <row r="574" spans="1:12" ht="38.25">
      <c r="A574" s="93">
        <v>573</v>
      </c>
      <c r="B574" s="122" t="s">
        <v>6001</v>
      </c>
      <c r="C574" s="101" t="s">
        <v>6002</v>
      </c>
      <c r="D574" s="100" t="s">
        <v>5299</v>
      </c>
      <c r="I574" s="152">
        <v>44406</v>
      </c>
      <c r="J574" s="96" t="s">
        <v>5617</v>
      </c>
      <c r="K574" s="98">
        <f t="shared" si="8"/>
        <v>2021</v>
      </c>
      <c r="L574" s="99" t="s">
        <v>5726</v>
      </c>
    </row>
    <row r="575" spans="1:12" ht="38.25">
      <c r="A575" s="93">
        <v>574</v>
      </c>
      <c r="B575" s="155" t="s">
        <v>6003</v>
      </c>
      <c r="C575" s="101" t="s">
        <v>6004</v>
      </c>
      <c r="D575" s="100" t="s">
        <v>5279</v>
      </c>
      <c r="I575" s="152">
        <v>44410</v>
      </c>
      <c r="J575" s="101" t="s">
        <v>930</v>
      </c>
      <c r="K575" s="98">
        <f t="shared" si="8"/>
        <v>2021</v>
      </c>
      <c r="L575" s="99" t="s">
        <v>5291</v>
      </c>
    </row>
    <row r="576" spans="1:12" ht="25.5">
      <c r="A576" s="93">
        <v>575</v>
      </c>
      <c r="B576" s="122" t="s">
        <v>6001</v>
      </c>
      <c r="C576" s="101" t="s">
        <v>6005</v>
      </c>
      <c r="D576" s="100" t="s">
        <v>5279</v>
      </c>
      <c r="I576" s="152">
        <v>44410</v>
      </c>
      <c r="J576" s="101" t="s">
        <v>738</v>
      </c>
      <c r="K576" s="98">
        <f t="shared" si="8"/>
        <v>2021</v>
      </c>
      <c r="L576" s="99" t="s">
        <v>5726</v>
      </c>
    </row>
    <row r="577" spans="1:12">
      <c r="A577" s="93">
        <v>576</v>
      </c>
      <c r="B577" s="122" t="s">
        <v>5974</v>
      </c>
      <c r="C577" s="101" t="s">
        <v>6006</v>
      </c>
      <c r="D577" s="100" t="s">
        <v>5279</v>
      </c>
      <c r="I577" s="152">
        <v>44411</v>
      </c>
      <c r="J577" s="101" t="s">
        <v>985</v>
      </c>
      <c r="K577" s="98">
        <f t="shared" si="8"/>
        <v>2021</v>
      </c>
      <c r="L577" s="99" t="s">
        <v>5569</v>
      </c>
    </row>
    <row r="578" spans="1:12" ht="25.5">
      <c r="A578" s="93">
        <v>577</v>
      </c>
      <c r="B578" s="122" t="s">
        <v>5974</v>
      </c>
      <c r="C578" s="101" t="s">
        <v>6007</v>
      </c>
      <c r="D578" s="100" t="s">
        <v>5299</v>
      </c>
      <c r="I578" s="152">
        <v>44416</v>
      </c>
      <c r="J578" s="96" t="s">
        <v>5617</v>
      </c>
      <c r="K578" s="98">
        <f t="shared" si="8"/>
        <v>2021</v>
      </c>
      <c r="L578" s="99" t="s">
        <v>5569</v>
      </c>
    </row>
    <row r="579" spans="1:12" ht="25.5">
      <c r="A579" s="93">
        <v>578</v>
      </c>
      <c r="B579" s="122" t="s">
        <v>5974</v>
      </c>
      <c r="C579" s="101" t="s">
        <v>6008</v>
      </c>
      <c r="D579" s="100" t="s">
        <v>5279</v>
      </c>
      <c r="I579" s="154">
        <v>44416</v>
      </c>
      <c r="J579" s="100" t="s">
        <v>999</v>
      </c>
      <c r="K579" s="98">
        <f t="shared" ref="K579:K642" si="9">YEAR(I579)</f>
        <v>2021</v>
      </c>
      <c r="L579" s="99" t="s">
        <v>5569</v>
      </c>
    </row>
    <row r="580" spans="1:12">
      <c r="A580" s="93">
        <v>579</v>
      </c>
      <c r="B580" s="122" t="s">
        <v>5974</v>
      </c>
      <c r="C580" s="101" t="s">
        <v>6009</v>
      </c>
      <c r="D580" s="100" t="s">
        <v>5279</v>
      </c>
      <c r="I580" s="154">
        <v>44417</v>
      </c>
      <c r="J580" s="101" t="s">
        <v>934</v>
      </c>
      <c r="K580" s="98">
        <f t="shared" si="9"/>
        <v>2021</v>
      </c>
      <c r="L580" s="99" t="s">
        <v>5569</v>
      </c>
    </row>
    <row r="581" spans="1:12">
      <c r="A581" s="93">
        <v>580</v>
      </c>
      <c r="B581" s="122" t="s">
        <v>5974</v>
      </c>
      <c r="C581" s="101" t="s">
        <v>6010</v>
      </c>
      <c r="D581" s="100" t="s">
        <v>6011</v>
      </c>
      <c r="I581" s="154">
        <v>44421</v>
      </c>
      <c r="J581" s="96" t="s">
        <v>5617</v>
      </c>
      <c r="K581" s="98">
        <f t="shared" si="9"/>
        <v>2021</v>
      </c>
      <c r="L581" s="99" t="s">
        <v>5569</v>
      </c>
    </row>
    <row r="582" spans="1:12">
      <c r="A582" s="93">
        <v>581</v>
      </c>
      <c r="B582" s="122" t="s">
        <v>5845</v>
      </c>
      <c r="C582" s="101" t="s">
        <v>6012</v>
      </c>
      <c r="D582" s="100" t="s">
        <v>5279</v>
      </c>
      <c r="I582" s="154">
        <v>44438</v>
      </c>
      <c r="J582" s="101" t="s">
        <v>980</v>
      </c>
      <c r="K582" s="98">
        <f t="shared" si="9"/>
        <v>2021</v>
      </c>
      <c r="L582" s="99" t="s">
        <v>5673</v>
      </c>
    </row>
    <row r="583" spans="1:12" ht="25.5">
      <c r="A583" s="93">
        <v>582</v>
      </c>
      <c r="B583" s="122" t="s">
        <v>5974</v>
      </c>
      <c r="C583" s="101" t="s">
        <v>6013</v>
      </c>
      <c r="D583" s="100" t="s">
        <v>5279</v>
      </c>
      <c r="I583" s="154">
        <v>44447</v>
      </c>
      <c r="J583" s="101" t="s">
        <v>892</v>
      </c>
      <c r="K583" s="98">
        <f t="shared" si="9"/>
        <v>2021</v>
      </c>
      <c r="L583" s="99" t="s">
        <v>5569</v>
      </c>
    </row>
    <row r="584" spans="1:12" ht="25.5">
      <c r="A584" s="93">
        <v>583</v>
      </c>
      <c r="B584" s="122" t="s">
        <v>5664</v>
      </c>
      <c r="C584" s="101" t="s">
        <v>6014</v>
      </c>
      <c r="D584" s="100" t="s">
        <v>5279</v>
      </c>
      <c r="I584" s="154">
        <v>44454</v>
      </c>
      <c r="J584" s="101" t="s">
        <v>862</v>
      </c>
      <c r="K584" s="98">
        <f t="shared" si="9"/>
        <v>2021</v>
      </c>
      <c r="L584" s="99" t="s">
        <v>5664</v>
      </c>
    </row>
    <row r="585" spans="1:12" ht="38.25">
      <c r="A585" s="93">
        <v>584</v>
      </c>
      <c r="B585" s="122" t="s">
        <v>6015</v>
      </c>
      <c r="C585" s="101" t="s">
        <v>6016</v>
      </c>
      <c r="D585" s="100" t="s">
        <v>5279</v>
      </c>
      <c r="I585" s="154">
        <v>44471</v>
      </c>
      <c r="J585" s="152" t="s">
        <v>885</v>
      </c>
      <c r="K585" s="98">
        <f t="shared" si="9"/>
        <v>2021</v>
      </c>
      <c r="L585" s="99" t="s">
        <v>5291</v>
      </c>
    </row>
    <row r="586" spans="1:12" ht="38.25">
      <c r="A586" s="93">
        <v>585</v>
      </c>
      <c r="B586" s="122" t="s">
        <v>5664</v>
      </c>
      <c r="C586" s="101" t="s">
        <v>6017</v>
      </c>
      <c r="D586" s="100" t="s">
        <v>5279</v>
      </c>
      <c r="I586" s="154">
        <v>44509</v>
      </c>
      <c r="J586" s="152" t="s">
        <v>862</v>
      </c>
      <c r="K586" s="98">
        <f t="shared" si="9"/>
        <v>2021</v>
      </c>
      <c r="L586" s="99" t="s">
        <v>5664</v>
      </c>
    </row>
    <row r="587" spans="1:12" ht="25.5">
      <c r="A587" s="93">
        <v>586</v>
      </c>
      <c r="B587" s="122" t="s">
        <v>5664</v>
      </c>
      <c r="C587" s="101" t="s">
        <v>6018</v>
      </c>
      <c r="D587" s="100" t="s">
        <v>5279</v>
      </c>
      <c r="I587" s="154">
        <v>44547</v>
      </c>
      <c r="J587" s="152" t="s">
        <v>911</v>
      </c>
      <c r="K587" s="98">
        <f t="shared" si="9"/>
        <v>2021</v>
      </c>
      <c r="L587" s="99" t="s">
        <v>5664</v>
      </c>
    </row>
    <row r="588" spans="1:12" ht="38.25">
      <c r="A588" s="93">
        <v>587</v>
      </c>
      <c r="B588" s="122" t="s">
        <v>6019</v>
      </c>
      <c r="C588" s="101" t="s">
        <v>6020</v>
      </c>
      <c r="D588" s="100" t="s">
        <v>5279</v>
      </c>
      <c r="I588" s="154">
        <v>44554</v>
      </c>
      <c r="J588" s="101" t="s">
        <v>911</v>
      </c>
      <c r="K588" s="98">
        <f t="shared" si="9"/>
        <v>2021</v>
      </c>
      <c r="L588" s="99" t="s">
        <v>5291</v>
      </c>
    </row>
    <row r="589" spans="1:12" ht="27.75">
      <c r="A589" s="93">
        <v>588</v>
      </c>
      <c r="B589" s="155" t="s">
        <v>5966</v>
      </c>
      <c r="C589" s="101" t="s">
        <v>6021</v>
      </c>
      <c r="D589" s="100" t="s">
        <v>5279</v>
      </c>
      <c r="I589" s="154">
        <v>44559</v>
      </c>
      <c r="J589" s="101" t="s">
        <v>738</v>
      </c>
      <c r="K589" s="98">
        <f t="shared" si="9"/>
        <v>2021</v>
      </c>
      <c r="L589" s="99" t="s">
        <v>5747</v>
      </c>
    </row>
    <row r="590" spans="1:12" ht="38.25">
      <c r="A590" s="93">
        <v>589</v>
      </c>
      <c r="B590" s="146" t="s">
        <v>5664</v>
      </c>
      <c r="C590" s="100" t="s">
        <v>6022</v>
      </c>
      <c r="D590" s="143" t="s">
        <v>5279</v>
      </c>
      <c r="E590" s="144"/>
      <c r="F590" s="144"/>
      <c r="G590" s="144"/>
      <c r="H590" s="144"/>
      <c r="I590" s="157">
        <v>44688</v>
      </c>
      <c r="J590" s="100" t="s">
        <v>892</v>
      </c>
      <c r="K590" s="98">
        <f t="shared" si="9"/>
        <v>2022</v>
      </c>
      <c r="L590" s="99" t="s">
        <v>5291</v>
      </c>
    </row>
    <row r="591" spans="1:12" ht="25.5">
      <c r="A591" s="93">
        <v>590</v>
      </c>
      <c r="B591" s="146" t="s">
        <v>5354</v>
      </c>
      <c r="C591" s="100" t="s">
        <v>6023</v>
      </c>
      <c r="D591" s="143" t="s">
        <v>5279</v>
      </c>
      <c r="E591" s="144"/>
      <c r="F591" s="144"/>
      <c r="G591" s="144"/>
      <c r="H591" s="144"/>
      <c r="I591" s="157">
        <v>44695</v>
      </c>
      <c r="J591" s="96" t="s">
        <v>897</v>
      </c>
      <c r="K591" s="98">
        <f t="shared" si="9"/>
        <v>2022</v>
      </c>
      <c r="L591" s="99" t="s">
        <v>5354</v>
      </c>
    </row>
    <row r="592" spans="1:12" ht="25.5">
      <c r="A592" s="93">
        <v>591</v>
      </c>
      <c r="B592" s="146" t="s">
        <v>5354</v>
      </c>
      <c r="C592" s="100" t="s">
        <v>6024</v>
      </c>
      <c r="D592" s="143" t="s">
        <v>5279</v>
      </c>
      <c r="E592" s="144"/>
      <c r="F592" s="144"/>
      <c r="G592" s="144"/>
      <c r="H592" s="144"/>
      <c r="I592" s="157">
        <v>44699</v>
      </c>
      <c r="J592" s="100" t="s">
        <v>911</v>
      </c>
      <c r="K592" s="98">
        <f t="shared" si="9"/>
        <v>2022</v>
      </c>
      <c r="L592" s="99" t="s">
        <v>5354</v>
      </c>
    </row>
    <row r="593" spans="1:12" ht="25.5">
      <c r="A593" s="93">
        <v>592</v>
      </c>
      <c r="B593" s="146" t="s">
        <v>5354</v>
      </c>
      <c r="C593" s="100" t="s">
        <v>6025</v>
      </c>
      <c r="D593" s="143" t="s">
        <v>5279</v>
      </c>
      <c r="E593" s="144"/>
      <c r="F593" s="144"/>
      <c r="G593" s="144"/>
      <c r="H593" s="144"/>
      <c r="I593" s="157">
        <v>44700</v>
      </c>
      <c r="J593" s="100" t="s">
        <v>954</v>
      </c>
      <c r="K593" s="98">
        <f t="shared" si="9"/>
        <v>2022</v>
      </c>
      <c r="L593" s="99" t="s">
        <v>5354</v>
      </c>
    </row>
    <row r="594" spans="1:12" ht="25.5">
      <c r="A594" s="93">
        <v>593</v>
      </c>
      <c r="B594" s="146" t="s">
        <v>5354</v>
      </c>
      <c r="C594" s="100" t="s">
        <v>6026</v>
      </c>
      <c r="D594" s="143" t="s">
        <v>5279</v>
      </c>
      <c r="E594" s="144"/>
      <c r="F594" s="144"/>
      <c r="G594" s="144"/>
      <c r="H594" s="144"/>
      <c r="I594" s="157">
        <v>44704</v>
      </c>
      <c r="J594" s="101" t="s">
        <v>738</v>
      </c>
      <c r="K594" s="98">
        <f t="shared" si="9"/>
        <v>2022</v>
      </c>
      <c r="L594" s="99" t="s">
        <v>5354</v>
      </c>
    </row>
    <row r="595" spans="1:12" ht="25.5">
      <c r="A595" s="93">
        <v>594</v>
      </c>
      <c r="B595" s="146" t="s">
        <v>5354</v>
      </c>
      <c r="C595" s="100" t="s">
        <v>6027</v>
      </c>
      <c r="D595" s="143" t="s">
        <v>5279</v>
      </c>
      <c r="E595" s="144"/>
      <c r="F595" s="144"/>
      <c r="G595" s="144"/>
      <c r="H595" s="144"/>
      <c r="I595" s="157">
        <v>44704</v>
      </c>
      <c r="J595" s="100" t="s">
        <v>934</v>
      </c>
      <c r="K595" s="98">
        <f t="shared" si="9"/>
        <v>2022</v>
      </c>
      <c r="L595" s="99" t="s">
        <v>5354</v>
      </c>
    </row>
    <row r="596" spans="1:12" ht="25.5">
      <c r="A596" s="93">
        <v>595</v>
      </c>
      <c r="B596" s="146" t="s">
        <v>5354</v>
      </c>
      <c r="C596" s="100" t="s">
        <v>6028</v>
      </c>
      <c r="D596" s="143" t="s">
        <v>5279</v>
      </c>
      <c r="E596" s="144"/>
      <c r="F596" s="144"/>
      <c r="G596" s="144"/>
      <c r="H596" s="144"/>
      <c r="I596" s="157">
        <v>44704</v>
      </c>
      <c r="J596" s="100" t="s">
        <v>985</v>
      </c>
      <c r="K596" s="98">
        <f t="shared" si="9"/>
        <v>2022</v>
      </c>
      <c r="L596" s="99" t="s">
        <v>5354</v>
      </c>
    </row>
    <row r="597" spans="1:12" ht="25.5">
      <c r="A597" s="93">
        <v>596</v>
      </c>
      <c r="B597" s="146" t="s">
        <v>5569</v>
      </c>
      <c r="C597" s="100" t="s">
        <v>6029</v>
      </c>
      <c r="D597" s="143" t="s">
        <v>5279</v>
      </c>
      <c r="E597" s="144"/>
      <c r="F597" s="144"/>
      <c r="G597" s="144"/>
      <c r="H597" s="144"/>
      <c r="I597" s="157">
        <v>44723</v>
      </c>
      <c r="J597" s="100" t="s">
        <v>938</v>
      </c>
      <c r="K597" s="98">
        <f t="shared" si="9"/>
        <v>2022</v>
      </c>
      <c r="L597" s="99" t="s">
        <v>5569</v>
      </c>
    </row>
    <row r="598" spans="1:12" ht="25.5">
      <c r="A598" s="93">
        <v>597</v>
      </c>
      <c r="B598" s="146" t="s">
        <v>5569</v>
      </c>
      <c r="C598" s="100" t="s">
        <v>6030</v>
      </c>
      <c r="D598" s="143" t="s">
        <v>5279</v>
      </c>
      <c r="E598" s="144"/>
      <c r="F598" s="144"/>
      <c r="G598" s="144"/>
      <c r="H598" s="144"/>
      <c r="I598" s="157">
        <v>44728</v>
      </c>
      <c r="J598" s="100" t="s">
        <v>965</v>
      </c>
      <c r="K598" s="98">
        <f t="shared" si="9"/>
        <v>2022</v>
      </c>
      <c r="L598" s="99" t="s">
        <v>5569</v>
      </c>
    </row>
    <row r="599" spans="1:12" ht="25.5">
      <c r="A599" s="93">
        <v>598</v>
      </c>
      <c r="B599" s="146" t="s">
        <v>5569</v>
      </c>
      <c r="C599" s="100" t="s">
        <v>6031</v>
      </c>
      <c r="D599" s="143" t="s">
        <v>5279</v>
      </c>
      <c r="E599" s="144"/>
      <c r="F599" s="144"/>
      <c r="G599" s="144"/>
      <c r="H599" s="144"/>
      <c r="I599" s="157">
        <v>44730</v>
      </c>
      <c r="J599" s="100" t="s">
        <v>925</v>
      </c>
      <c r="K599" s="98">
        <f t="shared" si="9"/>
        <v>2022</v>
      </c>
      <c r="L599" s="99" t="s">
        <v>5569</v>
      </c>
    </row>
    <row r="600" spans="1:12" ht="25.5">
      <c r="A600" s="93">
        <v>599</v>
      </c>
      <c r="B600" s="146" t="s">
        <v>5569</v>
      </c>
      <c r="C600" s="100" t="s">
        <v>6032</v>
      </c>
      <c r="D600" s="143" t="s">
        <v>5279</v>
      </c>
      <c r="E600" s="144"/>
      <c r="F600" s="144"/>
      <c r="G600" s="144"/>
      <c r="H600" s="144"/>
      <c r="I600" s="157">
        <v>44731</v>
      </c>
      <c r="J600" s="100" t="s">
        <v>954</v>
      </c>
      <c r="K600" s="98">
        <f t="shared" si="9"/>
        <v>2022</v>
      </c>
      <c r="L600" s="99" t="s">
        <v>5569</v>
      </c>
    </row>
    <row r="601" spans="1:12">
      <c r="A601" s="93">
        <v>600</v>
      </c>
      <c r="B601" s="146" t="s">
        <v>5569</v>
      </c>
      <c r="C601" s="100" t="s">
        <v>6033</v>
      </c>
      <c r="D601" s="143" t="s">
        <v>5279</v>
      </c>
      <c r="E601" s="144"/>
      <c r="F601" s="144"/>
      <c r="G601" s="144"/>
      <c r="H601" s="144"/>
      <c r="I601" s="157">
        <v>44732</v>
      </c>
      <c r="J601" s="100" t="s">
        <v>954</v>
      </c>
      <c r="K601" s="98">
        <f t="shared" si="9"/>
        <v>2022</v>
      </c>
      <c r="L601" s="99" t="s">
        <v>5569</v>
      </c>
    </row>
    <row r="602" spans="1:12" ht="25.5">
      <c r="A602" s="93">
        <v>601</v>
      </c>
      <c r="B602" s="146" t="s">
        <v>5664</v>
      </c>
      <c r="C602" s="100" t="s">
        <v>6034</v>
      </c>
      <c r="D602" s="143" t="s">
        <v>5279</v>
      </c>
      <c r="E602" s="144"/>
      <c r="F602" s="144"/>
      <c r="G602" s="144"/>
      <c r="H602" s="144"/>
      <c r="I602" s="157">
        <v>44734</v>
      </c>
      <c r="J602" s="100" t="s">
        <v>911</v>
      </c>
      <c r="K602" s="98">
        <f t="shared" si="9"/>
        <v>2022</v>
      </c>
      <c r="L602" s="99" t="s">
        <v>5664</v>
      </c>
    </row>
    <row r="603" spans="1:12">
      <c r="A603" s="93">
        <v>602</v>
      </c>
      <c r="B603" s="146" t="s">
        <v>5569</v>
      </c>
      <c r="C603" s="100" t="s">
        <v>6035</v>
      </c>
      <c r="D603" s="143" t="s">
        <v>5279</v>
      </c>
      <c r="E603" s="144"/>
      <c r="F603" s="144"/>
      <c r="G603" s="144"/>
      <c r="H603" s="144"/>
      <c r="I603" s="157">
        <v>44739</v>
      </c>
      <c r="J603" s="100" t="s">
        <v>980</v>
      </c>
      <c r="K603" s="98">
        <f t="shared" si="9"/>
        <v>2022</v>
      </c>
      <c r="L603" s="99" t="s">
        <v>5569</v>
      </c>
    </row>
    <row r="604" spans="1:12" ht="25.5">
      <c r="A604" s="93">
        <v>603</v>
      </c>
      <c r="B604" s="146" t="s">
        <v>5569</v>
      </c>
      <c r="C604" s="100" t="s">
        <v>6036</v>
      </c>
      <c r="D604" s="143" t="s">
        <v>5279</v>
      </c>
      <c r="E604" s="144"/>
      <c r="F604" s="144"/>
      <c r="G604" s="144"/>
      <c r="H604" s="144"/>
      <c r="I604" s="157">
        <v>44739</v>
      </c>
      <c r="J604" s="100" t="s">
        <v>989</v>
      </c>
      <c r="K604" s="98">
        <f t="shared" si="9"/>
        <v>2022</v>
      </c>
      <c r="L604" s="99" t="s">
        <v>5569</v>
      </c>
    </row>
    <row r="605" spans="1:12">
      <c r="A605" s="93">
        <v>604</v>
      </c>
      <c r="B605" s="146" t="s">
        <v>5569</v>
      </c>
      <c r="C605" s="100" t="s">
        <v>6037</v>
      </c>
      <c r="D605" s="143" t="s">
        <v>5299</v>
      </c>
      <c r="E605" s="144"/>
      <c r="F605" s="144"/>
      <c r="G605" s="144"/>
      <c r="H605" s="144"/>
      <c r="I605" s="157">
        <v>44740</v>
      </c>
      <c r="J605" s="96" t="s">
        <v>5617</v>
      </c>
      <c r="K605" s="98">
        <f t="shared" si="9"/>
        <v>2022</v>
      </c>
      <c r="L605" s="99" t="s">
        <v>5569</v>
      </c>
    </row>
    <row r="606" spans="1:12" ht="25.5">
      <c r="A606" s="93">
        <v>605</v>
      </c>
      <c r="B606" s="146" t="s">
        <v>5731</v>
      </c>
      <c r="C606" s="100" t="s">
        <v>6038</v>
      </c>
      <c r="D606" s="143" t="s">
        <v>5279</v>
      </c>
      <c r="E606" s="144"/>
      <c r="F606" s="144"/>
      <c r="G606" s="144"/>
      <c r="H606" s="144"/>
      <c r="I606" s="157">
        <v>44742</v>
      </c>
      <c r="J606" s="100" t="s">
        <v>831</v>
      </c>
      <c r="K606" s="98">
        <f t="shared" si="9"/>
        <v>2022</v>
      </c>
      <c r="L606" s="99" t="s">
        <v>5319</v>
      </c>
    </row>
    <row r="607" spans="1:12" ht="25.5">
      <c r="A607" s="93">
        <v>606</v>
      </c>
      <c r="B607" s="142" t="s">
        <v>5569</v>
      </c>
      <c r="C607" s="100" t="s">
        <v>6039</v>
      </c>
      <c r="D607" s="100" t="s">
        <v>5279</v>
      </c>
      <c r="E607" s="144"/>
      <c r="F607" s="144"/>
      <c r="G607" s="144"/>
      <c r="H607" s="144"/>
      <c r="I607" s="153">
        <v>44745</v>
      </c>
      <c r="J607" s="100" t="s">
        <v>938</v>
      </c>
      <c r="K607" s="98">
        <f t="shared" si="9"/>
        <v>2022</v>
      </c>
      <c r="L607" s="99" t="s">
        <v>5569</v>
      </c>
    </row>
    <row r="608" spans="1:12" ht="25.5">
      <c r="A608" s="93">
        <v>607</v>
      </c>
      <c r="B608" s="142" t="s">
        <v>6040</v>
      </c>
      <c r="C608" s="100" t="s">
        <v>6041</v>
      </c>
      <c r="D608" s="100" t="s">
        <v>5279</v>
      </c>
      <c r="E608" s="144"/>
      <c r="F608" s="144"/>
      <c r="G608" s="144"/>
      <c r="H608" s="144"/>
      <c r="I608" s="153">
        <v>44750</v>
      </c>
      <c r="J608" s="100" t="s">
        <v>911</v>
      </c>
      <c r="K608" s="98">
        <f t="shared" si="9"/>
        <v>2022</v>
      </c>
      <c r="L608" s="99" t="s">
        <v>5366</v>
      </c>
    </row>
    <row r="609" spans="1:12">
      <c r="A609" s="93">
        <v>608</v>
      </c>
      <c r="B609" s="142" t="s">
        <v>6040</v>
      </c>
      <c r="C609" s="100" t="s">
        <v>6042</v>
      </c>
      <c r="D609" s="100" t="s">
        <v>5279</v>
      </c>
      <c r="E609" s="144"/>
      <c r="F609" s="144"/>
      <c r="G609" s="144"/>
      <c r="H609" s="144"/>
      <c r="I609" s="153">
        <v>44751</v>
      </c>
      <c r="J609" s="100" t="s">
        <v>885</v>
      </c>
      <c r="K609" s="98">
        <f t="shared" si="9"/>
        <v>2022</v>
      </c>
      <c r="L609" s="99" t="s">
        <v>5366</v>
      </c>
    </row>
    <row r="610" spans="1:12">
      <c r="A610" s="93">
        <v>609</v>
      </c>
      <c r="B610" s="142" t="s">
        <v>6040</v>
      </c>
      <c r="C610" s="100" t="s">
        <v>6043</v>
      </c>
      <c r="D610" s="100" t="s">
        <v>5279</v>
      </c>
      <c r="E610" s="144"/>
      <c r="F610" s="144"/>
      <c r="G610" s="144"/>
      <c r="H610" s="144"/>
      <c r="I610" s="153">
        <v>44754</v>
      </c>
      <c r="J610" s="100" t="s">
        <v>885</v>
      </c>
      <c r="K610" s="98">
        <f t="shared" si="9"/>
        <v>2022</v>
      </c>
      <c r="L610" s="99" t="s">
        <v>5366</v>
      </c>
    </row>
    <row r="611" spans="1:12">
      <c r="A611" s="93">
        <v>610</v>
      </c>
      <c r="B611" s="142" t="s">
        <v>6040</v>
      </c>
      <c r="C611" s="100" t="s">
        <v>6044</v>
      </c>
      <c r="D611" s="143" t="s">
        <v>5299</v>
      </c>
      <c r="E611" s="144"/>
      <c r="F611" s="144"/>
      <c r="G611" s="144"/>
      <c r="H611" s="144"/>
      <c r="I611" s="153">
        <v>44755</v>
      </c>
      <c r="J611" s="96" t="s">
        <v>5617</v>
      </c>
      <c r="K611" s="98">
        <f t="shared" si="9"/>
        <v>2022</v>
      </c>
      <c r="L611" s="99" t="s">
        <v>5366</v>
      </c>
    </row>
    <row r="612" spans="1:12" ht="51">
      <c r="A612" s="93">
        <v>611</v>
      </c>
      <c r="B612" s="146" t="s">
        <v>5569</v>
      </c>
      <c r="C612" s="100" t="s">
        <v>6045</v>
      </c>
      <c r="D612" s="100" t="s">
        <v>5288</v>
      </c>
      <c r="E612" s="144"/>
      <c r="F612" s="144"/>
      <c r="G612" s="144"/>
      <c r="H612" s="144"/>
      <c r="I612" s="153">
        <v>44760</v>
      </c>
      <c r="J612" s="100" t="s">
        <v>6046</v>
      </c>
      <c r="K612" s="98">
        <f t="shared" si="9"/>
        <v>2022</v>
      </c>
      <c r="L612" s="99" t="s">
        <v>5569</v>
      </c>
    </row>
    <row r="613" spans="1:12" ht="25.5">
      <c r="A613" s="93">
        <v>612</v>
      </c>
      <c r="B613" s="142" t="s">
        <v>5569</v>
      </c>
      <c r="C613" s="100" t="s">
        <v>6047</v>
      </c>
      <c r="D613" s="100" t="s">
        <v>5279</v>
      </c>
      <c r="E613" s="144"/>
      <c r="F613" s="144"/>
      <c r="G613" s="144"/>
      <c r="H613" s="144"/>
      <c r="I613" s="153">
        <v>44766</v>
      </c>
      <c r="J613" s="100" t="s">
        <v>938</v>
      </c>
      <c r="K613" s="98">
        <f t="shared" si="9"/>
        <v>2022</v>
      </c>
      <c r="L613" s="99" t="s">
        <v>5569</v>
      </c>
    </row>
    <row r="614" spans="1:12">
      <c r="A614" s="93">
        <v>613</v>
      </c>
      <c r="B614" s="146" t="s">
        <v>5569</v>
      </c>
      <c r="C614" s="100" t="s">
        <v>6048</v>
      </c>
      <c r="D614" s="143" t="s">
        <v>5279</v>
      </c>
      <c r="E614" s="144"/>
      <c r="F614" s="144"/>
      <c r="G614" s="144"/>
      <c r="H614" s="144"/>
      <c r="I614" s="157">
        <v>44767</v>
      </c>
      <c r="J614" s="100" t="s">
        <v>974</v>
      </c>
      <c r="K614" s="98">
        <f t="shared" si="9"/>
        <v>2022</v>
      </c>
      <c r="L614" s="99" t="s">
        <v>5569</v>
      </c>
    </row>
    <row r="615" spans="1:12">
      <c r="A615" s="93">
        <v>614</v>
      </c>
      <c r="B615" s="142" t="s">
        <v>6049</v>
      </c>
      <c r="C615" s="100" t="s">
        <v>6050</v>
      </c>
      <c r="D615" s="100" t="s">
        <v>5279</v>
      </c>
      <c r="E615" s="144"/>
      <c r="F615" s="144"/>
      <c r="G615" s="144"/>
      <c r="H615" s="144"/>
      <c r="I615" s="153">
        <v>44768</v>
      </c>
      <c r="J615" s="100" t="s">
        <v>911</v>
      </c>
      <c r="K615" s="98">
        <f t="shared" si="9"/>
        <v>2022</v>
      </c>
      <c r="L615" s="99" t="s">
        <v>5973</v>
      </c>
    </row>
    <row r="616" spans="1:12">
      <c r="A616" s="93">
        <v>615</v>
      </c>
      <c r="B616" s="146" t="s">
        <v>5569</v>
      </c>
      <c r="C616" s="100" t="s">
        <v>6051</v>
      </c>
      <c r="D616" s="143" t="s">
        <v>5279</v>
      </c>
      <c r="E616" s="144"/>
      <c r="F616" s="144"/>
      <c r="G616" s="144"/>
      <c r="H616" s="144"/>
      <c r="I616" s="157">
        <v>44768</v>
      </c>
      <c r="J616" s="100" t="s">
        <v>947</v>
      </c>
      <c r="K616" s="98">
        <f t="shared" si="9"/>
        <v>2022</v>
      </c>
      <c r="L616" s="99" t="s">
        <v>5569</v>
      </c>
    </row>
    <row r="617" spans="1:12" ht="25.5">
      <c r="A617" s="93">
        <v>616</v>
      </c>
      <c r="B617" s="146" t="s">
        <v>5569</v>
      </c>
      <c r="C617" s="100" t="s">
        <v>6052</v>
      </c>
      <c r="D617" s="143" t="s">
        <v>5279</v>
      </c>
      <c r="E617" s="144"/>
      <c r="F617" s="144"/>
      <c r="G617" s="144"/>
      <c r="H617" s="144"/>
      <c r="I617" s="157">
        <v>44766</v>
      </c>
      <c r="J617" s="100" t="s">
        <v>831</v>
      </c>
      <c r="K617" s="98">
        <f t="shared" si="9"/>
        <v>2022</v>
      </c>
      <c r="L617" s="99" t="s">
        <v>5569</v>
      </c>
    </row>
    <row r="618" spans="1:12" ht="25.5">
      <c r="A618" s="93">
        <v>617</v>
      </c>
      <c r="B618" s="146" t="s">
        <v>5569</v>
      </c>
      <c r="C618" s="100" t="s">
        <v>6053</v>
      </c>
      <c r="D618" s="143" t="s">
        <v>5279</v>
      </c>
      <c r="E618" s="144"/>
      <c r="F618" s="144"/>
      <c r="G618" s="144"/>
      <c r="H618" s="144"/>
      <c r="I618" s="157">
        <v>44770</v>
      </c>
      <c r="J618" s="100" t="s">
        <v>925</v>
      </c>
      <c r="K618" s="98">
        <f t="shared" si="9"/>
        <v>2022</v>
      </c>
      <c r="L618" s="99" t="s">
        <v>5569</v>
      </c>
    </row>
    <row r="619" spans="1:12" ht="25.5">
      <c r="A619" s="93">
        <v>618</v>
      </c>
      <c r="B619" s="146" t="s">
        <v>5569</v>
      </c>
      <c r="C619" s="100" t="s">
        <v>6054</v>
      </c>
      <c r="D619" s="143" t="s">
        <v>5279</v>
      </c>
      <c r="E619" s="144"/>
      <c r="F619" s="144"/>
      <c r="G619" s="144"/>
      <c r="H619" s="144"/>
      <c r="I619" s="157">
        <v>44770</v>
      </c>
      <c r="J619" s="100" t="s">
        <v>969</v>
      </c>
      <c r="K619" s="98">
        <f t="shared" si="9"/>
        <v>2022</v>
      </c>
      <c r="L619" s="99" t="s">
        <v>5569</v>
      </c>
    </row>
    <row r="620" spans="1:12">
      <c r="A620" s="93">
        <v>619</v>
      </c>
      <c r="B620" s="146" t="s">
        <v>5569</v>
      </c>
      <c r="C620" s="100" t="s">
        <v>6055</v>
      </c>
      <c r="D620" s="143" t="s">
        <v>5279</v>
      </c>
      <c r="E620" s="144"/>
      <c r="F620" s="144"/>
      <c r="G620" s="144"/>
      <c r="H620" s="144"/>
      <c r="I620" s="157">
        <v>44775</v>
      </c>
      <c r="J620" s="100" t="s">
        <v>965</v>
      </c>
      <c r="K620" s="98">
        <f t="shared" si="9"/>
        <v>2022</v>
      </c>
      <c r="L620" s="99" t="s">
        <v>5569</v>
      </c>
    </row>
    <row r="621" spans="1:12" ht="25.5">
      <c r="A621" s="93">
        <v>620</v>
      </c>
      <c r="B621" s="146" t="s">
        <v>6056</v>
      </c>
      <c r="C621" s="100" t="s">
        <v>6057</v>
      </c>
      <c r="D621" s="143" t="s">
        <v>5279</v>
      </c>
      <c r="E621" s="144"/>
      <c r="F621" s="144"/>
      <c r="G621" s="144"/>
      <c r="H621" s="144"/>
      <c r="I621" s="157">
        <v>44788</v>
      </c>
      <c r="J621" s="100" t="s">
        <v>862</v>
      </c>
      <c r="K621" s="98">
        <f t="shared" si="9"/>
        <v>2022</v>
      </c>
      <c r="L621" s="99" t="s">
        <v>5673</v>
      </c>
    </row>
    <row r="622" spans="1:12">
      <c r="A622" s="93">
        <v>621</v>
      </c>
      <c r="B622" s="142" t="s">
        <v>5569</v>
      </c>
      <c r="C622" s="100" t="s">
        <v>6058</v>
      </c>
      <c r="D622" s="100" t="s">
        <v>5279</v>
      </c>
      <c r="E622" s="144"/>
      <c r="F622" s="144"/>
      <c r="G622" s="144"/>
      <c r="H622" s="144"/>
      <c r="I622" s="153">
        <v>44793</v>
      </c>
      <c r="J622" s="100" t="s">
        <v>965</v>
      </c>
      <c r="K622" s="98">
        <f t="shared" si="9"/>
        <v>2022</v>
      </c>
      <c r="L622" s="99" t="s">
        <v>5569</v>
      </c>
    </row>
    <row r="623" spans="1:12" ht="25.5">
      <c r="A623" s="93">
        <v>622</v>
      </c>
      <c r="B623" s="142" t="s">
        <v>6040</v>
      </c>
      <c r="C623" s="100" t="s">
        <v>6059</v>
      </c>
      <c r="D623" s="100" t="s">
        <v>5279</v>
      </c>
      <c r="E623" s="144"/>
      <c r="F623" s="144"/>
      <c r="G623" s="144"/>
      <c r="H623" s="144"/>
      <c r="I623" s="153">
        <v>44799</v>
      </c>
      <c r="J623" s="100" t="s">
        <v>989</v>
      </c>
      <c r="K623" s="98">
        <f t="shared" si="9"/>
        <v>2022</v>
      </c>
      <c r="L623" s="99" t="s">
        <v>5366</v>
      </c>
    </row>
    <row r="624" spans="1:12" ht="38.25">
      <c r="A624" s="93">
        <v>623</v>
      </c>
      <c r="B624" s="146" t="s">
        <v>5664</v>
      </c>
      <c r="C624" s="100" t="s">
        <v>6060</v>
      </c>
      <c r="D624" s="143" t="s">
        <v>5279</v>
      </c>
      <c r="E624" s="144"/>
      <c r="F624" s="144"/>
      <c r="G624" s="144"/>
      <c r="H624" s="144"/>
      <c r="I624" s="157">
        <v>44811</v>
      </c>
      <c r="J624" s="100" t="s">
        <v>994</v>
      </c>
      <c r="K624" s="98">
        <f t="shared" si="9"/>
        <v>2022</v>
      </c>
      <c r="L624" s="99" t="s">
        <v>5664</v>
      </c>
    </row>
    <row r="625" spans="1:12" ht="38.25">
      <c r="A625" s="93">
        <v>624</v>
      </c>
      <c r="B625" s="146" t="s">
        <v>5664</v>
      </c>
      <c r="C625" s="100" t="s">
        <v>6061</v>
      </c>
      <c r="D625" s="143" t="s">
        <v>5279</v>
      </c>
      <c r="E625" s="144"/>
      <c r="F625" s="144"/>
      <c r="G625" s="144"/>
      <c r="H625" s="144"/>
      <c r="I625" s="157">
        <v>44836</v>
      </c>
      <c r="J625" s="100" t="s">
        <v>862</v>
      </c>
      <c r="K625" s="98">
        <f t="shared" si="9"/>
        <v>2022</v>
      </c>
      <c r="L625" s="99" t="s">
        <v>5664</v>
      </c>
    </row>
    <row r="626" spans="1:12" ht="38.25">
      <c r="A626" s="93">
        <v>625</v>
      </c>
      <c r="B626" s="146" t="s">
        <v>5664</v>
      </c>
      <c r="C626" s="100" t="s">
        <v>6062</v>
      </c>
      <c r="D626" s="143" t="s">
        <v>5279</v>
      </c>
      <c r="E626" s="144"/>
      <c r="F626" s="144"/>
      <c r="G626" s="144"/>
      <c r="H626" s="144"/>
      <c r="I626" s="157">
        <v>44847</v>
      </c>
      <c r="J626" s="100" t="s">
        <v>862</v>
      </c>
      <c r="K626" s="98">
        <f t="shared" si="9"/>
        <v>2022</v>
      </c>
      <c r="L626" s="99" t="s">
        <v>5664</v>
      </c>
    </row>
    <row r="627" spans="1:12" ht="38.25">
      <c r="A627" s="93">
        <v>626</v>
      </c>
      <c r="B627" s="146" t="s">
        <v>5664</v>
      </c>
      <c r="C627" s="100" t="s">
        <v>6063</v>
      </c>
      <c r="D627" s="157" t="s">
        <v>5279</v>
      </c>
      <c r="E627" s="144"/>
      <c r="F627" s="144"/>
      <c r="G627" s="144"/>
      <c r="H627" s="144"/>
      <c r="I627" s="157">
        <v>44851</v>
      </c>
      <c r="J627" s="100" t="s">
        <v>862</v>
      </c>
      <c r="K627" s="98">
        <f t="shared" si="9"/>
        <v>2022</v>
      </c>
      <c r="L627" s="99" t="s">
        <v>5664</v>
      </c>
    </row>
    <row r="628" spans="1:12" ht="51">
      <c r="A628" s="93">
        <v>627</v>
      </c>
      <c r="B628" s="146" t="s">
        <v>5731</v>
      </c>
      <c r="C628" s="100" t="s">
        <v>6064</v>
      </c>
      <c r="D628" s="143" t="s">
        <v>5284</v>
      </c>
      <c r="E628" s="144"/>
      <c r="F628" s="144"/>
      <c r="G628" s="144"/>
      <c r="H628" s="144"/>
      <c r="I628" s="157">
        <v>44868</v>
      </c>
      <c r="J628" s="101" t="s">
        <v>738</v>
      </c>
      <c r="K628" s="98">
        <f t="shared" si="9"/>
        <v>2022</v>
      </c>
      <c r="L628" s="99" t="s">
        <v>5280</v>
      </c>
    </row>
    <row r="629" spans="1:12" ht="25.5">
      <c r="A629" s="93">
        <v>628</v>
      </c>
      <c r="B629" s="146" t="s">
        <v>5629</v>
      </c>
      <c r="C629" s="151" t="s">
        <v>6065</v>
      </c>
      <c r="D629" s="143" t="s">
        <v>5279</v>
      </c>
      <c r="E629" s="144"/>
      <c r="F629" s="144"/>
      <c r="G629" s="144"/>
      <c r="H629" s="144"/>
      <c r="I629" s="157">
        <v>44944</v>
      </c>
      <c r="J629" s="100" t="s">
        <v>925</v>
      </c>
      <c r="K629" s="98">
        <f t="shared" si="9"/>
        <v>2023</v>
      </c>
      <c r="L629" s="99" t="s">
        <v>5673</v>
      </c>
    </row>
    <row r="630" spans="1:12" ht="38.25">
      <c r="A630" s="93">
        <v>629</v>
      </c>
      <c r="B630" s="146" t="s">
        <v>5629</v>
      </c>
      <c r="C630" s="151" t="s">
        <v>6066</v>
      </c>
      <c r="D630" s="143" t="s">
        <v>5279</v>
      </c>
      <c r="E630" s="144"/>
      <c r="F630" s="144"/>
      <c r="G630" s="144"/>
      <c r="H630" s="144"/>
      <c r="I630" s="157">
        <v>44949</v>
      </c>
      <c r="J630" s="100" t="s">
        <v>862</v>
      </c>
      <c r="K630" s="98">
        <f t="shared" si="9"/>
        <v>2023</v>
      </c>
      <c r="L630" s="99" t="s">
        <v>5673</v>
      </c>
    </row>
    <row r="631" spans="1:12" ht="25.5">
      <c r="A631" s="93">
        <v>630</v>
      </c>
      <c r="B631" s="146" t="s">
        <v>5745</v>
      </c>
      <c r="C631" s="151" t="s">
        <v>6067</v>
      </c>
      <c r="D631" s="143" t="s">
        <v>5279</v>
      </c>
      <c r="E631" s="144"/>
      <c r="F631" s="144"/>
      <c r="G631" s="144"/>
      <c r="H631" s="144"/>
      <c r="I631" s="157">
        <v>44956</v>
      </c>
      <c r="J631" s="100" t="s">
        <v>947</v>
      </c>
      <c r="K631" s="98">
        <f t="shared" si="9"/>
        <v>2023</v>
      </c>
      <c r="L631" s="99" t="s">
        <v>5747</v>
      </c>
    </row>
    <row r="632" spans="1:12" ht="38.25">
      <c r="A632" s="93">
        <v>631</v>
      </c>
      <c r="B632" s="146" t="s">
        <v>6068</v>
      </c>
      <c r="C632" s="158" t="s">
        <v>6069</v>
      </c>
      <c r="D632" s="143" t="s">
        <v>5279</v>
      </c>
      <c r="E632" s="144"/>
      <c r="F632" s="144"/>
      <c r="G632" s="144"/>
      <c r="H632" s="144"/>
      <c r="I632" s="157">
        <v>45053</v>
      </c>
      <c r="J632" s="96" t="s">
        <v>897</v>
      </c>
      <c r="K632" s="98">
        <f t="shared" si="9"/>
        <v>2023</v>
      </c>
      <c r="L632" s="99" t="s">
        <v>5354</v>
      </c>
    </row>
    <row r="633" spans="1:12" ht="25.5">
      <c r="A633" s="93">
        <v>632</v>
      </c>
      <c r="B633" s="146" t="s">
        <v>5354</v>
      </c>
      <c r="C633" s="158" t="s">
        <v>6070</v>
      </c>
      <c r="D633" s="143" t="s">
        <v>5279</v>
      </c>
      <c r="E633" s="144"/>
      <c r="F633" s="144"/>
      <c r="G633" s="144"/>
      <c r="H633" s="144"/>
      <c r="I633" s="157">
        <v>45056</v>
      </c>
      <c r="J633" s="96" t="s">
        <v>911</v>
      </c>
      <c r="K633" s="98">
        <f t="shared" si="9"/>
        <v>2023</v>
      </c>
      <c r="L633" s="99" t="s">
        <v>5354</v>
      </c>
    </row>
    <row r="634" spans="1:12" ht="38.25">
      <c r="A634" s="93">
        <v>633</v>
      </c>
      <c r="B634" s="146" t="s">
        <v>5354</v>
      </c>
      <c r="C634" s="158" t="s">
        <v>6071</v>
      </c>
      <c r="D634" s="143" t="s">
        <v>5279</v>
      </c>
      <c r="E634" s="144"/>
      <c r="F634" s="144"/>
      <c r="G634" s="144"/>
      <c r="H634" s="144"/>
      <c r="I634" s="157">
        <v>45057</v>
      </c>
      <c r="J634" s="96" t="s">
        <v>911</v>
      </c>
      <c r="K634" s="98">
        <f t="shared" si="9"/>
        <v>2023</v>
      </c>
      <c r="L634" s="99" t="s">
        <v>5354</v>
      </c>
    </row>
    <row r="635" spans="1:12" ht="38.25">
      <c r="A635" s="93">
        <v>634</v>
      </c>
      <c r="B635" s="146" t="s">
        <v>6068</v>
      </c>
      <c r="C635" s="158" t="s">
        <v>6072</v>
      </c>
      <c r="D635" s="143" t="s">
        <v>5279</v>
      </c>
      <c r="E635" s="144"/>
      <c r="F635" s="144"/>
      <c r="G635" s="144"/>
      <c r="H635" s="144"/>
      <c r="I635" s="157">
        <v>45057</v>
      </c>
      <c r="J635" s="100" t="s">
        <v>911</v>
      </c>
      <c r="K635" s="98">
        <f t="shared" si="9"/>
        <v>2023</v>
      </c>
      <c r="L635" s="99" t="s">
        <v>5354</v>
      </c>
    </row>
    <row r="636" spans="1:12" ht="51">
      <c r="A636" s="93">
        <v>635</v>
      </c>
      <c r="B636" s="146" t="s">
        <v>6068</v>
      </c>
      <c r="C636" s="142" t="s">
        <v>6073</v>
      </c>
      <c r="D636" s="143" t="s">
        <v>5279</v>
      </c>
      <c r="E636" s="144"/>
      <c r="F636" s="144"/>
      <c r="G636" s="144"/>
      <c r="H636" s="144"/>
      <c r="I636" s="157">
        <v>45062</v>
      </c>
      <c r="J636" s="96" t="s">
        <v>985</v>
      </c>
      <c r="K636" s="98">
        <f t="shared" si="9"/>
        <v>2023</v>
      </c>
      <c r="L636" s="99" t="s">
        <v>5354</v>
      </c>
    </row>
    <row r="637" spans="1:12" ht="51">
      <c r="A637" s="93">
        <v>636</v>
      </c>
      <c r="B637" s="146" t="s">
        <v>5354</v>
      </c>
      <c r="C637" s="142" t="s">
        <v>6074</v>
      </c>
      <c r="D637" s="143" t="s">
        <v>5279</v>
      </c>
      <c r="E637" s="144"/>
      <c r="F637" s="144"/>
      <c r="G637" s="144"/>
      <c r="H637" s="144"/>
      <c r="I637" s="157">
        <v>45065</v>
      </c>
      <c r="J637" s="96" t="s">
        <v>974</v>
      </c>
      <c r="K637" s="98">
        <f t="shared" si="9"/>
        <v>2023</v>
      </c>
      <c r="L637" s="99" t="s">
        <v>5354</v>
      </c>
    </row>
    <row r="638" spans="1:12" ht="25.5">
      <c r="A638" s="93">
        <v>637</v>
      </c>
      <c r="B638" s="146" t="s">
        <v>5354</v>
      </c>
      <c r="C638" s="142" t="s">
        <v>6075</v>
      </c>
      <c r="D638" s="143" t="s">
        <v>5279</v>
      </c>
      <c r="E638" s="144"/>
      <c r="F638" s="144"/>
      <c r="G638" s="144"/>
      <c r="H638" s="144"/>
      <c r="I638" s="157">
        <v>45066</v>
      </c>
      <c r="J638" s="96" t="s">
        <v>844</v>
      </c>
      <c r="K638" s="98">
        <f t="shared" si="9"/>
        <v>2023</v>
      </c>
      <c r="L638" s="99" t="s">
        <v>5354</v>
      </c>
    </row>
    <row r="639" spans="1:12" ht="38.25">
      <c r="A639" s="93">
        <v>638</v>
      </c>
      <c r="B639" s="146" t="s">
        <v>5354</v>
      </c>
      <c r="C639" s="142" t="s">
        <v>6076</v>
      </c>
      <c r="D639" s="143" t="s">
        <v>5279</v>
      </c>
      <c r="E639" s="144"/>
      <c r="F639" s="144"/>
      <c r="G639" s="144"/>
      <c r="H639" s="144"/>
      <c r="I639" s="157">
        <v>45067</v>
      </c>
      <c r="J639" s="96" t="s">
        <v>934</v>
      </c>
      <c r="K639" s="98">
        <f t="shared" si="9"/>
        <v>2023</v>
      </c>
      <c r="L639" s="99" t="s">
        <v>5354</v>
      </c>
    </row>
    <row r="640" spans="1:12" ht="25.5">
      <c r="A640" s="93">
        <v>639</v>
      </c>
      <c r="B640" s="146" t="s">
        <v>6077</v>
      </c>
      <c r="C640" s="149" t="s">
        <v>6078</v>
      </c>
      <c r="D640" s="143" t="s">
        <v>5279</v>
      </c>
      <c r="E640" s="144"/>
      <c r="F640" s="144"/>
      <c r="G640" s="144"/>
      <c r="H640" s="144"/>
      <c r="I640" s="157">
        <v>45069</v>
      </c>
      <c r="J640" s="100" t="s">
        <v>999</v>
      </c>
      <c r="K640" s="98">
        <f t="shared" si="9"/>
        <v>2023</v>
      </c>
      <c r="L640" s="99" t="s">
        <v>5354</v>
      </c>
    </row>
    <row r="641" spans="1:12" ht="38.25">
      <c r="A641" s="93">
        <v>640</v>
      </c>
      <c r="B641" s="142" t="s">
        <v>5354</v>
      </c>
      <c r="C641" s="142" t="s">
        <v>6079</v>
      </c>
      <c r="D641" s="100" t="s">
        <v>5279</v>
      </c>
      <c r="E641" s="144"/>
      <c r="F641" s="144"/>
      <c r="G641" s="144"/>
      <c r="H641" s="144"/>
      <c r="I641" s="153">
        <v>45077</v>
      </c>
      <c r="J641" s="100" t="s">
        <v>853</v>
      </c>
      <c r="K641" s="98">
        <f t="shared" si="9"/>
        <v>2023</v>
      </c>
      <c r="L641" s="99" t="s">
        <v>5354</v>
      </c>
    </row>
    <row r="642" spans="1:12" ht="25.5">
      <c r="A642" s="93">
        <v>641</v>
      </c>
      <c r="B642" s="142" t="s">
        <v>5354</v>
      </c>
      <c r="C642" s="149" t="s">
        <v>6080</v>
      </c>
      <c r="D642" s="100" t="s">
        <v>5279</v>
      </c>
      <c r="E642" s="144"/>
      <c r="F642" s="144"/>
      <c r="G642" s="144"/>
      <c r="H642" s="144"/>
      <c r="I642" s="153">
        <v>45081</v>
      </c>
      <c r="J642" s="100" t="s">
        <v>994</v>
      </c>
      <c r="K642" s="98">
        <f t="shared" si="9"/>
        <v>2023</v>
      </c>
      <c r="L642" s="99" t="s">
        <v>5354</v>
      </c>
    </row>
    <row r="643" spans="1:12" ht="25.5">
      <c r="A643" s="93">
        <v>642</v>
      </c>
      <c r="B643" s="146" t="s">
        <v>5664</v>
      </c>
      <c r="C643" s="142" t="s">
        <v>6081</v>
      </c>
      <c r="D643" s="143" t="s">
        <v>5279</v>
      </c>
      <c r="E643" s="144"/>
      <c r="F643" s="144"/>
      <c r="G643" s="144"/>
      <c r="H643" s="144"/>
      <c r="I643" s="157">
        <v>45083</v>
      </c>
      <c r="J643" s="96" t="s">
        <v>862</v>
      </c>
      <c r="K643" s="98">
        <f t="shared" ref="K643:K706" si="10">YEAR(I643)</f>
        <v>2023</v>
      </c>
      <c r="L643" s="99" t="s">
        <v>5664</v>
      </c>
    </row>
    <row r="644" spans="1:12" ht="25.5">
      <c r="A644" s="93">
        <v>643</v>
      </c>
      <c r="B644" s="146" t="s">
        <v>5974</v>
      </c>
      <c r="C644" s="151" t="s">
        <v>6082</v>
      </c>
      <c r="D644" s="143" t="s">
        <v>5279</v>
      </c>
      <c r="E644" s="144"/>
      <c r="F644" s="144"/>
      <c r="G644" s="144"/>
      <c r="H644" s="144"/>
      <c r="I644" s="157">
        <v>45092</v>
      </c>
      <c r="J644" s="100" t="s">
        <v>954</v>
      </c>
      <c r="K644" s="98">
        <f t="shared" si="10"/>
        <v>2023</v>
      </c>
      <c r="L644" s="99" t="s">
        <v>5569</v>
      </c>
    </row>
    <row r="645" spans="1:12" ht="25.5">
      <c r="A645" s="93">
        <v>644</v>
      </c>
      <c r="B645" s="146" t="s">
        <v>5974</v>
      </c>
      <c r="C645" s="151" t="s">
        <v>6083</v>
      </c>
      <c r="D645" s="143" t="s">
        <v>5279</v>
      </c>
      <c r="E645" s="144"/>
      <c r="F645" s="144"/>
      <c r="G645" s="144"/>
      <c r="H645" s="144"/>
      <c r="I645" s="157">
        <v>45106</v>
      </c>
      <c r="J645" s="96" t="s">
        <v>989</v>
      </c>
      <c r="K645" s="98">
        <f t="shared" si="10"/>
        <v>2023</v>
      </c>
      <c r="L645" s="99" t="s">
        <v>5569</v>
      </c>
    </row>
    <row r="646" spans="1:12" ht="25.5">
      <c r="A646" s="93">
        <v>645</v>
      </c>
      <c r="B646" s="146" t="s">
        <v>5974</v>
      </c>
      <c r="C646" s="151" t="s">
        <v>6084</v>
      </c>
      <c r="D646" s="143" t="s">
        <v>5279</v>
      </c>
      <c r="E646" s="144"/>
      <c r="F646" s="144"/>
      <c r="G646" s="144"/>
      <c r="H646" s="144"/>
      <c r="I646" s="157">
        <v>45109</v>
      </c>
      <c r="J646" s="100" t="s">
        <v>954</v>
      </c>
      <c r="K646" s="98">
        <f t="shared" si="10"/>
        <v>2023</v>
      </c>
      <c r="L646" s="99" t="s">
        <v>5569</v>
      </c>
    </row>
    <row r="647" spans="1:12">
      <c r="A647" s="93">
        <v>646</v>
      </c>
      <c r="B647" s="146" t="s">
        <v>5974</v>
      </c>
      <c r="C647" s="151" t="s">
        <v>6085</v>
      </c>
      <c r="D647" s="143" t="s">
        <v>5299</v>
      </c>
      <c r="E647" s="144"/>
      <c r="F647" s="144"/>
      <c r="G647" s="144"/>
      <c r="H647" s="144"/>
      <c r="I647" s="157">
        <v>45110</v>
      </c>
      <c r="J647" s="96" t="s">
        <v>5617</v>
      </c>
      <c r="K647" s="98">
        <f t="shared" si="10"/>
        <v>2023</v>
      </c>
      <c r="L647" s="99" t="s">
        <v>5569</v>
      </c>
    </row>
    <row r="648" spans="1:12" ht="25.5">
      <c r="A648" s="93">
        <v>647</v>
      </c>
      <c r="B648" s="146" t="s">
        <v>5974</v>
      </c>
      <c r="C648" s="151" t="s">
        <v>6086</v>
      </c>
      <c r="D648" s="143" t="s">
        <v>5279</v>
      </c>
      <c r="E648" s="144"/>
      <c r="F648" s="144"/>
      <c r="G648" s="144"/>
      <c r="H648" s="144"/>
      <c r="I648" s="157">
        <v>45110</v>
      </c>
      <c r="J648" s="96" t="s">
        <v>892</v>
      </c>
      <c r="K648" s="98">
        <f t="shared" si="10"/>
        <v>2023</v>
      </c>
      <c r="L648" s="99" t="s">
        <v>5569</v>
      </c>
    </row>
    <row r="649" spans="1:12" ht="25.5">
      <c r="A649" s="93">
        <v>648</v>
      </c>
      <c r="B649" s="146" t="s">
        <v>5974</v>
      </c>
      <c r="C649" s="151" t="s">
        <v>6087</v>
      </c>
      <c r="D649" s="143" t="s">
        <v>5279</v>
      </c>
      <c r="E649" s="144"/>
      <c r="F649" s="144"/>
      <c r="G649" s="144"/>
      <c r="H649" s="144"/>
      <c r="I649" s="157">
        <v>45111</v>
      </c>
      <c r="J649" s="96" t="s">
        <v>831</v>
      </c>
      <c r="K649" s="98">
        <f t="shared" si="10"/>
        <v>2023</v>
      </c>
      <c r="L649" s="99" t="s">
        <v>5569</v>
      </c>
    </row>
    <row r="650" spans="1:12">
      <c r="A650" s="93">
        <v>649</v>
      </c>
      <c r="B650" s="146" t="s">
        <v>5974</v>
      </c>
      <c r="C650" s="151" t="s">
        <v>6088</v>
      </c>
      <c r="D650" s="143" t="s">
        <v>5279</v>
      </c>
      <c r="E650" s="144"/>
      <c r="F650" s="144"/>
      <c r="G650" s="144"/>
      <c r="H650" s="144"/>
      <c r="I650" s="157">
        <v>45111</v>
      </c>
      <c r="J650" s="100" t="s">
        <v>951</v>
      </c>
      <c r="K650" s="98">
        <f t="shared" si="10"/>
        <v>2023</v>
      </c>
      <c r="L650" s="99" t="s">
        <v>5569</v>
      </c>
    </row>
    <row r="651" spans="1:12">
      <c r="A651" s="93">
        <v>650</v>
      </c>
      <c r="B651" s="146" t="s">
        <v>5974</v>
      </c>
      <c r="C651" s="151" t="s">
        <v>6089</v>
      </c>
      <c r="D651" s="143" t="s">
        <v>5279</v>
      </c>
      <c r="E651" s="144"/>
      <c r="F651" s="144"/>
      <c r="G651" s="144"/>
      <c r="H651" s="144"/>
      <c r="I651" s="157">
        <v>45112</v>
      </c>
      <c r="J651" s="100" t="s">
        <v>938</v>
      </c>
      <c r="K651" s="98">
        <f t="shared" si="10"/>
        <v>2023</v>
      </c>
      <c r="L651" s="99" t="s">
        <v>5569</v>
      </c>
    </row>
    <row r="652" spans="1:12" ht="51">
      <c r="A652" s="93">
        <v>651</v>
      </c>
      <c r="B652" s="146" t="s">
        <v>5974</v>
      </c>
      <c r="C652" s="151" t="s">
        <v>6090</v>
      </c>
      <c r="D652" s="143" t="s">
        <v>6091</v>
      </c>
      <c r="E652" s="144"/>
      <c r="F652" s="144"/>
      <c r="G652" s="144"/>
      <c r="H652" s="144"/>
      <c r="I652" s="157">
        <v>45117</v>
      </c>
      <c r="J652" s="100" t="s">
        <v>6046</v>
      </c>
      <c r="K652" s="98">
        <f t="shared" si="10"/>
        <v>2023</v>
      </c>
      <c r="L652" s="99" t="s">
        <v>5569</v>
      </c>
    </row>
    <row r="653" spans="1:12" ht="25.5">
      <c r="A653" s="93">
        <v>652</v>
      </c>
      <c r="B653" s="146" t="s">
        <v>5974</v>
      </c>
      <c r="C653" s="151" t="s">
        <v>6092</v>
      </c>
      <c r="D653" s="143" t="s">
        <v>5279</v>
      </c>
      <c r="E653" s="144"/>
      <c r="F653" s="144"/>
      <c r="G653" s="144"/>
      <c r="H653" s="144"/>
      <c r="I653" s="157">
        <v>45119</v>
      </c>
      <c r="J653" s="96" t="s">
        <v>844</v>
      </c>
      <c r="K653" s="98">
        <f t="shared" si="10"/>
        <v>2023</v>
      </c>
      <c r="L653" s="99" t="s">
        <v>5569</v>
      </c>
    </row>
    <row r="654" spans="1:12" ht="25.5">
      <c r="A654" s="93">
        <v>653</v>
      </c>
      <c r="B654" s="146" t="s">
        <v>6093</v>
      </c>
      <c r="C654" s="151" t="s">
        <v>6094</v>
      </c>
      <c r="D654" s="143" t="s">
        <v>5279</v>
      </c>
      <c r="E654" s="144"/>
      <c r="F654" s="144"/>
      <c r="G654" s="144"/>
      <c r="H654" s="144"/>
      <c r="I654" s="157">
        <v>45119</v>
      </c>
      <c r="J654" s="100" t="s">
        <v>951</v>
      </c>
      <c r="K654" s="98">
        <f t="shared" si="10"/>
        <v>2023</v>
      </c>
      <c r="L654" s="99" t="s">
        <v>5366</v>
      </c>
    </row>
    <row r="655" spans="1:12">
      <c r="A655" s="93">
        <v>654</v>
      </c>
      <c r="B655" s="146" t="s">
        <v>5974</v>
      </c>
      <c r="C655" s="151" t="s">
        <v>6095</v>
      </c>
      <c r="D655" s="143" t="s">
        <v>5279</v>
      </c>
      <c r="E655" s="144"/>
      <c r="F655" s="144"/>
      <c r="G655" s="144"/>
      <c r="H655" s="144"/>
      <c r="I655" s="157">
        <v>45119</v>
      </c>
      <c r="J655" s="96" t="s">
        <v>879</v>
      </c>
      <c r="K655" s="98">
        <f t="shared" si="10"/>
        <v>2023</v>
      </c>
      <c r="L655" s="99" t="s">
        <v>5569</v>
      </c>
    </row>
    <row r="656" spans="1:12">
      <c r="A656" s="93">
        <v>655</v>
      </c>
      <c r="B656" s="146" t="s">
        <v>5974</v>
      </c>
      <c r="C656" s="151" t="s">
        <v>6096</v>
      </c>
      <c r="D656" s="143" t="s">
        <v>5279</v>
      </c>
      <c r="E656" s="144"/>
      <c r="F656" s="144"/>
      <c r="G656" s="144"/>
      <c r="H656" s="144"/>
      <c r="I656" s="157">
        <v>45120</v>
      </c>
      <c r="J656" s="96" t="s">
        <v>965</v>
      </c>
      <c r="K656" s="98">
        <f t="shared" si="10"/>
        <v>2023</v>
      </c>
      <c r="L656" s="99" t="s">
        <v>5569</v>
      </c>
    </row>
    <row r="657" spans="1:12" ht="25.5">
      <c r="A657" s="93">
        <v>656</v>
      </c>
      <c r="B657" s="146" t="s">
        <v>5974</v>
      </c>
      <c r="C657" s="151" t="s">
        <v>6097</v>
      </c>
      <c r="D657" s="143" t="s">
        <v>5279</v>
      </c>
      <c r="E657" s="144"/>
      <c r="F657" s="144"/>
      <c r="G657" s="144"/>
      <c r="H657" s="144"/>
      <c r="I657" s="157">
        <v>45134</v>
      </c>
      <c r="J657" s="100" t="s">
        <v>954</v>
      </c>
      <c r="K657" s="98">
        <f t="shared" si="10"/>
        <v>2023</v>
      </c>
      <c r="L657" s="99" t="s">
        <v>5569</v>
      </c>
    </row>
    <row r="658" spans="1:12" ht="25.5">
      <c r="A658" s="93">
        <v>657</v>
      </c>
      <c r="B658" s="142" t="s">
        <v>5974</v>
      </c>
      <c r="C658" s="151" t="s">
        <v>6098</v>
      </c>
      <c r="D658" s="100" t="s">
        <v>5279</v>
      </c>
      <c r="E658" s="144"/>
      <c r="F658" s="144"/>
      <c r="G658" s="144"/>
      <c r="H658" s="144"/>
      <c r="I658" s="153">
        <v>45147</v>
      </c>
      <c r="J658" s="96" t="s">
        <v>831</v>
      </c>
      <c r="K658" s="98">
        <f t="shared" si="10"/>
        <v>2023</v>
      </c>
      <c r="L658" s="99" t="s">
        <v>5569</v>
      </c>
    </row>
    <row r="659" spans="1:12" ht="25.5">
      <c r="A659" s="93">
        <v>658</v>
      </c>
      <c r="B659" s="142" t="s">
        <v>5745</v>
      </c>
      <c r="C659" s="151" t="s">
        <v>6099</v>
      </c>
      <c r="D659" s="100" t="s">
        <v>5279</v>
      </c>
      <c r="E659" s="144"/>
      <c r="F659" s="144"/>
      <c r="G659" s="144"/>
      <c r="H659" s="144"/>
      <c r="I659" s="153">
        <v>45158</v>
      </c>
      <c r="J659" s="100" t="s">
        <v>960</v>
      </c>
      <c r="K659" s="98">
        <f t="shared" si="10"/>
        <v>2023</v>
      </c>
      <c r="L659" s="99" t="s">
        <v>5489</v>
      </c>
    </row>
    <row r="660" spans="1:12" ht="25.5">
      <c r="A660" s="93">
        <v>659</v>
      </c>
      <c r="B660" s="142" t="s">
        <v>5664</v>
      </c>
      <c r="C660" s="142" t="s">
        <v>6100</v>
      </c>
      <c r="D660" s="100" t="s">
        <v>5284</v>
      </c>
      <c r="E660" s="144"/>
      <c r="F660" s="144"/>
      <c r="G660" s="144"/>
      <c r="H660" s="144"/>
      <c r="I660" s="153">
        <v>45237</v>
      </c>
      <c r="J660" s="100" t="s">
        <v>951</v>
      </c>
      <c r="K660" s="98">
        <f t="shared" si="10"/>
        <v>2023</v>
      </c>
      <c r="L660" s="99" t="s">
        <v>5664</v>
      </c>
    </row>
    <row r="661" spans="1:12" ht="25.5">
      <c r="A661" s="93">
        <v>660</v>
      </c>
      <c r="B661" s="142" t="s">
        <v>5664</v>
      </c>
      <c r="C661" s="142" t="s">
        <v>6101</v>
      </c>
      <c r="D661" s="100" t="s">
        <v>5279</v>
      </c>
      <c r="E661" s="144"/>
      <c r="F661" s="144"/>
      <c r="G661" s="144"/>
      <c r="H661" s="144"/>
      <c r="I661" s="153">
        <v>45272</v>
      </c>
      <c r="J661" s="96" t="s">
        <v>862</v>
      </c>
      <c r="K661" s="98">
        <f t="shared" si="10"/>
        <v>2023</v>
      </c>
      <c r="L661" s="99" t="s">
        <v>5664</v>
      </c>
    </row>
    <row r="662" spans="1:12" ht="76.5">
      <c r="A662" s="93">
        <v>661</v>
      </c>
      <c r="B662" s="159" t="s">
        <v>5731</v>
      </c>
      <c r="C662" s="142" t="s">
        <v>6102</v>
      </c>
      <c r="D662" s="159" t="s">
        <v>5279</v>
      </c>
      <c r="E662" s="144"/>
      <c r="F662" s="144"/>
      <c r="G662" s="144"/>
      <c r="H662" s="144"/>
      <c r="I662" s="157">
        <v>45282</v>
      </c>
      <c r="J662" s="96" t="s">
        <v>989</v>
      </c>
      <c r="K662" s="98">
        <f t="shared" si="10"/>
        <v>2023</v>
      </c>
      <c r="L662" s="99" t="s">
        <v>5280</v>
      </c>
    </row>
    <row r="663" spans="1:12" ht="25.5">
      <c r="A663" s="93">
        <v>662</v>
      </c>
      <c r="B663" s="146" t="s">
        <v>5849</v>
      </c>
      <c r="C663" s="100" t="s">
        <v>6103</v>
      </c>
      <c r="D663" s="143" t="s">
        <v>5279</v>
      </c>
      <c r="E663" s="144"/>
      <c r="F663" s="144"/>
      <c r="G663" s="144"/>
      <c r="H663" s="144"/>
      <c r="I663" s="157">
        <v>45315</v>
      </c>
      <c r="J663" s="96" t="s">
        <v>862</v>
      </c>
      <c r="K663" s="98">
        <f t="shared" si="10"/>
        <v>2024</v>
      </c>
      <c r="L663" s="99" t="s">
        <v>5351</v>
      </c>
    </row>
    <row r="664" spans="1:12" ht="25.5">
      <c r="A664" s="93">
        <v>663</v>
      </c>
      <c r="B664" s="146" t="s">
        <v>5629</v>
      </c>
      <c r="C664" s="100" t="s">
        <v>6104</v>
      </c>
      <c r="D664" s="143" t="s">
        <v>5279</v>
      </c>
      <c r="E664" s="144"/>
      <c r="F664" s="144"/>
      <c r="G664" s="144"/>
      <c r="H664" s="144"/>
      <c r="I664" s="157">
        <v>45315</v>
      </c>
      <c r="J664" s="96" t="s">
        <v>831</v>
      </c>
      <c r="K664" s="98">
        <f t="shared" si="10"/>
        <v>2024</v>
      </c>
      <c r="L664" s="99" t="s">
        <v>5351</v>
      </c>
    </row>
    <row r="665" spans="1:12" ht="25.5">
      <c r="A665" s="93">
        <v>664</v>
      </c>
      <c r="B665" s="146" t="s">
        <v>5849</v>
      </c>
      <c r="C665" s="100" t="s">
        <v>6105</v>
      </c>
      <c r="D665" s="143" t="s">
        <v>5279</v>
      </c>
      <c r="E665" s="144"/>
      <c r="F665" s="144"/>
      <c r="G665" s="144"/>
      <c r="H665" s="144"/>
      <c r="I665" s="157">
        <v>45332</v>
      </c>
      <c r="J665" s="96" t="s">
        <v>862</v>
      </c>
      <c r="K665" s="98">
        <f t="shared" si="10"/>
        <v>2024</v>
      </c>
      <c r="L665" s="99" t="s">
        <v>5664</v>
      </c>
    </row>
    <row r="666" spans="1:12" ht="25.5">
      <c r="A666" s="93">
        <v>665</v>
      </c>
      <c r="B666" s="146" t="s">
        <v>6106</v>
      </c>
      <c r="C666" s="100" t="s">
        <v>6107</v>
      </c>
      <c r="D666" s="143" t="s">
        <v>5279</v>
      </c>
      <c r="E666" s="144"/>
      <c r="F666" s="144"/>
      <c r="G666" s="144"/>
      <c r="H666" s="144"/>
      <c r="I666" s="157">
        <v>45424</v>
      </c>
      <c r="J666" s="100" t="s">
        <v>954</v>
      </c>
      <c r="K666" s="98">
        <f t="shared" si="10"/>
        <v>2024</v>
      </c>
      <c r="L666" s="99" t="s">
        <v>5354</v>
      </c>
    </row>
    <row r="667" spans="1:12" ht="25.5">
      <c r="A667" s="93">
        <v>666</v>
      </c>
      <c r="B667" s="146" t="s">
        <v>6106</v>
      </c>
      <c r="C667" s="100" t="s">
        <v>6108</v>
      </c>
      <c r="D667" s="143" t="s">
        <v>5279</v>
      </c>
      <c r="E667" s="144"/>
      <c r="F667" s="144"/>
      <c r="G667" s="144"/>
      <c r="H667" s="144"/>
      <c r="I667" s="157">
        <v>45424</v>
      </c>
      <c r="J667" s="100" t="s">
        <v>954</v>
      </c>
      <c r="K667" s="98">
        <f t="shared" si="10"/>
        <v>2024</v>
      </c>
      <c r="L667" s="99" t="s">
        <v>5354</v>
      </c>
    </row>
    <row r="668" spans="1:12" ht="25.5">
      <c r="A668" s="93">
        <v>667</v>
      </c>
      <c r="B668" s="146" t="s">
        <v>6106</v>
      </c>
      <c r="C668" s="100" t="s">
        <v>6109</v>
      </c>
      <c r="D668" s="143" t="s">
        <v>5279</v>
      </c>
      <c r="E668" s="144"/>
      <c r="F668" s="144"/>
      <c r="G668" s="144"/>
      <c r="H668" s="144"/>
      <c r="I668" s="157">
        <v>45424</v>
      </c>
      <c r="J668" s="100" t="s">
        <v>954</v>
      </c>
      <c r="K668" s="98">
        <f t="shared" si="10"/>
        <v>2024</v>
      </c>
      <c r="L668" s="99" t="s">
        <v>5354</v>
      </c>
    </row>
    <row r="669" spans="1:12" ht="25.5">
      <c r="A669" s="93">
        <v>668</v>
      </c>
      <c r="B669" s="146" t="s">
        <v>6106</v>
      </c>
      <c r="C669" s="100" t="s">
        <v>6110</v>
      </c>
      <c r="D669" s="143" t="s">
        <v>5279</v>
      </c>
      <c r="E669" s="144"/>
      <c r="F669" s="144"/>
      <c r="G669" s="144"/>
      <c r="H669" s="144"/>
      <c r="I669" s="157">
        <v>45424</v>
      </c>
      <c r="J669" s="100" t="s">
        <v>954</v>
      </c>
      <c r="K669" s="98">
        <f t="shared" si="10"/>
        <v>2024</v>
      </c>
      <c r="L669" s="99" t="s">
        <v>5354</v>
      </c>
    </row>
    <row r="670" spans="1:12">
      <c r="A670" s="93">
        <v>669</v>
      </c>
      <c r="B670" s="146" t="s">
        <v>6106</v>
      </c>
      <c r="C670" s="100" t="s">
        <v>6111</v>
      </c>
      <c r="D670" s="143" t="s">
        <v>5279</v>
      </c>
      <c r="E670" s="144"/>
      <c r="F670" s="144"/>
      <c r="G670" s="144"/>
      <c r="H670" s="144"/>
      <c r="I670" s="157">
        <v>45425</v>
      </c>
      <c r="J670" s="100" t="s">
        <v>954</v>
      </c>
      <c r="K670" s="98">
        <f t="shared" si="10"/>
        <v>2024</v>
      </c>
      <c r="L670" s="99" t="s">
        <v>5354</v>
      </c>
    </row>
    <row r="671" spans="1:12" ht="38.25">
      <c r="A671" s="93">
        <v>670</v>
      </c>
      <c r="B671" s="146" t="s">
        <v>6106</v>
      </c>
      <c r="C671" s="100" t="s">
        <v>6112</v>
      </c>
      <c r="D671" s="143" t="s">
        <v>5279</v>
      </c>
      <c r="E671" s="144"/>
      <c r="F671" s="144"/>
      <c r="G671" s="144"/>
      <c r="H671" s="144"/>
      <c r="I671" s="157">
        <v>45426</v>
      </c>
      <c r="J671" s="100" t="s">
        <v>947</v>
      </c>
      <c r="K671" s="98">
        <f t="shared" si="10"/>
        <v>2024</v>
      </c>
      <c r="L671" s="99" t="s">
        <v>5354</v>
      </c>
    </row>
    <row r="672" spans="1:12" ht="38.25">
      <c r="A672" s="93">
        <v>671</v>
      </c>
      <c r="B672" s="146" t="s">
        <v>6106</v>
      </c>
      <c r="C672" s="100" t="s">
        <v>6113</v>
      </c>
      <c r="D672" s="143" t="s">
        <v>5279</v>
      </c>
      <c r="E672" s="144"/>
      <c r="F672" s="144"/>
      <c r="G672" s="144"/>
      <c r="H672" s="144"/>
      <c r="I672" s="157">
        <v>45426</v>
      </c>
      <c r="J672" s="100" t="s">
        <v>947</v>
      </c>
      <c r="K672" s="98">
        <f t="shared" si="10"/>
        <v>2024</v>
      </c>
      <c r="L672" s="99" t="s">
        <v>5354</v>
      </c>
    </row>
    <row r="673" spans="1:12" ht="38.25">
      <c r="A673" s="93">
        <v>672</v>
      </c>
      <c r="B673" s="146" t="s">
        <v>6106</v>
      </c>
      <c r="C673" s="100" t="s">
        <v>6114</v>
      </c>
      <c r="D673" s="143" t="s">
        <v>5279</v>
      </c>
      <c r="E673" s="144"/>
      <c r="F673" s="144"/>
      <c r="G673" s="144"/>
      <c r="H673" s="144"/>
      <c r="I673" s="157">
        <v>45426</v>
      </c>
      <c r="J673" s="100" t="s">
        <v>947</v>
      </c>
      <c r="K673" s="98">
        <f t="shared" si="10"/>
        <v>2024</v>
      </c>
      <c r="L673" s="99" t="s">
        <v>5354</v>
      </c>
    </row>
    <row r="674" spans="1:12" ht="25.5">
      <c r="A674" s="93">
        <v>673</v>
      </c>
      <c r="B674" s="146" t="s">
        <v>6106</v>
      </c>
      <c r="C674" s="100" t="s">
        <v>6115</v>
      </c>
      <c r="D674" s="143" t="s">
        <v>5279</v>
      </c>
      <c r="E674" s="144"/>
      <c r="F674" s="144"/>
      <c r="G674" s="144"/>
      <c r="H674" s="144"/>
      <c r="I674" s="157">
        <v>45429</v>
      </c>
      <c r="J674" s="96" t="s">
        <v>934</v>
      </c>
      <c r="K674" s="98">
        <f t="shared" si="10"/>
        <v>2024</v>
      </c>
      <c r="L674" s="99" t="s">
        <v>5354</v>
      </c>
    </row>
    <row r="675" spans="1:12" ht="38.25">
      <c r="A675" s="93">
        <v>674</v>
      </c>
      <c r="B675" s="146" t="s">
        <v>6106</v>
      </c>
      <c r="C675" s="100" t="s">
        <v>6116</v>
      </c>
      <c r="D675" s="143" t="s">
        <v>5279</v>
      </c>
      <c r="E675" s="144"/>
      <c r="F675" s="144"/>
      <c r="G675" s="144"/>
      <c r="H675" s="144"/>
      <c r="I675" s="157">
        <v>45429</v>
      </c>
      <c r="J675" s="96" t="s">
        <v>934</v>
      </c>
      <c r="K675" s="98">
        <f t="shared" si="10"/>
        <v>2024</v>
      </c>
      <c r="L675" s="99" t="s">
        <v>5354</v>
      </c>
    </row>
    <row r="676" spans="1:12" ht="38.25">
      <c r="A676" s="93">
        <v>675</v>
      </c>
      <c r="B676" s="146" t="s">
        <v>6106</v>
      </c>
      <c r="C676" s="100" t="s">
        <v>6117</v>
      </c>
      <c r="D676" s="143" t="s">
        <v>5279</v>
      </c>
      <c r="E676" s="144"/>
      <c r="F676" s="144"/>
      <c r="G676" s="144"/>
      <c r="H676" s="144"/>
      <c r="I676" s="157">
        <v>45430</v>
      </c>
      <c r="J676" s="96" t="s">
        <v>934</v>
      </c>
      <c r="K676" s="98">
        <f t="shared" si="10"/>
        <v>2024</v>
      </c>
      <c r="L676" s="99" t="s">
        <v>5354</v>
      </c>
    </row>
    <row r="677" spans="1:12" ht="38.25">
      <c r="A677" s="93">
        <v>676</v>
      </c>
      <c r="B677" s="146" t="s">
        <v>6106</v>
      </c>
      <c r="C677" s="100" t="s">
        <v>6118</v>
      </c>
      <c r="D677" s="143" t="s">
        <v>5279</v>
      </c>
      <c r="E677" s="144"/>
      <c r="F677" s="144"/>
      <c r="G677" s="144"/>
      <c r="H677" s="144"/>
      <c r="I677" s="157">
        <v>45430</v>
      </c>
      <c r="J677" s="96" t="s">
        <v>934</v>
      </c>
      <c r="K677" s="98">
        <f t="shared" si="10"/>
        <v>2024</v>
      </c>
      <c r="L677" s="99" t="s">
        <v>5354</v>
      </c>
    </row>
    <row r="678" spans="1:12" ht="38.25">
      <c r="A678" s="93">
        <v>677</v>
      </c>
      <c r="B678" s="146" t="s">
        <v>6106</v>
      </c>
      <c r="C678" s="100" t="s">
        <v>6119</v>
      </c>
      <c r="D678" s="143" t="s">
        <v>5279</v>
      </c>
      <c r="E678" s="144"/>
      <c r="F678" s="144"/>
      <c r="G678" s="144"/>
      <c r="H678" s="144"/>
      <c r="I678" s="157">
        <v>45430</v>
      </c>
      <c r="J678" s="96" t="s">
        <v>934</v>
      </c>
      <c r="K678" s="98">
        <f t="shared" si="10"/>
        <v>2024</v>
      </c>
      <c r="L678" s="99" t="s">
        <v>5354</v>
      </c>
    </row>
    <row r="679" spans="1:12" ht="38.25">
      <c r="A679" s="93">
        <v>678</v>
      </c>
      <c r="B679" s="146" t="s">
        <v>6106</v>
      </c>
      <c r="C679" s="100" t="s">
        <v>6120</v>
      </c>
      <c r="D679" s="143" t="s">
        <v>5279</v>
      </c>
      <c r="E679" s="144"/>
      <c r="F679" s="144"/>
      <c r="G679" s="144"/>
      <c r="H679" s="144"/>
      <c r="I679" s="157">
        <v>45430</v>
      </c>
      <c r="J679" s="96" t="s">
        <v>934</v>
      </c>
      <c r="K679" s="98">
        <f t="shared" si="10"/>
        <v>2024</v>
      </c>
      <c r="L679" s="99" t="s">
        <v>5354</v>
      </c>
    </row>
    <row r="680" spans="1:12" ht="51">
      <c r="A680" s="93">
        <v>679</v>
      </c>
      <c r="B680" s="146" t="s">
        <v>6106</v>
      </c>
      <c r="C680" s="100" t="s">
        <v>6121</v>
      </c>
      <c r="D680" s="143" t="s">
        <v>5279</v>
      </c>
      <c r="E680" s="144"/>
      <c r="F680" s="144"/>
      <c r="G680" s="144"/>
      <c r="H680" s="144"/>
      <c r="I680" s="157">
        <v>45430</v>
      </c>
      <c r="J680" s="96" t="s">
        <v>934</v>
      </c>
      <c r="K680" s="98">
        <f t="shared" si="10"/>
        <v>2024</v>
      </c>
      <c r="L680" s="99" t="s">
        <v>5354</v>
      </c>
    </row>
    <row r="681" spans="1:12" ht="38.25">
      <c r="A681" s="93">
        <v>680</v>
      </c>
      <c r="B681" s="146" t="s">
        <v>6106</v>
      </c>
      <c r="C681" s="100" t="s">
        <v>6122</v>
      </c>
      <c r="D681" s="143" t="s">
        <v>5279</v>
      </c>
      <c r="E681" s="144"/>
      <c r="F681" s="144"/>
      <c r="G681" s="144"/>
      <c r="H681" s="144"/>
      <c r="I681" s="157">
        <v>45430</v>
      </c>
      <c r="J681" s="96" t="s">
        <v>934</v>
      </c>
      <c r="K681" s="98">
        <f t="shared" si="10"/>
        <v>2024</v>
      </c>
      <c r="L681" s="99" t="s">
        <v>5354</v>
      </c>
    </row>
    <row r="682" spans="1:12" ht="25.5">
      <c r="A682" s="93">
        <v>681</v>
      </c>
      <c r="B682" s="146" t="s">
        <v>6106</v>
      </c>
      <c r="C682" s="100" t="s">
        <v>6123</v>
      </c>
      <c r="D682" s="143" t="s">
        <v>5279</v>
      </c>
      <c r="E682" s="144"/>
      <c r="F682" s="144"/>
      <c r="G682" s="144"/>
      <c r="H682" s="144"/>
      <c r="I682" s="157">
        <v>45430</v>
      </c>
      <c r="J682" s="96" t="s">
        <v>934</v>
      </c>
      <c r="K682" s="98">
        <f t="shared" si="10"/>
        <v>2024</v>
      </c>
      <c r="L682" s="99" t="s">
        <v>5354</v>
      </c>
    </row>
    <row r="683" spans="1:12" ht="89.25">
      <c r="A683" s="93">
        <v>682</v>
      </c>
      <c r="B683" s="146" t="s">
        <v>6106</v>
      </c>
      <c r="C683" s="100" t="s">
        <v>6124</v>
      </c>
      <c r="D683" s="143" t="s">
        <v>5299</v>
      </c>
      <c r="E683" s="144"/>
      <c r="F683" s="144"/>
      <c r="G683" s="144"/>
      <c r="H683" s="144"/>
      <c r="I683" s="157">
        <v>45432</v>
      </c>
      <c r="J683" s="96" t="s">
        <v>5617</v>
      </c>
      <c r="K683" s="98">
        <f t="shared" si="10"/>
        <v>2024</v>
      </c>
      <c r="L683" s="99" t="s">
        <v>5354</v>
      </c>
    </row>
    <row r="684" spans="1:12" ht="25.5">
      <c r="A684" s="93">
        <v>683</v>
      </c>
      <c r="B684" s="146" t="s">
        <v>5629</v>
      </c>
      <c r="C684" s="100" t="s">
        <v>6125</v>
      </c>
      <c r="D684" s="143" t="s">
        <v>5279</v>
      </c>
      <c r="E684" s="144"/>
      <c r="F684" s="144"/>
      <c r="G684" s="144"/>
      <c r="H684" s="144"/>
      <c r="I684" s="157">
        <v>45439</v>
      </c>
      <c r="J684" s="96" t="s">
        <v>831</v>
      </c>
      <c r="K684" s="98">
        <f t="shared" si="10"/>
        <v>2024</v>
      </c>
      <c r="L684" s="99" t="s">
        <v>5314</v>
      </c>
    </row>
    <row r="685" spans="1:12" ht="63.75">
      <c r="A685" s="93">
        <v>684</v>
      </c>
      <c r="B685" s="146" t="s">
        <v>5642</v>
      </c>
      <c r="C685" s="100" t="s">
        <v>6126</v>
      </c>
      <c r="D685" s="143" t="s">
        <v>5634</v>
      </c>
      <c r="E685" s="144"/>
      <c r="F685" s="144"/>
      <c r="G685" s="144"/>
      <c r="H685" s="144"/>
      <c r="I685" s="157">
        <v>45441</v>
      </c>
      <c r="J685" s="100" t="s">
        <v>954</v>
      </c>
      <c r="K685" s="98">
        <f t="shared" si="10"/>
        <v>2024</v>
      </c>
      <c r="L685" s="99" t="s">
        <v>5569</v>
      </c>
    </row>
    <row r="686" spans="1:12" ht="38.25">
      <c r="A686" s="93">
        <v>685</v>
      </c>
      <c r="B686" s="146" t="s">
        <v>6106</v>
      </c>
      <c r="C686" s="158" t="s">
        <v>6127</v>
      </c>
      <c r="D686" s="143" t="s">
        <v>5279</v>
      </c>
      <c r="E686" s="144"/>
      <c r="F686" s="144"/>
      <c r="G686" s="144"/>
      <c r="H686" s="144"/>
      <c r="I686" s="157">
        <v>45442</v>
      </c>
      <c r="J686" s="96" t="s">
        <v>853</v>
      </c>
      <c r="K686" s="98">
        <f t="shared" si="10"/>
        <v>2024</v>
      </c>
      <c r="L686" s="99" t="s">
        <v>5354</v>
      </c>
    </row>
    <row r="687" spans="1:12" ht="38.25">
      <c r="A687" s="93">
        <v>686</v>
      </c>
      <c r="B687" s="146" t="s">
        <v>6106</v>
      </c>
      <c r="C687" s="158" t="s">
        <v>6128</v>
      </c>
      <c r="D687" s="143" t="s">
        <v>5279</v>
      </c>
      <c r="E687" s="144"/>
      <c r="F687" s="144"/>
      <c r="G687" s="144"/>
      <c r="H687" s="144"/>
      <c r="I687" s="157">
        <v>45443</v>
      </c>
      <c r="J687" s="96" t="s">
        <v>853</v>
      </c>
      <c r="K687" s="98">
        <f t="shared" si="10"/>
        <v>2024</v>
      </c>
      <c r="L687" s="99" t="s">
        <v>5354</v>
      </c>
    </row>
    <row r="688" spans="1:12" ht="38.25">
      <c r="A688" s="93">
        <v>687</v>
      </c>
      <c r="B688" s="146" t="s">
        <v>6106</v>
      </c>
      <c r="C688" s="158" t="s">
        <v>6129</v>
      </c>
      <c r="D688" s="143" t="s">
        <v>5288</v>
      </c>
      <c r="E688" s="144"/>
      <c r="F688" s="144"/>
      <c r="G688" s="144"/>
      <c r="H688" s="144"/>
      <c r="I688" s="157">
        <v>45450</v>
      </c>
      <c r="J688" s="96" t="s">
        <v>5617</v>
      </c>
      <c r="K688" s="98">
        <f t="shared" si="10"/>
        <v>2024</v>
      </c>
      <c r="L688" s="99" t="s">
        <v>5354</v>
      </c>
    </row>
    <row r="689" spans="1:12" ht="38.25">
      <c r="A689" s="93">
        <v>688</v>
      </c>
      <c r="B689" s="146" t="s">
        <v>5642</v>
      </c>
      <c r="C689" s="158" t="s">
        <v>6130</v>
      </c>
      <c r="D689" s="143" t="s">
        <v>5279</v>
      </c>
      <c r="E689" s="144"/>
      <c r="F689" s="144"/>
      <c r="G689" s="144"/>
      <c r="H689" s="144"/>
      <c r="I689" s="157">
        <v>45453</v>
      </c>
      <c r="J689" s="96" t="s">
        <v>980</v>
      </c>
      <c r="K689" s="98">
        <f t="shared" si="10"/>
        <v>2024</v>
      </c>
      <c r="L689" s="99" t="s">
        <v>5569</v>
      </c>
    </row>
    <row r="690" spans="1:12" ht="51">
      <c r="A690" s="93">
        <v>689</v>
      </c>
      <c r="B690" s="146" t="s">
        <v>5642</v>
      </c>
      <c r="C690" s="158" t="s">
        <v>6131</v>
      </c>
      <c r="D690" s="143" t="s">
        <v>5299</v>
      </c>
      <c r="E690" s="144"/>
      <c r="F690" s="144"/>
      <c r="G690" s="144"/>
      <c r="H690" s="144"/>
      <c r="I690" s="157">
        <v>45454</v>
      </c>
      <c r="J690" s="96" t="s">
        <v>5617</v>
      </c>
      <c r="K690" s="98">
        <f t="shared" si="10"/>
        <v>2024</v>
      </c>
      <c r="L690" s="99" t="s">
        <v>5569</v>
      </c>
    </row>
    <row r="691" spans="1:12" ht="25.5">
      <c r="A691" s="93">
        <v>690</v>
      </c>
      <c r="B691" s="146" t="s">
        <v>5642</v>
      </c>
      <c r="C691" s="158" t="s">
        <v>6132</v>
      </c>
      <c r="D691" s="143" t="s">
        <v>5279</v>
      </c>
      <c r="E691" s="144"/>
      <c r="F691" s="144"/>
      <c r="G691" s="144"/>
      <c r="H691" s="144"/>
      <c r="I691" s="157">
        <v>45454</v>
      </c>
      <c r="J691" s="96" t="s">
        <v>844</v>
      </c>
      <c r="K691" s="98">
        <f t="shared" si="10"/>
        <v>2024</v>
      </c>
      <c r="L691" s="99" t="s">
        <v>5569</v>
      </c>
    </row>
    <row r="692" spans="1:12" ht="25.5">
      <c r="A692" s="93">
        <v>691</v>
      </c>
      <c r="B692" s="146" t="s">
        <v>6133</v>
      </c>
      <c r="C692" s="158" t="s">
        <v>6134</v>
      </c>
      <c r="D692" s="143" t="s">
        <v>5279</v>
      </c>
      <c r="E692" s="144"/>
      <c r="F692" s="144"/>
      <c r="G692" s="144"/>
      <c r="H692" s="144"/>
      <c r="I692" s="157">
        <v>45456</v>
      </c>
      <c r="J692" s="100" t="s">
        <v>965</v>
      </c>
      <c r="K692" s="98">
        <f t="shared" si="10"/>
        <v>2024</v>
      </c>
      <c r="L692" s="99" t="s">
        <v>5538</v>
      </c>
    </row>
    <row r="693" spans="1:12" ht="38.25">
      <c r="A693" s="93">
        <v>692</v>
      </c>
      <c r="B693" s="146" t="s">
        <v>5642</v>
      </c>
      <c r="C693" s="158" t="s">
        <v>6135</v>
      </c>
      <c r="D693" s="143" t="s">
        <v>5279</v>
      </c>
      <c r="E693" s="144"/>
      <c r="F693" s="144"/>
      <c r="G693" s="144"/>
      <c r="H693" s="144"/>
      <c r="I693" s="157">
        <v>45459</v>
      </c>
      <c r="J693" s="96" t="s">
        <v>989</v>
      </c>
      <c r="K693" s="98">
        <f t="shared" si="10"/>
        <v>2024</v>
      </c>
      <c r="L693" s="99" t="s">
        <v>5569</v>
      </c>
    </row>
    <row r="694" spans="1:12" ht="25.5">
      <c r="A694" s="93">
        <v>693</v>
      </c>
      <c r="B694" s="146" t="s">
        <v>5642</v>
      </c>
      <c r="C694" s="158" t="s">
        <v>6136</v>
      </c>
      <c r="D694" s="143" t="s">
        <v>5279</v>
      </c>
      <c r="E694" s="144"/>
      <c r="F694" s="144"/>
      <c r="G694" s="144"/>
      <c r="H694" s="144"/>
      <c r="I694" s="157">
        <v>45462</v>
      </c>
      <c r="J694" s="96" t="s">
        <v>965</v>
      </c>
      <c r="K694" s="98">
        <f t="shared" si="10"/>
        <v>2024</v>
      </c>
      <c r="L694" s="99" t="s">
        <v>5569</v>
      </c>
    </row>
    <row r="695" spans="1:12" ht="38.25">
      <c r="A695" s="93">
        <v>694</v>
      </c>
      <c r="B695" s="146" t="s">
        <v>5642</v>
      </c>
      <c r="C695" s="158" t="s">
        <v>6137</v>
      </c>
      <c r="D695" s="143" t="s">
        <v>5279</v>
      </c>
      <c r="E695" s="144"/>
      <c r="F695" s="144"/>
      <c r="G695" s="144"/>
      <c r="H695" s="144"/>
      <c r="I695" s="157">
        <v>45464</v>
      </c>
      <c r="J695" s="96" t="s">
        <v>879</v>
      </c>
      <c r="K695" s="98">
        <f t="shared" si="10"/>
        <v>2024</v>
      </c>
      <c r="L695" s="99" t="s">
        <v>5569</v>
      </c>
    </row>
    <row r="696" spans="1:12" ht="25.5">
      <c r="A696" s="93">
        <v>695</v>
      </c>
      <c r="B696" s="146" t="s">
        <v>5642</v>
      </c>
      <c r="C696" s="158" t="s">
        <v>6138</v>
      </c>
      <c r="D696" s="143" t="s">
        <v>5279</v>
      </c>
      <c r="E696" s="144"/>
      <c r="F696" s="144"/>
      <c r="G696" s="144"/>
      <c r="H696" s="144"/>
      <c r="I696" s="157">
        <v>45472</v>
      </c>
      <c r="J696" s="96" t="s">
        <v>870</v>
      </c>
      <c r="K696" s="98">
        <f t="shared" si="10"/>
        <v>2024</v>
      </c>
      <c r="L696" s="99" t="s">
        <v>5569</v>
      </c>
    </row>
    <row r="697" spans="1:12" ht="38.25">
      <c r="A697" s="93">
        <v>696</v>
      </c>
      <c r="B697" s="146" t="s">
        <v>5642</v>
      </c>
      <c r="C697" s="158" t="s">
        <v>6139</v>
      </c>
      <c r="D697" s="143" t="s">
        <v>5288</v>
      </c>
      <c r="E697" s="144"/>
      <c r="F697" s="144"/>
      <c r="G697" s="144"/>
      <c r="H697" s="144"/>
      <c r="I697" s="157">
        <v>45474</v>
      </c>
      <c r="J697" s="96" t="s">
        <v>5617</v>
      </c>
      <c r="K697" s="98">
        <f t="shared" si="10"/>
        <v>2024</v>
      </c>
      <c r="L697" s="99" t="s">
        <v>5569</v>
      </c>
    </row>
    <row r="698" spans="1:12" ht="25.5">
      <c r="A698" s="93">
        <v>697</v>
      </c>
      <c r="B698" s="146" t="s">
        <v>5642</v>
      </c>
      <c r="C698" s="158" t="s">
        <v>6140</v>
      </c>
      <c r="D698" s="143" t="s">
        <v>5279</v>
      </c>
      <c r="E698" s="144"/>
      <c r="F698" s="144"/>
      <c r="G698" s="144"/>
      <c r="H698" s="144"/>
      <c r="I698" s="157">
        <v>45476</v>
      </c>
      <c r="J698" s="96" t="s">
        <v>885</v>
      </c>
      <c r="K698" s="98">
        <f t="shared" si="10"/>
        <v>2024</v>
      </c>
      <c r="L698" s="99" t="s">
        <v>5569</v>
      </c>
    </row>
    <row r="699" spans="1:12" ht="38.25">
      <c r="A699" s="93">
        <v>698</v>
      </c>
      <c r="B699" s="146" t="s">
        <v>5642</v>
      </c>
      <c r="C699" s="158" t="s">
        <v>6141</v>
      </c>
      <c r="D699" s="143" t="s">
        <v>5279</v>
      </c>
      <c r="E699" s="144"/>
      <c r="F699" s="144"/>
      <c r="G699" s="144"/>
      <c r="H699" s="144"/>
      <c r="I699" s="157">
        <v>45476</v>
      </c>
      <c r="J699" s="100" t="s">
        <v>938</v>
      </c>
      <c r="K699" s="98">
        <f t="shared" si="10"/>
        <v>2024</v>
      </c>
      <c r="L699" s="99" t="s">
        <v>5569</v>
      </c>
    </row>
    <row r="700" spans="1:12" ht="38.25">
      <c r="A700" s="93">
        <v>699</v>
      </c>
      <c r="B700" s="146" t="s">
        <v>5642</v>
      </c>
      <c r="C700" s="158" t="s">
        <v>6142</v>
      </c>
      <c r="D700" s="143" t="s">
        <v>5279</v>
      </c>
      <c r="E700" s="144"/>
      <c r="F700" s="144"/>
      <c r="G700" s="144"/>
      <c r="H700" s="144"/>
      <c r="I700" s="157">
        <v>45481</v>
      </c>
      <c r="J700" s="96" t="s">
        <v>892</v>
      </c>
      <c r="K700" s="98">
        <f t="shared" si="10"/>
        <v>2024</v>
      </c>
      <c r="L700" s="99" t="s">
        <v>5569</v>
      </c>
    </row>
    <row r="701" spans="1:12" ht="38.25">
      <c r="A701" s="93">
        <v>700</v>
      </c>
      <c r="B701" s="146" t="s">
        <v>5642</v>
      </c>
      <c r="C701" s="158" t="s">
        <v>6143</v>
      </c>
      <c r="D701" s="143" t="s">
        <v>5279</v>
      </c>
      <c r="E701" s="144"/>
      <c r="F701" s="144"/>
      <c r="G701" s="144"/>
      <c r="H701" s="144"/>
      <c r="I701" s="157">
        <v>45488</v>
      </c>
      <c r="J701" s="96" t="s">
        <v>917</v>
      </c>
      <c r="K701" s="98">
        <f t="shared" si="10"/>
        <v>2024</v>
      </c>
      <c r="L701" s="99" t="s">
        <v>5569</v>
      </c>
    </row>
    <row r="702" spans="1:12" ht="38.25">
      <c r="A702" s="93">
        <v>701</v>
      </c>
      <c r="B702" s="146" t="s">
        <v>5642</v>
      </c>
      <c r="C702" s="158" t="s">
        <v>6144</v>
      </c>
      <c r="D702" s="143" t="s">
        <v>5279</v>
      </c>
      <c r="E702" s="144"/>
      <c r="F702" s="144"/>
      <c r="G702" s="144"/>
      <c r="H702" s="144"/>
      <c r="I702" s="157">
        <v>45490</v>
      </c>
      <c r="J702" s="100" t="s">
        <v>822</v>
      </c>
      <c r="K702" s="98">
        <f t="shared" si="10"/>
        <v>2024</v>
      </c>
      <c r="L702" s="99" t="s">
        <v>5569</v>
      </c>
    </row>
    <row r="703" spans="1:12" ht="25.5">
      <c r="A703" s="93">
        <v>702</v>
      </c>
      <c r="B703" s="146" t="s">
        <v>5642</v>
      </c>
      <c r="C703" s="158" t="s">
        <v>6145</v>
      </c>
      <c r="D703" s="143" t="s">
        <v>5279</v>
      </c>
      <c r="E703" s="144"/>
      <c r="F703" s="144"/>
      <c r="G703" s="144"/>
      <c r="H703" s="144"/>
      <c r="I703" s="157">
        <v>45496</v>
      </c>
      <c r="J703" s="96" t="s">
        <v>897</v>
      </c>
      <c r="K703" s="98">
        <f t="shared" si="10"/>
        <v>2024</v>
      </c>
      <c r="L703" s="99" t="s">
        <v>5569</v>
      </c>
    </row>
    <row r="704" spans="1:12" ht="25.5">
      <c r="A704" s="93">
        <v>703</v>
      </c>
      <c r="B704" s="146" t="s">
        <v>5642</v>
      </c>
      <c r="C704" s="158" t="s">
        <v>6146</v>
      </c>
      <c r="D704" s="143" t="s">
        <v>5279</v>
      </c>
      <c r="E704" s="144"/>
      <c r="F704" s="144"/>
      <c r="G704" s="144"/>
      <c r="H704" s="144"/>
      <c r="I704" s="157">
        <v>45507</v>
      </c>
      <c r="J704" s="96" t="s">
        <v>969</v>
      </c>
      <c r="K704" s="98">
        <f t="shared" si="10"/>
        <v>2024</v>
      </c>
      <c r="L704" s="99" t="s">
        <v>5569</v>
      </c>
    </row>
    <row r="705" spans="1:12" ht="25.5">
      <c r="A705" s="93">
        <v>704</v>
      </c>
      <c r="B705" s="146" t="s">
        <v>5642</v>
      </c>
      <c r="C705" s="158" t="s">
        <v>6147</v>
      </c>
      <c r="D705" s="143" t="s">
        <v>5279</v>
      </c>
      <c r="E705" s="144"/>
      <c r="F705" s="144"/>
      <c r="G705" s="144"/>
      <c r="H705" s="144"/>
      <c r="I705" s="157">
        <v>45509</v>
      </c>
      <c r="J705" s="96" t="s">
        <v>911</v>
      </c>
      <c r="K705" s="98">
        <f t="shared" si="10"/>
        <v>2024</v>
      </c>
      <c r="L705" s="99" t="s">
        <v>5569</v>
      </c>
    </row>
    <row r="706" spans="1:12" ht="25.5">
      <c r="A706" s="93">
        <v>705</v>
      </c>
      <c r="B706" s="146" t="s">
        <v>5849</v>
      </c>
      <c r="C706" s="100" t="s">
        <v>6148</v>
      </c>
      <c r="D706" s="143" t="s">
        <v>5279</v>
      </c>
      <c r="E706" s="144"/>
      <c r="F706" s="144"/>
      <c r="G706" s="144"/>
      <c r="H706" s="144"/>
      <c r="I706" s="157">
        <v>45516</v>
      </c>
      <c r="J706" s="96" t="s">
        <v>862</v>
      </c>
      <c r="K706" s="98">
        <f t="shared" si="10"/>
        <v>2024</v>
      </c>
      <c r="L706" s="99" t="s">
        <v>5664</v>
      </c>
    </row>
    <row r="707" spans="1:12" ht="25.5">
      <c r="A707" s="93">
        <v>706</v>
      </c>
      <c r="B707" s="146" t="s">
        <v>5642</v>
      </c>
      <c r="C707" s="142" t="s">
        <v>6149</v>
      </c>
      <c r="D707" s="143" t="s">
        <v>5279</v>
      </c>
      <c r="E707" s="144"/>
      <c r="F707" s="144"/>
      <c r="G707" s="144"/>
      <c r="H707" s="144"/>
      <c r="I707" s="157">
        <v>45514</v>
      </c>
      <c r="J707" s="96" t="s">
        <v>917</v>
      </c>
      <c r="K707" s="98">
        <f t="shared" ref="K707:K735" si="11">YEAR(I707)</f>
        <v>2024</v>
      </c>
      <c r="L707" s="99" t="s">
        <v>5569</v>
      </c>
    </row>
    <row r="708" spans="1:12" ht="25.5">
      <c r="A708" s="93">
        <v>707</v>
      </c>
      <c r="B708" s="146" t="s">
        <v>5849</v>
      </c>
      <c r="C708" s="149" t="s">
        <v>6150</v>
      </c>
      <c r="D708" s="143" t="s">
        <v>5279</v>
      </c>
      <c r="E708" s="144"/>
      <c r="F708" s="144"/>
      <c r="G708" s="144"/>
      <c r="H708" s="144"/>
      <c r="I708" s="157">
        <v>45518</v>
      </c>
      <c r="J708" s="96" t="s">
        <v>862</v>
      </c>
      <c r="K708" s="98">
        <f t="shared" si="11"/>
        <v>2024</v>
      </c>
      <c r="L708" s="99" t="s">
        <v>5664</v>
      </c>
    </row>
    <row r="709" spans="1:12" ht="25.5">
      <c r="A709" s="93">
        <v>708</v>
      </c>
      <c r="B709" s="146" t="s">
        <v>5849</v>
      </c>
      <c r="C709" s="149" t="s">
        <v>6151</v>
      </c>
      <c r="D709" s="143" t="s">
        <v>5279</v>
      </c>
      <c r="E709" s="144"/>
      <c r="F709" s="144"/>
      <c r="G709" s="144"/>
      <c r="H709" s="144"/>
      <c r="I709" s="157">
        <v>45534</v>
      </c>
      <c r="J709" s="101" t="s">
        <v>960</v>
      </c>
      <c r="K709" s="98">
        <f t="shared" si="11"/>
        <v>2024</v>
      </c>
      <c r="L709" s="99" t="s">
        <v>5664</v>
      </c>
    </row>
    <row r="710" spans="1:12" ht="38.25">
      <c r="A710" s="93">
        <v>709</v>
      </c>
      <c r="B710" s="146" t="s">
        <v>6093</v>
      </c>
      <c r="C710" s="158" t="s">
        <v>6152</v>
      </c>
      <c r="D710" s="143" t="s">
        <v>5279</v>
      </c>
      <c r="E710" s="144"/>
      <c r="F710" s="144"/>
      <c r="G710" s="144"/>
      <c r="H710" s="144"/>
      <c r="I710" s="157">
        <v>45539</v>
      </c>
      <c r="J710" s="96" t="s">
        <v>989</v>
      </c>
      <c r="K710" s="98">
        <f t="shared" si="11"/>
        <v>2024</v>
      </c>
      <c r="L710" s="99" t="s">
        <v>5366</v>
      </c>
    </row>
    <row r="711" spans="1:12" ht="38.25">
      <c r="A711" s="93">
        <v>710</v>
      </c>
      <c r="B711" s="146" t="s">
        <v>6153</v>
      </c>
      <c r="C711" s="158" t="s">
        <v>6154</v>
      </c>
      <c r="D711" s="143" t="s">
        <v>5279</v>
      </c>
      <c r="E711" s="144"/>
      <c r="F711" s="144"/>
      <c r="G711" s="144"/>
      <c r="H711" s="144"/>
      <c r="I711" s="157">
        <v>45545</v>
      </c>
      <c r="J711" s="96" t="s">
        <v>831</v>
      </c>
      <c r="K711" s="98">
        <f t="shared" si="11"/>
        <v>2024</v>
      </c>
      <c r="L711" s="99" t="s">
        <v>5291</v>
      </c>
    </row>
    <row r="712" spans="1:12" ht="38.25">
      <c r="A712" s="93">
        <v>711</v>
      </c>
      <c r="B712" s="142" t="s">
        <v>6155</v>
      </c>
      <c r="C712" s="100" t="s">
        <v>6156</v>
      </c>
      <c r="D712" s="100" t="s">
        <v>5284</v>
      </c>
      <c r="I712" s="153">
        <v>45733</v>
      </c>
      <c r="J712" s="96" t="s">
        <v>917</v>
      </c>
      <c r="K712" s="98">
        <f t="shared" si="11"/>
        <v>2025</v>
      </c>
      <c r="L712" s="99" t="s">
        <v>5291</v>
      </c>
    </row>
    <row r="713" spans="1:12" ht="25.5">
      <c r="A713" s="93">
        <v>712</v>
      </c>
      <c r="B713" s="142" t="s">
        <v>6155</v>
      </c>
      <c r="C713" s="100" t="s">
        <v>6157</v>
      </c>
      <c r="D713" s="100" t="s">
        <v>5284</v>
      </c>
      <c r="I713" s="153">
        <v>45734</v>
      </c>
      <c r="J713" s="100" t="s">
        <v>994</v>
      </c>
      <c r="K713" s="98">
        <f t="shared" si="11"/>
        <v>2025</v>
      </c>
      <c r="L713" s="99" t="s">
        <v>5285</v>
      </c>
    </row>
    <row r="714" spans="1:12" ht="25.5">
      <c r="A714" s="93">
        <v>713</v>
      </c>
      <c r="B714" s="142" t="s">
        <v>6155</v>
      </c>
      <c r="C714" s="100" t="s">
        <v>6158</v>
      </c>
      <c r="D714" s="100" t="s">
        <v>5279</v>
      </c>
      <c r="I714" s="153">
        <v>45751</v>
      </c>
      <c r="J714" s="96" t="s">
        <v>974</v>
      </c>
      <c r="K714" s="98">
        <f t="shared" si="11"/>
        <v>2025</v>
      </c>
      <c r="L714" s="99" t="s">
        <v>5314</v>
      </c>
    </row>
    <row r="715" spans="1:12" ht="25.5">
      <c r="A715" s="93">
        <v>714</v>
      </c>
      <c r="B715" s="142" t="s">
        <v>6155</v>
      </c>
      <c r="C715" s="100" t="s">
        <v>6159</v>
      </c>
      <c r="D715" s="100" t="s">
        <v>5279</v>
      </c>
      <c r="I715" s="153">
        <v>45770</v>
      </c>
      <c r="J715" s="96" t="s">
        <v>974</v>
      </c>
      <c r="K715" s="98">
        <f t="shared" si="11"/>
        <v>2025</v>
      </c>
      <c r="L715" s="99" t="s">
        <v>5314</v>
      </c>
    </row>
    <row r="716" spans="1:12" ht="25.5">
      <c r="A716" s="93">
        <v>715</v>
      </c>
      <c r="B716" s="142" t="s">
        <v>6155</v>
      </c>
      <c r="C716" s="100" t="s">
        <v>6160</v>
      </c>
      <c r="D716" s="100" t="s">
        <v>5279</v>
      </c>
      <c r="I716" s="153">
        <v>45775</v>
      </c>
      <c r="J716" s="96" t="s">
        <v>974</v>
      </c>
      <c r="K716" s="98">
        <f t="shared" si="11"/>
        <v>2025</v>
      </c>
      <c r="L716" s="99" t="s">
        <v>5307</v>
      </c>
    </row>
    <row r="717" spans="1:12" ht="25.5">
      <c r="A717" s="93">
        <v>716</v>
      </c>
      <c r="B717" s="142" t="s">
        <v>5974</v>
      </c>
      <c r="C717" s="100" t="s">
        <v>6161</v>
      </c>
      <c r="D717" s="100" t="s">
        <v>5279</v>
      </c>
      <c r="I717" s="153">
        <v>45782</v>
      </c>
      <c r="J717" s="96" t="s">
        <v>885</v>
      </c>
      <c r="K717" s="98">
        <f t="shared" si="11"/>
        <v>2025</v>
      </c>
      <c r="L717" s="99" t="s">
        <v>5569</v>
      </c>
    </row>
    <row r="718" spans="1:12" ht="38.25">
      <c r="A718" s="93">
        <v>717</v>
      </c>
      <c r="B718" s="146" t="s">
        <v>5354</v>
      </c>
      <c r="C718" s="100" t="s">
        <v>6162</v>
      </c>
      <c r="D718" s="100" t="s">
        <v>5279</v>
      </c>
      <c r="I718" s="153">
        <v>45797</v>
      </c>
      <c r="J718" s="96" t="s">
        <v>965</v>
      </c>
      <c r="K718" s="98">
        <f t="shared" si="11"/>
        <v>2025</v>
      </c>
      <c r="L718" s="99" t="s">
        <v>5354</v>
      </c>
    </row>
    <row r="719" spans="1:12" ht="25.5">
      <c r="A719" s="93">
        <v>718</v>
      </c>
      <c r="B719" s="142" t="s">
        <v>5974</v>
      </c>
      <c r="C719" s="100" t="s">
        <v>6163</v>
      </c>
      <c r="D719" s="100" t="s">
        <v>5279</v>
      </c>
      <c r="I719" s="153">
        <v>45806</v>
      </c>
      <c r="J719" s="96" t="s">
        <v>985</v>
      </c>
      <c r="K719" s="98">
        <f t="shared" si="11"/>
        <v>2025</v>
      </c>
      <c r="L719" s="99" t="s">
        <v>5569</v>
      </c>
    </row>
    <row r="720" spans="1:12" ht="25.5">
      <c r="A720" s="93">
        <v>719</v>
      </c>
      <c r="B720" s="146" t="s">
        <v>5354</v>
      </c>
      <c r="C720" s="100" t="s">
        <v>6164</v>
      </c>
      <c r="D720" s="100" t="s">
        <v>5279</v>
      </c>
      <c r="I720" s="153">
        <v>45797</v>
      </c>
      <c r="J720" s="96" t="s">
        <v>892</v>
      </c>
      <c r="K720" s="98">
        <f t="shared" si="11"/>
        <v>2025</v>
      </c>
      <c r="L720" s="99" t="s">
        <v>5354</v>
      </c>
    </row>
    <row r="721" spans="1:12" ht="25.5">
      <c r="A721" s="93">
        <v>720</v>
      </c>
      <c r="B721" s="142" t="s">
        <v>5974</v>
      </c>
      <c r="C721" s="100" t="s">
        <v>6165</v>
      </c>
      <c r="D721" s="100" t="s">
        <v>5279</v>
      </c>
      <c r="I721" s="153">
        <v>45835</v>
      </c>
      <c r="J721" s="100" t="s">
        <v>954</v>
      </c>
      <c r="K721" s="98">
        <f t="shared" si="11"/>
        <v>2025</v>
      </c>
      <c r="L721" s="99" t="s">
        <v>5569</v>
      </c>
    </row>
    <row r="722" spans="1:12" ht="25.5">
      <c r="A722" s="93">
        <v>721</v>
      </c>
      <c r="B722" s="146" t="s">
        <v>6040</v>
      </c>
      <c r="C722" s="100" t="s">
        <v>6166</v>
      </c>
      <c r="D722" s="100" t="s">
        <v>5279</v>
      </c>
      <c r="I722" s="153">
        <v>45853</v>
      </c>
      <c r="J722" s="100" t="s">
        <v>951</v>
      </c>
      <c r="K722" s="98">
        <f t="shared" si="11"/>
        <v>2025</v>
      </c>
      <c r="L722" s="99" t="s">
        <v>5366</v>
      </c>
    </row>
    <row r="723" spans="1:12" ht="25.5">
      <c r="A723" s="93">
        <v>722</v>
      </c>
      <c r="B723" s="146" t="s">
        <v>6040</v>
      </c>
      <c r="C723" s="100" t="s">
        <v>6167</v>
      </c>
      <c r="D723" s="100" t="s">
        <v>5279</v>
      </c>
      <c r="I723" s="153">
        <v>45854</v>
      </c>
      <c r="J723" s="100" t="s">
        <v>930</v>
      </c>
      <c r="K723" s="98">
        <f t="shared" si="11"/>
        <v>2025</v>
      </c>
      <c r="L723" s="99" t="s">
        <v>5366</v>
      </c>
    </row>
    <row r="724" spans="1:12" ht="25.5">
      <c r="A724" s="93">
        <v>723</v>
      </c>
      <c r="B724" s="142" t="s">
        <v>5974</v>
      </c>
      <c r="C724" s="100" t="s">
        <v>6168</v>
      </c>
      <c r="D724" s="100" t="s">
        <v>5279</v>
      </c>
      <c r="I724" s="153">
        <v>45854</v>
      </c>
      <c r="J724" s="96" t="s">
        <v>917</v>
      </c>
      <c r="K724" s="98">
        <f t="shared" si="11"/>
        <v>2025</v>
      </c>
      <c r="L724" s="99" t="s">
        <v>5569</v>
      </c>
    </row>
    <row r="725" spans="1:12" ht="38.25">
      <c r="A725" s="93">
        <v>724</v>
      </c>
      <c r="B725" s="146" t="s">
        <v>6040</v>
      </c>
      <c r="C725" s="100" t="s">
        <v>6169</v>
      </c>
      <c r="D725" s="100" t="s">
        <v>5279</v>
      </c>
      <c r="I725" s="153">
        <v>45855</v>
      </c>
      <c r="J725" s="100" t="s">
        <v>822</v>
      </c>
      <c r="K725" s="98">
        <f t="shared" si="11"/>
        <v>2025</v>
      </c>
      <c r="L725" s="99" t="s">
        <v>5366</v>
      </c>
    </row>
    <row r="726" spans="1:12" ht="25.5">
      <c r="A726" s="93">
        <v>725</v>
      </c>
      <c r="B726" s="142" t="s">
        <v>5974</v>
      </c>
      <c r="C726" s="100" t="s">
        <v>6170</v>
      </c>
      <c r="D726" s="100" t="s">
        <v>5279</v>
      </c>
      <c r="I726" s="153">
        <v>45858</v>
      </c>
      <c r="J726" s="96" t="s">
        <v>969</v>
      </c>
      <c r="K726" s="98">
        <f t="shared" si="11"/>
        <v>2025</v>
      </c>
      <c r="L726" s="99" t="s">
        <v>5569</v>
      </c>
    </row>
    <row r="727" spans="1:12" ht="63.75">
      <c r="A727" s="93">
        <v>726</v>
      </c>
      <c r="B727" s="146" t="s">
        <v>6040</v>
      </c>
      <c r="C727" s="100" t="s">
        <v>6171</v>
      </c>
      <c r="D727" s="100" t="s">
        <v>5299</v>
      </c>
      <c r="I727" s="153">
        <v>45856</v>
      </c>
      <c r="J727" s="96" t="s">
        <v>5617</v>
      </c>
      <c r="K727" s="98">
        <f t="shared" si="11"/>
        <v>2025</v>
      </c>
      <c r="L727" s="99" t="s">
        <v>5366</v>
      </c>
    </row>
    <row r="728" spans="1:12" ht="25.5">
      <c r="A728" s="93">
        <v>727</v>
      </c>
      <c r="B728" s="142" t="s">
        <v>5974</v>
      </c>
      <c r="C728" s="100" t="s">
        <v>6172</v>
      </c>
      <c r="D728" s="100" t="s">
        <v>5279</v>
      </c>
      <c r="I728" s="153">
        <v>45860</v>
      </c>
      <c r="J728" s="96" t="s">
        <v>885</v>
      </c>
      <c r="K728" s="98">
        <f t="shared" si="11"/>
        <v>2025</v>
      </c>
      <c r="L728" s="99" t="s">
        <v>5569</v>
      </c>
    </row>
    <row r="729" spans="1:12" ht="38.25">
      <c r="A729" s="93">
        <v>728</v>
      </c>
      <c r="B729" s="142" t="s">
        <v>5974</v>
      </c>
      <c r="C729" s="100" t="s">
        <v>6173</v>
      </c>
      <c r="D729" s="100" t="s">
        <v>5279</v>
      </c>
      <c r="I729" s="153">
        <v>45866</v>
      </c>
      <c r="J729" s="96" t="s">
        <v>980</v>
      </c>
      <c r="K729" s="98">
        <f t="shared" si="11"/>
        <v>2025</v>
      </c>
      <c r="L729" s="99" t="s">
        <v>5569</v>
      </c>
    </row>
    <row r="730" spans="1:12" ht="25.5">
      <c r="A730" s="93">
        <v>729</v>
      </c>
      <c r="B730" s="141" t="s">
        <v>6174</v>
      </c>
      <c r="C730" s="100" t="s">
        <v>6175</v>
      </c>
      <c r="D730" s="100" t="s">
        <v>5279</v>
      </c>
      <c r="I730" s="154">
        <v>45873</v>
      </c>
      <c r="J730" s="101" t="s">
        <v>930</v>
      </c>
      <c r="K730" s="98">
        <f t="shared" si="11"/>
        <v>2025</v>
      </c>
      <c r="L730" s="99" t="s">
        <v>5973</v>
      </c>
    </row>
    <row r="731" spans="1:12" ht="38.25">
      <c r="A731" s="93">
        <v>730</v>
      </c>
      <c r="B731" s="142" t="s">
        <v>5974</v>
      </c>
      <c r="C731" s="100" t="s">
        <v>6176</v>
      </c>
      <c r="D731" s="100" t="s">
        <v>5279</v>
      </c>
      <c r="I731" s="153">
        <v>45892</v>
      </c>
      <c r="J731" s="96" t="s">
        <v>925</v>
      </c>
      <c r="K731" s="98">
        <f t="shared" si="11"/>
        <v>2025</v>
      </c>
      <c r="L731" s="99" t="s">
        <v>5569</v>
      </c>
    </row>
    <row r="732" spans="1:12" ht="25.5">
      <c r="A732" s="93">
        <v>731</v>
      </c>
      <c r="B732" s="142" t="s">
        <v>5974</v>
      </c>
      <c r="C732" s="100" t="s">
        <v>6177</v>
      </c>
      <c r="D732" s="100" t="s">
        <v>5279</v>
      </c>
      <c r="I732" s="153">
        <v>45899</v>
      </c>
      <c r="J732" s="96" t="s">
        <v>985</v>
      </c>
      <c r="K732" s="98">
        <f t="shared" si="11"/>
        <v>2025</v>
      </c>
      <c r="L732" s="99" t="s">
        <v>5569</v>
      </c>
    </row>
    <row r="733" spans="1:12" ht="38.25">
      <c r="A733" s="93">
        <v>732</v>
      </c>
      <c r="B733" s="142" t="s">
        <v>6155</v>
      </c>
      <c r="C733" s="100" t="s">
        <v>6178</v>
      </c>
      <c r="D733" s="143" t="s">
        <v>5279</v>
      </c>
      <c r="I733" s="157">
        <v>45904</v>
      </c>
      <c r="J733" s="101" t="s">
        <v>960</v>
      </c>
      <c r="K733" s="98">
        <f t="shared" si="11"/>
        <v>2025</v>
      </c>
      <c r="L733" s="99" t="s">
        <v>5280</v>
      </c>
    </row>
    <row r="734" spans="1:12" ht="38.25">
      <c r="A734" s="93">
        <v>733</v>
      </c>
      <c r="B734" s="142" t="s">
        <v>6155</v>
      </c>
      <c r="C734" s="100" t="s">
        <v>6179</v>
      </c>
      <c r="D734" s="143" t="s">
        <v>5279</v>
      </c>
      <c r="I734" s="157">
        <v>45923</v>
      </c>
      <c r="J734" s="96" t="s">
        <v>989</v>
      </c>
      <c r="K734" s="98">
        <f t="shared" si="11"/>
        <v>2025</v>
      </c>
      <c r="L734" s="99" t="s">
        <v>5314</v>
      </c>
    </row>
    <row r="735" spans="1:12" ht="25.5">
      <c r="A735" s="93">
        <v>734</v>
      </c>
      <c r="B735" s="160" t="s">
        <v>5664</v>
      </c>
      <c r="C735" s="100" t="s">
        <v>6180</v>
      </c>
      <c r="D735" s="143" t="s">
        <v>5279</v>
      </c>
      <c r="I735" s="157">
        <v>45930</v>
      </c>
      <c r="J735" s="96" t="s">
        <v>989</v>
      </c>
      <c r="K735" s="98">
        <f t="shared" si="11"/>
        <v>2025</v>
      </c>
      <c r="L735" s="99" t="s">
        <v>5664</v>
      </c>
    </row>
  </sheetData>
  <autoFilter ref="A1:L735" xr:uid="{00000000-0009-0000-0000-000003000000}">
    <filterColumn colId="4" showButton="0"/>
    <filterColumn colId="5" showButton="0"/>
    <filterColumn colId="6" showButton="0"/>
  </autoFilter>
  <mergeCells count="2">
    <mergeCell ref="B541:B542"/>
    <mergeCell ref="J541:J5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7696-D697-42CC-B895-0EE3CC158E16}">
  <sheetPr>
    <tabColor rgb="FFFFC000"/>
  </sheetPr>
  <dimension ref="A1:M141"/>
  <sheetViews>
    <sheetView zoomScale="70" zoomScaleNormal="70" workbookViewId="0">
      <selection activeCell="H49" sqref="H49"/>
    </sheetView>
  </sheetViews>
  <sheetFormatPr defaultRowHeight="15"/>
  <cols>
    <col min="1" max="1" width="9.28515625" style="18" bestFit="1" customWidth="1"/>
    <col min="2" max="2" width="19" style="18" customWidth="1"/>
    <col min="3" max="3" width="23.7109375" style="18" customWidth="1"/>
    <col min="4" max="4" width="22.85546875" style="18" customWidth="1"/>
    <col min="5" max="5" width="17" style="18" customWidth="1"/>
    <col min="6" max="6" width="20.85546875" style="18" customWidth="1"/>
    <col min="7" max="7" width="16.140625" style="18" customWidth="1"/>
    <col min="8" max="8" width="14.28515625" style="18" customWidth="1"/>
    <col min="9" max="9" width="17.42578125" style="18" customWidth="1"/>
    <col min="10" max="10" width="33.28515625" style="18" customWidth="1"/>
    <col min="11" max="12" width="22.42578125" style="18" customWidth="1"/>
    <col min="13" max="13" width="13" customWidth="1"/>
  </cols>
  <sheetData>
    <row r="1" spans="1:12" ht="15.75">
      <c r="A1" s="257" t="s">
        <v>6181</v>
      </c>
      <c r="B1" s="258"/>
      <c r="C1" s="258"/>
      <c r="D1" s="258"/>
      <c r="E1" s="258"/>
      <c r="F1" s="258"/>
      <c r="G1" s="258"/>
      <c r="H1" s="259"/>
      <c r="I1" s="161"/>
      <c r="J1" s="162"/>
      <c r="K1" s="162" t="s">
        <v>6182</v>
      </c>
      <c r="L1" s="163"/>
    </row>
    <row r="2" spans="1:12" ht="18.75" customHeight="1">
      <c r="A2" s="164" t="s">
        <v>717</v>
      </c>
      <c r="B2" s="165" t="s">
        <v>5284</v>
      </c>
      <c r="C2" s="165" t="s">
        <v>5279</v>
      </c>
      <c r="D2" s="166" t="s">
        <v>5516</v>
      </c>
      <c r="E2" s="165" t="s">
        <v>5299</v>
      </c>
      <c r="F2" s="166" t="s">
        <v>6011</v>
      </c>
      <c r="G2" s="165" t="s">
        <v>5288</v>
      </c>
      <c r="H2" s="167" t="s">
        <v>6182</v>
      </c>
      <c r="I2" s="168"/>
      <c r="J2" s="162" t="s">
        <v>6183</v>
      </c>
      <c r="K2" s="162">
        <f>H56</f>
        <v>435</v>
      </c>
      <c r="L2" s="163"/>
    </row>
    <row r="3" spans="1:12" ht="21" customHeight="1">
      <c r="A3" s="169">
        <v>2001</v>
      </c>
      <c r="B3" s="170">
        <f>COUNTIFS(Реестр_ЧС!$D$2:$D$797,Анализ_ЧС!B$2,Реестр_ЧС!$K$2:$K$797,Анализ_ЧС!$A3)</f>
        <v>16</v>
      </c>
      <c r="C3" s="170">
        <f>COUNTIFS(Реестр_ЧС!$D$2:$D$797,Анализ_ЧС!C$2,Реестр_ЧС!$K$2:$K$797,Анализ_ЧС!$A3)</f>
        <v>5</v>
      </c>
      <c r="D3" s="170">
        <f>COUNTIFS(Реестр_ЧС!$D$2:$D$797,Анализ_ЧС!D$2,Реестр_ЧС!$K$2:$K$797,Анализ_ЧС!$A3)</f>
        <v>0</v>
      </c>
      <c r="E3" s="170">
        <f>COUNTIFS(Реестр_ЧС!$D$2:$D$797,Анализ_ЧС!E$2,Реестр_ЧС!$K$2:$K$797,Анализ_ЧС!$A3)</f>
        <v>1</v>
      </c>
      <c r="F3" s="170">
        <f>COUNTIFS(Реестр_ЧС!$D$2:$D$797,Анализ_ЧС!F$2,Реестр_ЧС!$K$2:$K$797,Анализ_ЧС!$A3)</f>
        <v>0</v>
      </c>
      <c r="G3" s="170">
        <f>COUNTIFS(Реестр_ЧС!$D$2:$D$797,Анализ_ЧС!G$2,Реестр_ЧС!$K$2:$K$797,Анализ_ЧС!$A3)</f>
        <v>3</v>
      </c>
      <c r="H3" s="170">
        <f>SUM(B3:G3)</f>
        <v>25</v>
      </c>
      <c r="I3" s="171"/>
      <c r="J3" s="162" t="s">
        <v>6184</v>
      </c>
      <c r="K3" s="162">
        <f>M84</f>
        <v>262</v>
      </c>
      <c r="L3" s="163"/>
    </row>
    <row r="4" spans="1:12" ht="24.75" customHeight="1">
      <c r="A4" s="169">
        <v>2002</v>
      </c>
      <c r="B4" s="170">
        <f>COUNTIFS(Реестр_ЧС!$D$2:$D$797,Анализ_ЧС!B$2,Реестр_ЧС!$K$2:$K$797,Анализ_ЧС!$A4)</f>
        <v>0</v>
      </c>
      <c r="C4" s="170">
        <f>COUNTIFS(Реестр_ЧС!$D$2:$D$797,Анализ_ЧС!C$2,Реестр_ЧС!$K$2:$K$797,Анализ_ЧС!$A4)</f>
        <v>2</v>
      </c>
      <c r="D4" s="170">
        <f>COUNTIFS(Реестр_ЧС!$D$2:$D$797,Анализ_ЧС!D$2,Реестр_ЧС!$K$2:$K$797,Анализ_ЧС!$A4)</f>
        <v>0</v>
      </c>
      <c r="E4" s="170">
        <f>COUNTIFS(Реестр_ЧС!$D$2:$D$797,Анализ_ЧС!E$2,Реестр_ЧС!$K$2:$K$797,Анализ_ЧС!$A4)</f>
        <v>3</v>
      </c>
      <c r="F4" s="170">
        <f>COUNTIFS(Реестр_ЧС!$D$2:$D$797,Анализ_ЧС!F$2,Реестр_ЧС!$K$2:$K$797,Анализ_ЧС!$A4)</f>
        <v>0</v>
      </c>
      <c r="G4" s="170">
        <f>COUNTIFS(Реестр_ЧС!$D$2:$D$797,Анализ_ЧС!G$2,Реестр_ЧС!$K$2:$K$797,Анализ_ЧС!$A4)</f>
        <v>3</v>
      </c>
      <c r="H4" s="170">
        <f t="shared" ref="H4:H27" si="0">SUM(B4:G4)</f>
        <v>8</v>
      </c>
      <c r="I4" s="171"/>
      <c r="J4" s="162" t="s">
        <v>6185</v>
      </c>
      <c r="K4" s="162">
        <f>F112</f>
        <v>35</v>
      </c>
      <c r="L4" s="163"/>
    </row>
    <row r="5" spans="1:12" ht="15.75">
      <c r="A5" s="169">
        <v>2003</v>
      </c>
      <c r="B5" s="170">
        <f>COUNTIFS(Реестр_ЧС!$D$2:$D$797,Анализ_ЧС!B$2,Реестр_ЧС!$K$2:$K$797,Анализ_ЧС!$A5)</f>
        <v>13</v>
      </c>
      <c r="C5" s="170">
        <f>COUNTIFS(Реестр_ЧС!$D$2:$D$797,Анализ_ЧС!C$2,Реестр_ЧС!$K$2:$K$797,Анализ_ЧС!$A5)</f>
        <v>6</v>
      </c>
      <c r="D5" s="170">
        <f>COUNTIFS(Реестр_ЧС!$D$2:$D$797,Анализ_ЧС!D$2,Реестр_ЧС!$K$2:$K$797,Анализ_ЧС!$A5)</f>
        <v>0</v>
      </c>
      <c r="E5" s="170">
        <f>COUNTIFS(Реестр_ЧС!$D$2:$D$797,Анализ_ЧС!E$2,Реестр_ЧС!$K$2:$K$797,Анализ_ЧС!$A5)</f>
        <v>2</v>
      </c>
      <c r="F5" s="170">
        <f>COUNTIFS(Реестр_ЧС!$D$2:$D$797,Анализ_ЧС!F$2,Реестр_ЧС!$K$2:$K$797,Анализ_ЧС!$A5)</f>
        <v>0</v>
      </c>
      <c r="G5" s="170">
        <f>COUNTIFS(Реестр_ЧС!$D$2:$D$797,Анализ_ЧС!G$2,Реестр_ЧС!$K$2:$K$797,Анализ_ЧС!$A5)</f>
        <v>0</v>
      </c>
      <c r="H5" s="170">
        <f t="shared" si="0"/>
        <v>21</v>
      </c>
      <c r="I5" s="171"/>
      <c r="J5" s="162" t="s">
        <v>6186</v>
      </c>
      <c r="K5" s="162">
        <f>K2+K3+K4</f>
        <v>732</v>
      </c>
      <c r="L5" s="163"/>
    </row>
    <row r="6" spans="1:12" ht="15.75">
      <c r="A6" s="169">
        <v>2004</v>
      </c>
      <c r="B6" s="170">
        <f>COUNTIFS(Реестр_ЧС!$D$2:$D$797,Анализ_ЧС!B$2,Реестр_ЧС!$K$2:$K$797,Анализ_ЧС!$A6)</f>
        <v>12</v>
      </c>
      <c r="C6" s="170">
        <f>COUNTIFS(Реестр_ЧС!$D$2:$D$797,Анализ_ЧС!C$2,Реестр_ЧС!$K$2:$K$797,Анализ_ЧС!$A6)</f>
        <v>7</v>
      </c>
      <c r="D6" s="170">
        <f>COUNTIFS(Реестр_ЧС!$D$2:$D$797,Анализ_ЧС!D$2,Реестр_ЧС!$K$2:$K$797,Анализ_ЧС!$A6)</f>
        <v>0</v>
      </c>
      <c r="E6" s="170">
        <f>COUNTIFS(Реестр_ЧС!$D$2:$D$797,Анализ_ЧС!E$2,Реестр_ЧС!$K$2:$K$797,Анализ_ЧС!$A6)</f>
        <v>4</v>
      </c>
      <c r="F6" s="170">
        <f>COUNTIFS(Реестр_ЧС!$D$2:$D$797,Анализ_ЧС!F$2,Реестр_ЧС!$K$2:$K$797,Анализ_ЧС!$A6)</f>
        <v>0</v>
      </c>
      <c r="G6" s="170">
        <f>COUNTIFS(Реестр_ЧС!$D$2:$D$797,Анализ_ЧС!G$2,Реестр_ЧС!$K$2:$K$797,Анализ_ЧС!$A6)</f>
        <v>0</v>
      </c>
      <c r="H6" s="170">
        <f t="shared" si="0"/>
        <v>23</v>
      </c>
      <c r="I6" s="171"/>
    </row>
    <row r="7" spans="1:12" ht="15.75">
      <c r="A7" s="169">
        <v>2005</v>
      </c>
      <c r="B7" s="170">
        <f>COUNTIFS(Реестр_ЧС!$D$2:$D$797,Анализ_ЧС!B$2,Реестр_ЧС!$K$2:$K$797,Анализ_ЧС!$A7)</f>
        <v>26</v>
      </c>
      <c r="C7" s="170">
        <f>COUNTIFS(Реестр_ЧС!$D$2:$D$797,Анализ_ЧС!C$2,Реестр_ЧС!$K$2:$K$797,Анализ_ЧС!$A7)</f>
        <v>4</v>
      </c>
      <c r="D7" s="170">
        <f>COUNTIFS(Реестр_ЧС!$D$2:$D$797,Анализ_ЧС!D$2,Реестр_ЧС!$K$2:$K$797,Анализ_ЧС!$A7)</f>
        <v>0</v>
      </c>
      <c r="E7" s="170">
        <f>COUNTIFS(Реестр_ЧС!$D$2:$D$797,Анализ_ЧС!E$2,Реестр_ЧС!$K$2:$K$797,Анализ_ЧС!$A7)</f>
        <v>1</v>
      </c>
      <c r="F7" s="170">
        <f>COUNTIFS(Реестр_ЧС!$D$2:$D$797,Анализ_ЧС!F$2,Реестр_ЧС!$K$2:$K$797,Анализ_ЧС!$A7)</f>
        <v>0</v>
      </c>
      <c r="G7" s="170">
        <f>COUNTIFS(Реестр_ЧС!$D$2:$D$797,Анализ_ЧС!G$2,Реестр_ЧС!$K$2:$K$797,Анализ_ЧС!$A7)</f>
        <v>0</v>
      </c>
      <c r="H7" s="170">
        <f t="shared" si="0"/>
        <v>31</v>
      </c>
      <c r="I7" s="171"/>
    </row>
    <row r="8" spans="1:12" ht="15.75">
      <c r="A8" s="169">
        <v>2006</v>
      </c>
      <c r="B8" s="170">
        <f>COUNTIFS(Реестр_ЧС!$D$2:$D$797,Анализ_ЧС!B$2,Реестр_ЧС!$K$2:$K$797,Анализ_ЧС!$A8)</f>
        <v>33</v>
      </c>
      <c r="C8" s="170">
        <f>COUNTIFS(Реестр_ЧС!$D$2:$D$797,Анализ_ЧС!C$2,Реестр_ЧС!$K$2:$K$797,Анализ_ЧС!$A8)</f>
        <v>5</v>
      </c>
      <c r="D8" s="170">
        <f>COUNTIFS(Реестр_ЧС!$D$2:$D$797,Анализ_ЧС!D$2,Реестр_ЧС!$K$2:$K$797,Анализ_ЧС!$A8)</f>
        <v>0</v>
      </c>
      <c r="E8" s="170">
        <f>COUNTIFS(Реестр_ЧС!$D$2:$D$797,Анализ_ЧС!E$2,Реестр_ЧС!$K$2:$K$797,Анализ_ЧС!$A8)</f>
        <v>0</v>
      </c>
      <c r="F8" s="170">
        <f>COUNTIFS(Реестр_ЧС!$D$2:$D$797,Анализ_ЧС!F$2,Реестр_ЧС!$K$2:$K$797,Анализ_ЧС!$A8)</f>
        <v>0</v>
      </c>
      <c r="G8" s="170">
        <f>COUNTIFS(Реестр_ЧС!$D$2:$D$797,Анализ_ЧС!G$2,Реестр_ЧС!$K$2:$K$797,Анализ_ЧС!$A8)</f>
        <v>0</v>
      </c>
      <c r="H8" s="170">
        <f t="shared" si="0"/>
        <v>38</v>
      </c>
      <c r="I8" s="171"/>
    </row>
    <row r="9" spans="1:12" ht="15.75">
      <c r="A9" s="169">
        <v>2007</v>
      </c>
      <c r="B9" s="170">
        <f>COUNTIFS(Реестр_ЧС!$D$2:$D$797,Анализ_ЧС!B$2,Реестр_ЧС!$K$2:$K$797,Анализ_ЧС!$A9)</f>
        <v>0</v>
      </c>
      <c r="C9" s="170">
        <f>COUNTIFS(Реестр_ЧС!$D$2:$D$797,Анализ_ЧС!C$2,Реестр_ЧС!$K$2:$K$797,Анализ_ЧС!$A9)</f>
        <v>0</v>
      </c>
      <c r="D9" s="170">
        <f>COUNTIFS(Реестр_ЧС!$D$2:$D$797,Анализ_ЧС!D$2,Реестр_ЧС!$K$2:$K$797,Анализ_ЧС!$A9)</f>
        <v>0</v>
      </c>
      <c r="E9" s="170">
        <f>COUNTIFS(Реестр_ЧС!$D$2:$D$797,Анализ_ЧС!E$2,Реестр_ЧС!$K$2:$K$797,Анализ_ЧС!$A9)</f>
        <v>0</v>
      </c>
      <c r="F9" s="170">
        <f>COUNTIFS(Реестр_ЧС!$D$2:$D$797,Анализ_ЧС!F$2,Реестр_ЧС!$K$2:$K$797,Анализ_ЧС!$A9)</f>
        <v>0</v>
      </c>
      <c r="G9" s="170">
        <f>COUNTIFS(Реестр_ЧС!$D$2:$D$797,Анализ_ЧС!G$2,Реестр_ЧС!$K$2:$K$797,Анализ_ЧС!$A9)</f>
        <v>0</v>
      </c>
      <c r="H9" s="170">
        <f t="shared" si="0"/>
        <v>0</v>
      </c>
      <c r="I9" s="171"/>
      <c r="J9" s="163"/>
      <c r="K9" s="163"/>
      <c r="L9" s="163"/>
    </row>
    <row r="10" spans="1:12" ht="15.75">
      <c r="A10" s="169">
        <v>2008</v>
      </c>
      <c r="B10" s="170">
        <f>COUNTIFS(Реестр_ЧС!$D$2:$D$797,Анализ_ЧС!B$2,Реестр_ЧС!$K$2:$K$797,Анализ_ЧС!$A10)</f>
        <v>30</v>
      </c>
      <c r="C10" s="170">
        <f>COUNTIFS(Реестр_ЧС!$D$2:$D$797,Анализ_ЧС!C$2,Реестр_ЧС!$K$2:$K$797,Анализ_ЧС!$A10)</f>
        <v>22</v>
      </c>
      <c r="D10" s="170">
        <f>COUNTIFS(Реестр_ЧС!$D$2:$D$797,Анализ_ЧС!D$2,Реестр_ЧС!$K$2:$K$797,Анализ_ЧС!$A10)</f>
        <v>3</v>
      </c>
      <c r="E10" s="170">
        <f>COUNTIFS(Реестр_ЧС!$D$2:$D$797,Анализ_ЧС!E$2,Реестр_ЧС!$K$2:$K$797,Анализ_ЧС!$A10)</f>
        <v>0</v>
      </c>
      <c r="F10" s="170">
        <f>COUNTIFS(Реестр_ЧС!$D$2:$D$797,Анализ_ЧС!F$2,Реестр_ЧС!$K$2:$K$797,Анализ_ЧС!$A10)</f>
        <v>0</v>
      </c>
      <c r="G10" s="170">
        <f>COUNTIFS(Реестр_ЧС!$D$2:$D$797,Анализ_ЧС!G$2,Реестр_ЧС!$K$2:$K$797,Анализ_ЧС!$A10)</f>
        <v>0</v>
      </c>
      <c r="H10" s="170">
        <f t="shared" si="0"/>
        <v>55</v>
      </c>
      <c r="I10" s="171"/>
      <c r="J10" s="163"/>
      <c r="K10" s="163"/>
      <c r="L10" s="163"/>
    </row>
    <row r="11" spans="1:12" ht="15.75">
      <c r="A11" s="169">
        <v>2009</v>
      </c>
      <c r="B11" s="170">
        <f>COUNTIFS(Реестр_ЧС!$D$2:$D$797,Анализ_ЧС!B$2,Реестр_ЧС!$K$2:$K$797,Анализ_ЧС!$A11)</f>
        <v>0</v>
      </c>
      <c r="C11" s="170">
        <f>COUNTIFS(Реестр_ЧС!$D$2:$D$797,Анализ_ЧС!C$2,Реестр_ЧС!$K$2:$K$797,Анализ_ЧС!$A11)</f>
        <v>2</v>
      </c>
      <c r="D11" s="170">
        <f>COUNTIFS(Реестр_ЧС!$D$2:$D$797,Анализ_ЧС!D$2,Реестр_ЧС!$K$2:$K$797,Анализ_ЧС!$A11)</f>
        <v>0</v>
      </c>
      <c r="E11" s="170">
        <f>COUNTIFS(Реестр_ЧС!$D$2:$D$797,Анализ_ЧС!E$2,Реестр_ЧС!$K$2:$K$797,Анализ_ЧС!$A11)</f>
        <v>0</v>
      </c>
      <c r="F11" s="170">
        <f>COUNTIFS(Реестр_ЧС!$D$2:$D$797,Анализ_ЧС!F$2,Реестр_ЧС!$K$2:$K$797,Анализ_ЧС!$A11)</f>
        <v>0</v>
      </c>
      <c r="G11" s="170">
        <f>COUNTIFS(Реестр_ЧС!$D$2:$D$797,Анализ_ЧС!G$2,Реестр_ЧС!$K$2:$K$797,Анализ_ЧС!$A11)</f>
        <v>0</v>
      </c>
      <c r="H11" s="170">
        <f t="shared" si="0"/>
        <v>2</v>
      </c>
      <c r="I11" s="171"/>
      <c r="J11" s="163"/>
      <c r="K11" s="163"/>
      <c r="L11" s="163"/>
    </row>
    <row r="12" spans="1:12" ht="15.75">
      <c r="A12" s="169">
        <v>2010</v>
      </c>
      <c r="B12" s="170">
        <f>COUNTIFS(Реестр_ЧС!$D$2:$D$797,Анализ_ЧС!B$2,Реестр_ЧС!$K$2:$K$797,Анализ_ЧС!$A12)</f>
        <v>1</v>
      </c>
      <c r="C12" s="170">
        <f>COUNTIFS(Реестр_ЧС!$D$2:$D$797,Анализ_ЧС!C$2,Реестр_ЧС!$K$2:$K$797,Анализ_ЧС!$A12)</f>
        <v>6</v>
      </c>
      <c r="D12" s="170">
        <f>COUNTIFS(Реестр_ЧС!$D$2:$D$797,Анализ_ЧС!D$2,Реестр_ЧС!$K$2:$K$797,Анализ_ЧС!$A12)</f>
        <v>0</v>
      </c>
      <c r="E12" s="170">
        <f>COUNTIFS(Реестр_ЧС!$D$2:$D$797,Анализ_ЧС!E$2,Реестр_ЧС!$K$2:$K$797,Анализ_ЧС!$A12)</f>
        <v>0</v>
      </c>
      <c r="F12" s="170">
        <f>COUNTIFS(Реестр_ЧС!$D$2:$D$797,Анализ_ЧС!F$2,Реестр_ЧС!$K$2:$K$797,Анализ_ЧС!$A12)</f>
        <v>0</v>
      </c>
      <c r="G12" s="170">
        <f>COUNTIFS(Реестр_ЧС!$D$2:$D$797,Анализ_ЧС!G$2,Реестр_ЧС!$K$2:$K$797,Анализ_ЧС!$A12)</f>
        <v>0</v>
      </c>
      <c r="H12" s="170">
        <f t="shared" si="0"/>
        <v>7</v>
      </c>
      <c r="I12" s="171"/>
      <c r="J12" s="163"/>
      <c r="K12" s="163"/>
      <c r="L12" s="163"/>
    </row>
    <row r="13" spans="1:12" ht="15.75">
      <c r="A13" s="169">
        <v>2011</v>
      </c>
      <c r="B13" s="170">
        <f>COUNTIFS(Реестр_ЧС!$D$2:$D$797,Анализ_ЧС!B$2,Реестр_ЧС!$K$2:$K$797,Анализ_ЧС!$A13)</f>
        <v>0</v>
      </c>
      <c r="C13" s="170">
        <f>COUNTIFS(Реестр_ЧС!$D$2:$D$797,Анализ_ЧС!C$2,Реестр_ЧС!$K$2:$K$797,Анализ_ЧС!$A13)</f>
        <v>5</v>
      </c>
      <c r="D13" s="170">
        <f>COUNTIFS(Реестр_ЧС!$D$2:$D$797,Анализ_ЧС!D$2,Реестр_ЧС!$K$2:$K$797,Анализ_ЧС!$A13)</f>
        <v>1</v>
      </c>
      <c r="E13" s="170">
        <f>COUNTIFS(Реестр_ЧС!$D$2:$D$797,Анализ_ЧС!E$2,Реестр_ЧС!$K$2:$K$797,Анализ_ЧС!$A13)</f>
        <v>1</v>
      </c>
      <c r="F13" s="170">
        <f>COUNTIFS(Реестр_ЧС!$D$2:$D$797,Анализ_ЧС!F$2,Реестр_ЧС!$K$2:$K$797,Анализ_ЧС!$A13)</f>
        <v>0</v>
      </c>
      <c r="G13" s="170">
        <f>COUNTIFS(Реестр_ЧС!$D$2:$D$797,Анализ_ЧС!G$2,Реестр_ЧС!$K$2:$K$797,Анализ_ЧС!$A13)</f>
        <v>0</v>
      </c>
      <c r="H13" s="170">
        <f t="shared" si="0"/>
        <v>7</v>
      </c>
      <c r="I13" s="171"/>
      <c r="J13" s="163"/>
      <c r="K13" s="163"/>
      <c r="L13" s="163"/>
    </row>
    <row r="14" spans="1:12" ht="15.75">
      <c r="A14" s="169">
        <v>2012</v>
      </c>
      <c r="B14" s="170">
        <f>COUNTIFS(Реестр_ЧС!$D$2:$D$797,Анализ_ЧС!B$2,Реестр_ЧС!$K$2:$K$797,Анализ_ЧС!$A14)</f>
        <v>5</v>
      </c>
      <c r="C14" s="170">
        <f>COUNTIFS(Реестр_ЧС!$D$2:$D$797,Анализ_ЧС!C$2,Реестр_ЧС!$K$2:$K$797,Анализ_ЧС!$A14)</f>
        <v>17</v>
      </c>
      <c r="D14" s="170">
        <f>COUNTIFS(Реестр_ЧС!$D$2:$D$797,Анализ_ЧС!D$2,Реестр_ЧС!$K$2:$K$797,Анализ_ЧС!$A14)</f>
        <v>2</v>
      </c>
      <c r="E14" s="170">
        <f>COUNTIFS(Реестр_ЧС!$D$2:$D$797,Анализ_ЧС!E$2,Реестр_ЧС!$K$2:$K$797,Анализ_ЧС!$A14)</f>
        <v>4</v>
      </c>
      <c r="F14" s="170">
        <f>COUNTIFS(Реестр_ЧС!$D$2:$D$797,Анализ_ЧС!F$2,Реестр_ЧС!$K$2:$K$797,Анализ_ЧС!$A14)</f>
        <v>0</v>
      </c>
      <c r="G14" s="170">
        <f>COUNTIFS(Реестр_ЧС!$D$2:$D$797,Анализ_ЧС!G$2,Реестр_ЧС!$K$2:$K$797,Анализ_ЧС!$A14)</f>
        <v>0</v>
      </c>
      <c r="H14" s="170">
        <f t="shared" si="0"/>
        <v>28</v>
      </c>
      <c r="I14" s="171"/>
      <c r="J14" s="163"/>
      <c r="K14" s="163"/>
      <c r="L14" s="163"/>
    </row>
    <row r="15" spans="1:12" ht="15.75">
      <c r="A15" s="169">
        <v>2013</v>
      </c>
      <c r="B15" s="170">
        <f>COUNTIFS(Реестр_ЧС!$D$2:$D$797,Анализ_ЧС!B$2,Реестр_ЧС!$K$2:$K$797,Анализ_ЧС!$A15)</f>
        <v>0</v>
      </c>
      <c r="C15" s="170">
        <f>COUNTIFS(Реестр_ЧС!$D$2:$D$797,Анализ_ЧС!C$2,Реестр_ЧС!$K$2:$K$797,Анализ_ЧС!$A15)</f>
        <v>7</v>
      </c>
      <c r="D15" s="170">
        <f>COUNTIFS(Реестр_ЧС!$D$2:$D$797,Анализ_ЧС!D$2,Реестр_ЧС!$K$2:$K$797,Анализ_ЧС!$A15)</f>
        <v>3</v>
      </c>
      <c r="E15" s="170">
        <f>COUNTIFS(Реестр_ЧС!$D$2:$D$797,Анализ_ЧС!E$2,Реестр_ЧС!$K$2:$K$797,Анализ_ЧС!$A15)</f>
        <v>6</v>
      </c>
      <c r="F15" s="170">
        <f>COUNTIFS(Реестр_ЧС!$D$2:$D$797,Анализ_ЧС!F$2,Реестр_ЧС!$K$2:$K$797,Анализ_ЧС!$A15)</f>
        <v>0</v>
      </c>
      <c r="G15" s="170">
        <f>COUNTIFS(Реестр_ЧС!$D$2:$D$797,Анализ_ЧС!G$2,Реестр_ЧС!$K$2:$K$797,Анализ_ЧС!$A15)</f>
        <v>0</v>
      </c>
      <c r="H15" s="170">
        <f t="shared" si="0"/>
        <v>16</v>
      </c>
      <c r="I15" s="171"/>
      <c r="J15" s="163"/>
      <c r="K15" s="163"/>
      <c r="L15" s="163"/>
    </row>
    <row r="16" spans="1:12" ht="15.75">
      <c r="A16" s="169">
        <v>2014</v>
      </c>
      <c r="B16" s="170">
        <f>COUNTIFS(Реестр_ЧС!$D$2:$D$797,Анализ_ЧС!B$2,Реестр_ЧС!$K$2:$K$797,Анализ_ЧС!$A16)</f>
        <v>1</v>
      </c>
      <c r="C16" s="170">
        <f>COUNTIFS(Реестр_ЧС!$D$2:$D$797,Анализ_ЧС!C$2,Реестр_ЧС!$K$2:$K$797,Анализ_ЧС!$A16)</f>
        <v>6</v>
      </c>
      <c r="D16" s="170">
        <f>COUNTIFS(Реестр_ЧС!$D$2:$D$797,Анализ_ЧС!D$2,Реестр_ЧС!$K$2:$K$797,Анализ_ЧС!$A16)</f>
        <v>0</v>
      </c>
      <c r="E16" s="170">
        <f>COUNTIFS(Реестр_ЧС!$D$2:$D$797,Анализ_ЧС!E$2,Реестр_ЧС!$K$2:$K$797,Анализ_ЧС!$A16)</f>
        <v>5</v>
      </c>
      <c r="F16" s="170">
        <f>COUNTIFS(Реестр_ЧС!$D$2:$D$797,Анализ_ЧС!F$2,Реестр_ЧС!$K$2:$K$797,Анализ_ЧС!$A16)</f>
        <v>0</v>
      </c>
      <c r="G16" s="170">
        <f>COUNTIFS(Реестр_ЧС!$D$2:$D$797,Анализ_ЧС!G$2,Реестр_ЧС!$K$2:$K$797,Анализ_ЧС!$A16)</f>
        <v>0</v>
      </c>
      <c r="H16" s="170">
        <f t="shared" si="0"/>
        <v>12</v>
      </c>
      <c r="I16" s="171"/>
      <c r="J16" s="163"/>
      <c r="K16" s="163"/>
      <c r="L16" s="163"/>
    </row>
    <row r="17" spans="1:12" ht="15.75">
      <c r="A17" s="169">
        <v>2015</v>
      </c>
      <c r="B17" s="170">
        <f>COUNTIFS(Реестр_ЧС!$D$2:$D$797,Анализ_ЧС!B$2,Реестр_ЧС!$K$2:$K$797,Анализ_ЧС!$A17)</f>
        <v>3</v>
      </c>
      <c r="C17" s="170">
        <f>COUNTIFS(Реестр_ЧС!$D$2:$D$797,Анализ_ЧС!C$2,Реестр_ЧС!$K$2:$K$797,Анализ_ЧС!$A17)</f>
        <v>3</v>
      </c>
      <c r="D17" s="170">
        <f>COUNTIFS(Реестр_ЧС!$D$2:$D$797,Анализ_ЧС!D$2,Реестр_ЧС!$K$2:$K$797,Анализ_ЧС!$A17)</f>
        <v>0</v>
      </c>
      <c r="E17" s="170">
        <f>COUNTIFS(Реестр_ЧС!$D$2:$D$797,Анализ_ЧС!E$2,Реестр_ЧС!$K$2:$K$797,Анализ_ЧС!$A17)</f>
        <v>0</v>
      </c>
      <c r="F17" s="170">
        <f>COUNTIFS(Реестр_ЧС!$D$2:$D$797,Анализ_ЧС!F$2,Реестр_ЧС!$K$2:$K$797,Анализ_ЧС!$A17)</f>
        <v>0</v>
      </c>
      <c r="G17" s="170">
        <f>COUNTIFS(Реестр_ЧС!$D$2:$D$797,Анализ_ЧС!G$2,Реестр_ЧС!$K$2:$K$797,Анализ_ЧС!$A17)</f>
        <v>0</v>
      </c>
      <c r="H17" s="170">
        <f t="shared" si="0"/>
        <v>6</v>
      </c>
      <c r="I17" s="171"/>
      <c r="J17" s="163"/>
      <c r="K17" s="163"/>
      <c r="L17" s="163"/>
    </row>
    <row r="18" spans="1:12" ht="15.75">
      <c r="A18" s="169">
        <v>2016</v>
      </c>
      <c r="B18" s="170">
        <f>COUNTIFS(Реестр_ЧС!$D$2:$D$797,Анализ_ЧС!B$2,Реестр_ЧС!$K$2:$K$797,Анализ_ЧС!$A18)</f>
        <v>2</v>
      </c>
      <c r="C18" s="170">
        <f>COUNTIFS(Реестр_ЧС!$D$2:$D$797,Анализ_ЧС!C$2,Реестр_ЧС!$K$2:$K$797,Анализ_ЧС!$A18)</f>
        <v>18</v>
      </c>
      <c r="D18" s="170">
        <f>COUNTIFS(Реестр_ЧС!$D$2:$D$797,Анализ_ЧС!D$2,Реестр_ЧС!$K$2:$K$797,Анализ_ЧС!$A18)</f>
        <v>0</v>
      </c>
      <c r="E18" s="170">
        <f>COUNTIFS(Реестр_ЧС!$D$2:$D$797,Анализ_ЧС!E$2,Реестр_ЧС!$K$2:$K$797,Анализ_ЧС!$A18)</f>
        <v>1</v>
      </c>
      <c r="F18" s="170">
        <f>COUNTIFS(Реестр_ЧС!$D$2:$D$797,Анализ_ЧС!F$2,Реестр_ЧС!$K$2:$K$797,Анализ_ЧС!$A18)</f>
        <v>0</v>
      </c>
      <c r="G18" s="170">
        <f>COUNTIFS(Реестр_ЧС!$D$2:$D$797,Анализ_ЧС!G$2,Реестр_ЧС!$K$2:$K$797,Анализ_ЧС!$A18)</f>
        <v>0</v>
      </c>
      <c r="H18" s="170">
        <f t="shared" si="0"/>
        <v>21</v>
      </c>
      <c r="I18" s="171"/>
      <c r="J18" s="163"/>
      <c r="K18" s="163"/>
      <c r="L18" s="163"/>
    </row>
    <row r="19" spans="1:12" ht="15.75">
      <c r="A19" s="169">
        <v>2017</v>
      </c>
      <c r="B19" s="170">
        <f>COUNTIFS(Реестр_ЧС!$D$2:$D$797,Анализ_ЧС!B$2,Реестр_ЧС!$K$2:$K$797,Анализ_ЧС!$A19)</f>
        <v>4</v>
      </c>
      <c r="C19" s="170">
        <f>COUNTIFS(Реестр_ЧС!$D$2:$D$797,Анализ_ЧС!C$2,Реестр_ЧС!$K$2:$K$797,Анализ_ЧС!$A19)</f>
        <v>41</v>
      </c>
      <c r="D19" s="170">
        <f>COUNTIFS(Реестр_ЧС!$D$2:$D$797,Анализ_ЧС!D$2,Реестр_ЧС!$K$2:$K$797,Анализ_ЧС!$A19)</f>
        <v>1</v>
      </c>
      <c r="E19" s="170">
        <f>COUNTIFS(Реестр_ЧС!$D$2:$D$797,Анализ_ЧС!E$2,Реестр_ЧС!$K$2:$K$797,Анализ_ЧС!$A19)</f>
        <v>1</v>
      </c>
      <c r="F19" s="170">
        <f>COUNTIFS(Реестр_ЧС!$D$2:$D$797,Анализ_ЧС!F$2,Реестр_ЧС!$K$2:$K$797,Анализ_ЧС!$A19)</f>
        <v>0</v>
      </c>
      <c r="G19" s="170">
        <f>COUNTIFS(Реестр_ЧС!$D$2:$D$797,Анализ_ЧС!G$2,Реестр_ЧС!$K$2:$K$797,Анализ_ЧС!$A19)</f>
        <v>1</v>
      </c>
      <c r="H19" s="170">
        <f t="shared" si="0"/>
        <v>48</v>
      </c>
      <c r="I19" s="171"/>
      <c r="J19" s="163"/>
      <c r="K19" s="163"/>
      <c r="L19" s="163"/>
    </row>
    <row r="20" spans="1:12" ht="15.75">
      <c r="A20" s="169">
        <v>2018</v>
      </c>
      <c r="B20" s="170">
        <f>COUNTIFS(Реестр_ЧС!$D$2:$D$797,Анализ_ЧС!B$2,Реестр_ЧС!$K$2:$K$797,Анализ_ЧС!$A20)</f>
        <v>1</v>
      </c>
      <c r="C20" s="170">
        <f>COUNTIFS(Реестр_ЧС!$D$2:$D$797,Анализ_ЧС!C$2,Реестр_ЧС!$K$2:$K$797,Анализ_ЧС!$A20)</f>
        <v>65</v>
      </c>
      <c r="D20" s="170">
        <f>COUNTIFS(Реестр_ЧС!$D$2:$D$797,Анализ_ЧС!D$2,Реестр_ЧС!$K$2:$K$797,Анализ_ЧС!$A20)</f>
        <v>5</v>
      </c>
      <c r="E20" s="170">
        <f>COUNTIFS(Реестр_ЧС!$D$2:$D$797,Анализ_ЧС!E$2,Реестр_ЧС!$K$2:$K$797,Анализ_ЧС!$A20)</f>
        <v>9</v>
      </c>
      <c r="F20" s="170">
        <f>COUNTIFS(Реестр_ЧС!$D$2:$D$797,Анализ_ЧС!F$2,Реестр_ЧС!$K$2:$K$797,Анализ_ЧС!$A20)</f>
        <v>0</v>
      </c>
      <c r="G20" s="170">
        <f>COUNTIFS(Реестр_ЧС!$D$2:$D$797,Анализ_ЧС!G$2,Реестр_ЧС!$K$2:$K$797,Анализ_ЧС!$A20)</f>
        <v>1</v>
      </c>
      <c r="H20" s="170">
        <f t="shared" si="0"/>
        <v>81</v>
      </c>
      <c r="I20" s="171"/>
      <c r="J20" s="163"/>
      <c r="K20" s="163"/>
      <c r="L20" s="163"/>
    </row>
    <row r="21" spans="1:12" ht="26.25">
      <c r="A21" s="169">
        <v>2019</v>
      </c>
      <c r="B21" s="170">
        <f>COUNTIFS(Реестр_ЧС!$D$2:$D$797,Анализ_ЧС!B$2,Реестр_ЧС!$K$2:$K$797,Анализ_ЧС!$A21)</f>
        <v>2</v>
      </c>
      <c r="C21" s="170">
        <f>COUNTIFS(Реестр_ЧС!$D$2:$D$797,Анализ_ЧС!C$2,Реестр_ЧС!$K$2:$K$797,Анализ_ЧС!$A21)</f>
        <v>53</v>
      </c>
      <c r="D21" s="170">
        <f>COUNTIFS(Реестр_ЧС!$D$2:$D$797,Анализ_ЧС!D$2,Реестр_ЧС!$K$2:$K$797,Анализ_ЧС!$A21)</f>
        <v>3</v>
      </c>
      <c r="E21" s="170">
        <f>COUNTIFS(Реестр_ЧС!$D$2:$D$797,Анализ_ЧС!E$2,Реестр_ЧС!$K$2:$K$797,Анализ_ЧС!$A21)</f>
        <v>1</v>
      </c>
      <c r="F21" s="170">
        <f>COUNTIFS(Реестр_ЧС!$D$2:$D$797,Анализ_ЧС!F$2,Реестр_ЧС!$K$2:$K$797,Анализ_ЧС!$A21)</f>
        <v>0</v>
      </c>
      <c r="G21" s="170">
        <f>COUNTIFS(Реестр_ЧС!$D$2:$D$797,Анализ_ЧС!G$2,Реестр_ЧС!$K$2:$K$797,Анализ_ЧС!$A21)</f>
        <v>0</v>
      </c>
      <c r="H21" s="170">
        <f t="shared" si="0"/>
        <v>59</v>
      </c>
      <c r="I21" s="171"/>
      <c r="J21" s="172" t="s">
        <v>6187</v>
      </c>
      <c r="K21" s="173">
        <f>I28-K5</f>
        <v>2</v>
      </c>
      <c r="L21" s="173"/>
    </row>
    <row r="22" spans="1:12" ht="15.75">
      <c r="A22" s="169">
        <v>2020</v>
      </c>
      <c r="B22" s="170">
        <f>COUNTIFS(Реестр_ЧС!$D$2:$D$797,Анализ_ЧС!B$2,Реестр_ЧС!$K$2:$K$797,Анализ_ЧС!$A22)</f>
        <v>0</v>
      </c>
      <c r="C22" s="170">
        <f>COUNTIFS(Реестр_ЧС!$D$2:$D$797,Анализ_ЧС!C$2,Реестр_ЧС!$K$2:$K$797,Анализ_ЧС!$A22)</f>
        <v>46</v>
      </c>
      <c r="D22" s="170">
        <f>COUNTIFS(Реестр_ЧС!$D$2:$D$797,Анализ_ЧС!D$2,Реестр_ЧС!$K$2:$K$797,Анализ_ЧС!$A22)</f>
        <v>2</v>
      </c>
      <c r="E22" s="170">
        <f>COUNTIFS(Реестр_ЧС!$D$2:$D$797,Анализ_ЧС!E$2,Реестр_ЧС!$K$2:$K$797,Анализ_ЧС!$A22)</f>
        <v>1</v>
      </c>
      <c r="F22" s="170">
        <f>COUNTIFS(Реестр_ЧС!$D$2:$D$797,Анализ_ЧС!F$2,Реестр_ЧС!$K$2:$K$797,Анализ_ЧС!$A22)</f>
        <v>0</v>
      </c>
      <c r="G22" s="170">
        <f>COUNTIFS(Реестр_ЧС!$D$2:$D$797,Анализ_ЧС!G$2,Реестр_ЧС!$K$2:$K$797,Анализ_ЧС!$A22)</f>
        <v>0</v>
      </c>
      <c r="H22" s="170">
        <f t="shared" si="0"/>
        <v>49</v>
      </c>
      <c r="I22" s="171"/>
      <c r="J22" s="163"/>
      <c r="K22" s="163"/>
      <c r="L22" s="163"/>
    </row>
    <row r="23" spans="1:12" ht="15.75">
      <c r="A23" s="169">
        <v>2021</v>
      </c>
      <c r="B23" s="170">
        <f>COUNTIFS(Реестр_ЧС!$D$2:$D$797,Анализ_ЧС!B$2,Реестр_ЧС!$K$2:$K$797,Анализ_ЧС!$A23)</f>
        <v>0</v>
      </c>
      <c r="C23" s="170">
        <f>COUNTIFS(Реестр_ЧС!$D$2:$D$797,Анализ_ЧС!C$2,Реестр_ЧС!$K$2:$K$797,Анализ_ЧС!$A23)</f>
        <v>45</v>
      </c>
      <c r="D23" s="170">
        <f>COUNTIFS(Реестр_ЧС!$D$2:$D$797,Анализ_ЧС!D$2,Реестр_ЧС!$K$2:$K$797,Анализ_ЧС!$A23)</f>
        <v>0</v>
      </c>
      <c r="E23" s="170">
        <f>COUNTIFS(Реестр_ЧС!$D$2:$D$797,Анализ_ЧС!E$2,Реестр_ЧС!$K$2:$K$797,Анализ_ЧС!$A23)</f>
        <v>3</v>
      </c>
      <c r="F23" s="170">
        <f>COUNTIFS(Реестр_ЧС!$D$2:$D$797,Анализ_ЧС!F$2,Реестр_ЧС!$K$2:$K$797,Анализ_ЧС!$A23)</f>
        <v>1</v>
      </c>
      <c r="G23" s="170">
        <f>COUNTIFS(Реестр_ЧС!$D$2:$D$797,Анализ_ЧС!G$2,Реестр_ЧС!$K$2:$K$797,Анализ_ЧС!$A23)</f>
        <v>0</v>
      </c>
      <c r="H23" s="170">
        <f t="shared" si="0"/>
        <v>49</v>
      </c>
      <c r="I23" s="171"/>
      <c r="J23" s="163"/>
      <c r="K23" s="163"/>
      <c r="L23" s="163"/>
    </row>
    <row r="24" spans="1:12" ht="15.75">
      <c r="A24" s="169">
        <v>2022</v>
      </c>
      <c r="B24" s="170">
        <f>COUNTIFS(Реестр_ЧС!$D$2:$D$797,Анализ_ЧС!B$2,Реестр_ЧС!$K$2:$K$797,Анализ_ЧС!$A24)</f>
        <v>1</v>
      </c>
      <c r="C24" s="170">
        <f>COUNTIFS(Реестр_ЧС!$D$2:$D$797,Анализ_ЧС!C$2,Реестр_ЧС!$K$2:$K$797,Анализ_ЧС!$A24)</f>
        <v>35</v>
      </c>
      <c r="D24" s="170">
        <f>COUNTIFS(Реестр_ЧС!$D$2:$D$797,Анализ_ЧС!D$2,Реестр_ЧС!$K$2:$K$797,Анализ_ЧС!$A24)</f>
        <v>0</v>
      </c>
      <c r="E24" s="170">
        <f>COUNTIFS(Реестр_ЧС!$D$2:$D$797,Анализ_ЧС!E$2,Реестр_ЧС!$K$2:$K$797,Анализ_ЧС!$A24)</f>
        <v>2</v>
      </c>
      <c r="F24" s="170">
        <f>COUNTIFS(Реестр_ЧС!$D$2:$D$797,Анализ_ЧС!F$2,Реестр_ЧС!$K$2:$K$797,Анализ_ЧС!$A24)</f>
        <v>0</v>
      </c>
      <c r="G24" s="170">
        <f>COUNTIFS(Реестр_ЧС!$D$2:$D$797,Анализ_ЧС!G$2,Реестр_ЧС!$K$2:$K$797,Анализ_ЧС!$A24)</f>
        <v>1</v>
      </c>
      <c r="H24" s="170">
        <f t="shared" si="0"/>
        <v>39</v>
      </c>
      <c r="I24" s="171"/>
      <c r="J24" s="163"/>
      <c r="K24" s="163"/>
      <c r="L24" s="163"/>
    </row>
    <row r="25" spans="1:12" ht="15.75">
      <c r="A25" s="169">
        <v>2023</v>
      </c>
      <c r="B25" s="170">
        <f>COUNTIFS(Реестр_ЧС!$D$2:$D$797,Анализ_ЧС!B$2,Реестр_ЧС!$K$2:$K$797,Анализ_ЧС!$A25)</f>
        <v>1</v>
      </c>
      <c r="C25" s="170">
        <f>COUNTIFS(Реестр_ЧС!$D$2:$D$797,Анализ_ЧС!C$2,Реестр_ЧС!$K$2:$K$797,Анализ_ЧС!$A25)</f>
        <v>31</v>
      </c>
      <c r="D25" s="170">
        <f>COUNTIFS(Реестр_ЧС!$D$2:$D$797,Анализ_ЧС!D$2,Реестр_ЧС!$K$2:$K$797,Анализ_ЧС!$A25)</f>
        <v>0</v>
      </c>
      <c r="E25" s="170">
        <f>COUNTIFS(Реестр_ЧС!$D$2:$D$797,Анализ_ЧС!E$2,Реестр_ЧС!$K$2:$K$797,Анализ_ЧС!$A25)</f>
        <v>1</v>
      </c>
      <c r="F25" s="170">
        <f>COUNTIFS(Реестр_ЧС!$D$2:$D$797,Анализ_ЧС!F$2,Реестр_ЧС!$K$2:$K$797,Анализ_ЧС!$A25)</f>
        <v>1</v>
      </c>
      <c r="G25" s="170">
        <f>COUNTIFS(Реестр_ЧС!$D$2:$D$797,Анализ_ЧС!G$2,Реестр_ЧС!$K$2:$K$797,Анализ_ЧС!$A25)</f>
        <v>0</v>
      </c>
      <c r="H25" s="170">
        <f t="shared" si="0"/>
        <v>34</v>
      </c>
      <c r="I25" s="171"/>
      <c r="J25" s="163"/>
      <c r="K25" s="163"/>
      <c r="L25" s="163"/>
    </row>
    <row r="26" spans="1:12" ht="15.75">
      <c r="A26" s="169">
        <v>2024</v>
      </c>
      <c r="B26" s="170">
        <f>COUNTIFS(Реестр_ЧС!$D$2:$D$797,Анализ_ЧС!B$2,Реестр_ЧС!$K$2:$K$797,Анализ_ЧС!$A26)</f>
        <v>0</v>
      </c>
      <c r="C26" s="170">
        <f>COUNTIFS(Реестр_ЧС!$D$2:$D$797,Анализ_ЧС!C$2,Реестр_ЧС!$K$2:$K$797,Анализ_ЧС!$A26)</f>
        <v>45</v>
      </c>
      <c r="D26" s="170">
        <f>COUNTIFS(Реестр_ЧС!$D$2:$D$797,Анализ_ЧС!D$2,Реестр_ЧС!$K$2:$K$797,Анализ_ЧС!$A26)</f>
        <v>0</v>
      </c>
      <c r="E26" s="170">
        <f>COUNTIFS(Реестр_ЧС!$D$2:$D$797,Анализ_ЧС!E$2,Реестр_ЧС!$K$2:$K$797,Анализ_ЧС!$A26)</f>
        <v>2</v>
      </c>
      <c r="F26" s="170">
        <f>COUNTIFS(Реестр_ЧС!$D$2:$D$797,Анализ_ЧС!F$2,Реестр_ЧС!$K$2:$K$797,Анализ_ЧС!$A26)</f>
        <v>0</v>
      </c>
      <c r="G26" s="170">
        <f>COUNTIFS(Реестр_ЧС!$D$2:$D$797,Анализ_ЧС!G$2,Реестр_ЧС!$K$2:$K$797,Анализ_ЧС!$A26)</f>
        <v>2</v>
      </c>
      <c r="H26" s="170">
        <f t="shared" si="0"/>
        <v>49</v>
      </c>
      <c r="I26" s="171"/>
      <c r="J26" s="163"/>
      <c r="K26" s="163"/>
      <c r="L26" s="163"/>
    </row>
    <row r="27" spans="1:12" ht="15.75">
      <c r="A27" s="169">
        <v>2025</v>
      </c>
      <c r="B27" s="170">
        <f>COUNTIFS(Реестр_ЧС!$D$2:$D$797,Анализ_ЧС!B$2,Реестр_ЧС!$K$2:$K$797,Анализ_ЧС!$A27)</f>
        <v>2</v>
      </c>
      <c r="C27" s="170">
        <f>COUNTIFS(Реестр_ЧС!$D$2:$D$797,Анализ_ЧС!C$2,Реестр_ЧС!$K$2:$K$797,Анализ_ЧС!$A27)</f>
        <v>21</v>
      </c>
      <c r="D27" s="170">
        <f>COUNTIFS(Реестр_ЧС!$D$2:$D$797,Анализ_ЧС!D$2,Реестр_ЧС!$K$2:$K$797,Анализ_ЧС!$A27)</f>
        <v>0</v>
      </c>
      <c r="E27" s="170">
        <f>COUNTIFS(Реестр_ЧС!$D$2:$D$797,Анализ_ЧС!E$2,Реестр_ЧС!$K$2:$K$797,Анализ_ЧС!$A27)</f>
        <v>1</v>
      </c>
      <c r="F27" s="170">
        <f>COUNTIFS(Реестр_ЧС!$D$2:$D$797,Анализ_ЧС!F$2,Реестр_ЧС!$K$2:$K$797,Анализ_ЧС!$A27)</f>
        <v>0</v>
      </c>
      <c r="G27" s="170">
        <f>COUNTIFS(Реестр_ЧС!$D$2:$D$797,Анализ_ЧС!G$2,Реестр_ЧС!$K$2:$K$797,Анализ_ЧС!$A27)</f>
        <v>0</v>
      </c>
      <c r="H27" s="170">
        <f t="shared" si="0"/>
        <v>24</v>
      </c>
      <c r="I27" s="171"/>
      <c r="J27" s="163"/>
      <c r="K27" s="163"/>
      <c r="L27" s="163"/>
    </row>
    <row r="28" spans="1:12" ht="15.75">
      <c r="A28" s="174" t="s">
        <v>6188</v>
      </c>
      <c r="B28" s="175">
        <f>SUM(B3:B27)</f>
        <v>153</v>
      </c>
      <c r="C28" s="175">
        <f t="shared" ref="C28:F28" si="1">SUM(C3:C27)</f>
        <v>497</v>
      </c>
      <c r="D28" s="175">
        <f t="shared" si="1"/>
        <v>20</v>
      </c>
      <c r="E28" s="175">
        <f t="shared" si="1"/>
        <v>49</v>
      </c>
      <c r="F28" s="175">
        <f t="shared" si="1"/>
        <v>2</v>
      </c>
      <c r="G28" s="175">
        <f>SUM(G3:G27)</f>
        <v>11</v>
      </c>
      <c r="H28" s="175">
        <f>SUM(B3:G27)</f>
        <v>732</v>
      </c>
      <c r="I28" s="176">
        <v>734</v>
      </c>
      <c r="J28" s="163" t="s">
        <v>6189</v>
      </c>
      <c r="K28" s="163"/>
      <c r="L28" s="163"/>
    </row>
    <row r="29" spans="1:12" ht="15.75">
      <c r="A29" s="260" t="s">
        <v>6190</v>
      </c>
      <c r="B29" s="261"/>
      <c r="C29" s="261"/>
      <c r="D29" s="261"/>
      <c r="E29" s="261"/>
      <c r="F29" s="261"/>
      <c r="G29" s="177"/>
      <c r="H29" s="178"/>
      <c r="I29" s="178"/>
      <c r="J29" s="163"/>
      <c r="K29" s="163"/>
      <c r="L29" s="163"/>
    </row>
    <row r="30" spans="1:12" ht="31.5">
      <c r="A30" s="179"/>
      <c r="B30" s="180" t="s">
        <v>5354</v>
      </c>
      <c r="C30" s="180" t="s">
        <v>5480</v>
      </c>
      <c r="D30" s="180" t="s">
        <v>5366</v>
      </c>
      <c r="E30" s="180" t="s">
        <v>5569</v>
      </c>
      <c r="F30" s="180" t="s">
        <v>5726</v>
      </c>
      <c r="G30" s="180" t="s">
        <v>5469</v>
      </c>
      <c r="H30" s="181" t="s">
        <v>6182</v>
      </c>
      <c r="I30" s="182"/>
      <c r="J30" s="163"/>
      <c r="K30" s="163"/>
      <c r="L30" s="163"/>
    </row>
    <row r="31" spans="1:12" ht="15.75">
      <c r="A31" s="183">
        <v>2001</v>
      </c>
      <c r="B31" s="184">
        <f>COUNTIFS(Реестр_ЧС!$L$2:$L$797,Анализ_ЧС!B$30,Реестр_ЧС!$K$2:$K$797,Анализ_ЧС!$A31)</f>
        <v>0</v>
      </c>
      <c r="C31" s="184">
        <f>COUNTIFS(Реестр_ЧС!$L$2:$L$797,Анализ_ЧС!C$30,Реестр_ЧС!$K$2:$K$797,Анализ_ЧС!$A31)</f>
        <v>0</v>
      </c>
      <c r="D31" s="184">
        <f>COUNTIFS(Реестр_ЧС!$L$2:$L$797,Анализ_ЧС!D$30,Реестр_ЧС!$K$2:$K$797,Анализ_ЧС!$A31)</f>
        <v>0</v>
      </c>
      <c r="E31" s="184">
        <f>COUNTIFS(Реестр_ЧС!$L$2:$L$797,Анализ_ЧС!E$30,Реестр_ЧС!$K$2:$K$797,Анализ_ЧС!$A31)</f>
        <v>0</v>
      </c>
      <c r="F31" s="184">
        <f>COUNTIFS(Реестр_ЧС!$L$2:$L$797,Анализ_ЧС!F$30,Реестр_ЧС!$K$2:$K$797,Анализ_ЧС!$A31)</f>
        <v>0</v>
      </c>
      <c r="G31" s="184">
        <f>COUNTIFS(Реестр_ЧС!$L$2:$L$797,Анализ_ЧС!G$30,Реестр_ЧС!$K$2:$K$797,Анализ_ЧС!$A31)</f>
        <v>0</v>
      </c>
      <c r="H31" s="180">
        <f>SUM(B31:G31)</f>
        <v>0</v>
      </c>
      <c r="I31" s="163"/>
      <c r="J31" s="163"/>
      <c r="K31" s="163"/>
      <c r="L31" s="163"/>
    </row>
    <row r="32" spans="1:12" ht="15.75">
      <c r="A32" s="183">
        <v>2002</v>
      </c>
      <c r="B32" s="184">
        <f>COUNTIFS(Реестр_ЧС!$L$2:$L$797,Анализ_ЧС!B$30,Реестр_ЧС!$K$2:$K$797,Анализ_ЧС!$A32)</f>
        <v>0</v>
      </c>
      <c r="C32" s="184">
        <f>COUNTIFS(Реестр_ЧС!$L$2:$L$797,Анализ_ЧС!C$30,Реестр_ЧС!$K$2:$K$797,Анализ_ЧС!$A32)</f>
        <v>0</v>
      </c>
      <c r="D32" s="184">
        <f>COUNTIFS(Реестр_ЧС!$L$2:$L$797,Анализ_ЧС!D$30,Реестр_ЧС!$K$2:$K$797,Анализ_ЧС!$A32)</f>
        <v>0</v>
      </c>
      <c r="E32" s="184">
        <f>COUNTIFS(Реестр_ЧС!$L$2:$L$797,Анализ_ЧС!E$30,Реестр_ЧС!$K$2:$K$797,Анализ_ЧС!$A32)</f>
        <v>0</v>
      </c>
      <c r="F32" s="184">
        <f>COUNTIFS(Реестр_ЧС!$L$2:$L$797,Анализ_ЧС!F$30,Реестр_ЧС!$K$2:$K$797,Анализ_ЧС!$A32)</f>
        <v>0</v>
      </c>
      <c r="G32" s="184">
        <f>COUNTIFS(Реестр_ЧС!$L$2:$L$797,Анализ_ЧС!G$30,Реестр_ЧС!$K$2:$K$797,Анализ_ЧС!$A32)</f>
        <v>0</v>
      </c>
      <c r="H32" s="180">
        <f t="shared" ref="H32:H55" si="2">SUM(B32:G32)</f>
        <v>0</v>
      </c>
      <c r="I32" s="163"/>
      <c r="J32" s="163"/>
      <c r="K32" s="163"/>
      <c r="L32" s="163"/>
    </row>
    <row r="33" spans="1:12" ht="15.75">
      <c r="A33" s="183">
        <v>2003</v>
      </c>
      <c r="B33" s="184">
        <f>COUNTIFS(Реестр_ЧС!$L$2:$L$797,Анализ_ЧС!B$30,Реестр_ЧС!$K$2:$K$797,Анализ_ЧС!$A33)</f>
        <v>1</v>
      </c>
      <c r="C33" s="184">
        <f>COUNTIFS(Реестр_ЧС!$L$2:$L$797,Анализ_ЧС!C$30,Реестр_ЧС!$K$2:$K$797,Анализ_ЧС!$A33)</f>
        <v>0</v>
      </c>
      <c r="D33" s="184">
        <f>COUNTIFS(Реестр_ЧС!$L$2:$L$797,Анализ_ЧС!D$30,Реестр_ЧС!$K$2:$K$797,Анализ_ЧС!$A33)</f>
        <v>0</v>
      </c>
      <c r="E33" s="184">
        <f>COUNTIFS(Реестр_ЧС!$L$2:$L$797,Анализ_ЧС!E$30,Реестр_ЧС!$K$2:$K$797,Анализ_ЧС!$A33)</f>
        <v>0</v>
      </c>
      <c r="F33" s="184">
        <f>COUNTIFS(Реестр_ЧС!$L$2:$L$797,Анализ_ЧС!F$30,Реестр_ЧС!$K$2:$K$797,Анализ_ЧС!$A33)</f>
        <v>0</v>
      </c>
      <c r="G33" s="184">
        <f>COUNTIFS(Реестр_ЧС!$L$2:$L$797,Анализ_ЧС!G$30,Реестр_ЧС!$K$2:$K$797,Анализ_ЧС!$A33)</f>
        <v>0</v>
      </c>
      <c r="H33" s="180">
        <f t="shared" si="2"/>
        <v>1</v>
      </c>
      <c r="I33" s="163"/>
      <c r="J33" s="163"/>
      <c r="K33" s="163"/>
      <c r="L33" s="163"/>
    </row>
    <row r="34" spans="1:12" ht="15.75">
      <c r="A34" s="183">
        <v>2004</v>
      </c>
      <c r="B34" s="184">
        <f>COUNTIFS(Реестр_ЧС!$L$2:$L$797,Анализ_ЧС!B$30,Реестр_ЧС!$K$2:$K$797,Анализ_ЧС!$A34)</f>
        <v>0</v>
      </c>
      <c r="C34" s="184">
        <f>COUNTIFS(Реестр_ЧС!$L$2:$L$797,Анализ_ЧС!C$30,Реестр_ЧС!$K$2:$K$797,Анализ_ЧС!$A34)</f>
        <v>0</v>
      </c>
      <c r="D34" s="184">
        <f>COUNTIFS(Реестр_ЧС!$L$2:$L$797,Анализ_ЧС!D$30,Реестр_ЧС!$K$2:$K$797,Анализ_ЧС!$A34)</f>
        <v>5</v>
      </c>
      <c r="E34" s="184">
        <f>COUNTIFS(Реестр_ЧС!$L$2:$L$797,Анализ_ЧС!E$30,Реестр_ЧС!$K$2:$K$797,Анализ_ЧС!$A34)</f>
        <v>1</v>
      </c>
      <c r="F34" s="184">
        <f>COUNTIFS(Реестр_ЧС!$L$2:$L$797,Анализ_ЧС!F$30,Реестр_ЧС!$K$2:$K$797,Анализ_ЧС!$A34)</f>
        <v>0</v>
      </c>
      <c r="G34" s="184">
        <f>COUNTIFS(Реестр_ЧС!$L$2:$L$797,Анализ_ЧС!G$30,Реестр_ЧС!$K$2:$K$797,Анализ_ЧС!$A34)</f>
        <v>0</v>
      </c>
      <c r="H34" s="180">
        <f t="shared" si="2"/>
        <v>6</v>
      </c>
      <c r="I34" s="163"/>
      <c r="J34" s="163"/>
      <c r="K34" s="163"/>
      <c r="L34" s="163"/>
    </row>
    <row r="35" spans="1:12" ht="15.75">
      <c r="A35" s="183">
        <v>2005</v>
      </c>
      <c r="B35" s="184">
        <f>COUNTIFS(Реестр_ЧС!$L$2:$L$797,Анализ_ЧС!B$30,Реестр_ЧС!$K$2:$K$797,Анализ_ЧС!$A35)</f>
        <v>1</v>
      </c>
      <c r="C35" s="184">
        <f>COUNTIFS(Реестр_ЧС!$L$2:$L$797,Анализ_ЧС!C$30,Реестр_ЧС!$K$2:$K$797,Анализ_ЧС!$A35)</f>
        <v>0</v>
      </c>
      <c r="D35" s="184">
        <f>COUNTIFS(Реестр_ЧС!$L$2:$L$797,Анализ_ЧС!D$30,Реестр_ЧС!$K$2:$K$797,Анализ_ЧС!$A35)</f>
        <v>1</v>
      </c>
      <c r="E35" s="184">
        <f>COUNTIFS(Реестр_ЧС!$L$2:$L$797,Анализ_ЧС!E$30,Реестр_ЧС!$K$2:$K$797,Анализ_ЧС!$A35)</f>
        <v>0</v>
      </c>
      <c r="F35" s="184">
        <f>COUNTIFS(Реестр_ЧС!$L$2:$L$797,Анализ_ЧС!F$30,Реестр_ЧС!$K$2:$K$797,Анализ_ЧС!$A35)</f>
        <v>0</v>
      </c>
      <c r="G35" s="184">
        <f>COUNTIFS(Реестр_ЧС!$L$2:$L$797,Анализ_ЧС!G$30,Реестр_ЧС!$K$2:$K$797,Анализ_ЧС!$A35)</f>
        <v>0</v>
      </c>
      <c r="H35" s="180">
        <f t="shared" si="2"/>
        <v>2</v>
      </c>
      <c r="I35" s="163"/>
      <c r="J35" s="163"/>
      <c r="K35" s="163"/>
      <c r="L35" s="163"/>
    </row>
    <row r="36" spans="1:12" ht="15.75">
      <c r="A36" s="183">
        <v>2006</v>
      </c>
      <c r="B36" s="184">
        <f>COUNTIFS(Реестр_ЧС!$L$2:$L$797,Анализ_ЧС!B$30,Реестр_ЧС!$K$2:$K$797,Анализ_ЧС!$A36)</f>
        <v>0</v>
      </c>
      <c r="C36" s="184">
        <f>COUNTIFS(Реестр_ЧС!$L$2:$L$797,Анализ_ЧС!C$30,Реестр_ЧС!$K$2:$K$797,Анализ_ЧС!$A36)</f>
        <v>1</v>
      </c>
      <c r="D36" s="184">
        <f>COUNTIFS(Реестр_ЧС!$L$2:$L$797,Анализ_ЧС!D$30,Реестр_ЧС!$K$2:$K$797,Анализ_ЧС!$A36)</f>
        <v>2</v>
      </c>
      <c r="E36" s="184">
        <f>COUNTIFS(Реестр_ЧС!$L$2:$L$797,Анализ_ЧС!E$30,Реестр_ЧС!$K$2:$K$797,Анализ_ЧС!$A36)</f>
        <v>0</v>
      </c>
      <c r="F36" s="184">
        <f>COUNTIFS(Реестр_ЧС!$L$2:$L$797,Анализ_ЧС!F$30,Реестр_ЧС!$K$2:$K$797,Анализ_ЧС!$A36)</f>
        <v>0</v>
      </c>
      <c r="G36" s="184">
        <f>COUNTIFS(Реестр_ЧС!$L$2:$L$797,Анализ_ЧС!G$30,Реестр_ЧС!$K$2:$K$797,Анализ_ЧС!$A36)</f>
        <v>3</v>
      </c>
      <c r="H36" s="180">
        <f t="shared" si="2"/>
        <v>6</v>
      </c>
      <c r="I36" s="163"/>
      <c r="J36" s="163"/>
      <c r="K36" s="163"/>
      <c r="L36" s="163"/>
    </row>
    <row r="37" spans="1:12" ht="15.75">
      <c r="A37" s="183">
        <v>2007</v>
      </c>
      <c r="B37" s="184">
        <f>COUNTIFS(Реестр_ЧС!$L$2:$L$797,Анализ_ЧС!B$30,Реестр_ЧС!$K$2:$K$797,Анализ_ЧС!$A37)</f>
        <v>0</v>
      </c>
      <c r="C37" s="184">
        <f>COUNTIFS(Реестр_ЧС!$L$2:$L$797,Анализ_ЧС!C$30,Реестр_ЧС!$K$2:$K$797,Анализ_ЧС!$A37)</f>
        <v>0</v>
      </c>
      <c r="D37" s="184">
        <f>COUNTIFS(Реестр_ЧС!$L$2:$L$797,Анализ_ЧС!D$30,Реестр_ЧС!$K$2:$K$797,Анализ_ЧС!$A37)</f>
        <v>0</v>
      </c>
      <c r="E37" s="184">
        <f>COUNTIFS(Реестр_ЧС!$L$2:$L$797,Анализ_ЧС!E$30,Реестр_ЧС!$K$2:$K$797,Анализ_ЧС!$A37)</f>
        <v>0</v>
      </c>
      <c r="F37" s="184">
        <f>COUNTIFS(Реестр_ЧС!$L$2:$L$797,Анализ_ЧС!F$30,Реестр_ЧС!$K$2:$K$797,Анализ_ЧС!$A37)</f>
        <v>0</v>
      </c>
      <c r="G37" s="184">
        <f>COUNTIFS(Реестр_ЧС!$L$2:$L$797,Анализ_ЧС!G$30,Реестр_ЧС!$K$2:$K$797,Анализ_ЧС!$A37)</f>
        <v>0</v>
      </c>
      <c r="H37" s="180">
        <f t="shared" si="2"/>
        <v>0</v>
      </c>
      <c r="I37" s="163"/>
      <c r="J37" s="163"/>
      <c r="K37" s="163"/>
      <c r="L37" s="163"/>
    </row>
    <row r="38" spans="1:12" ht="15.75">
      <c r="A38" s="183">
        <v>2008</v>
      </c>
      <c r="B38" s="184">
        <f>COUNTIFS(Реестр_ЧС!$L$2:$L$797,Анализ_ЧС!B$30,Реестр_ЧС!$K$2:$K$797,Анализ_ЧС!$A38)</f>
        <v>7</v>
      </c>
      <c r="C38" s="184">
        <f>COUNTIFS(Реестр_ЧС!$L$2:$L$797,Анализ_ЧС!C$30,Реестр_ЧС!$K$2:$K$797,Анализ_ЧС!$A38)</f>
        <v>0</v>
      </c>
      <c r="D38" s="184">
        <f>COUNTIFS(Реестр_ЧС!$L$2:$L$797,Анализ_ЧС!D$30,Реестр_ЧС!$K$2:$K$797,Анализ_ЧС!$A38)</f>
        <v>1</v>
      </c>
      <c r="E38" s="184">
        <f>COUNTIFS(Реестр_ЧС!$L$2:$L$797,Анализ_ЧС!E$30,Реестр_ЧС!$K$2:$K$797,Анализ_ЧС!$A38)</f>
        <v>1</v>
      </c>
      <c r="F38" s="184">
        <f>COUNTIFS(Реестр_ЧС!$L$2:$L$797,Анализ_ЧС!F$30,Реестр_ЧС!$K$2:$K$797,Анализ_ЧС!$A38)</f>
        <v>0</v>
      </c>
      <c r="G38" s="184">
        <f>COUNTIFS(Реестр_ЧС!$L$2:$L$797,Анализ_ЧС!G$30,Реестр_ЧС!$K$2:$K$797,Анализ_ЧС!$A38)</f>
        <v>0</v>
      </c>
      <c r="H38" s="180">
        <f t="shared" si="2"/>
        <v>9</v>
      </c>
      <c r="I38" s="163"/>
      <c r="J38" s="163"/>
      <c r="K38" s="163"/>
      <c r="L38" s="163"/>
    </row>
    <row r="39" spans="1:12" ht="15.75">
      <c r="A39" s="183">
        <v>2009</v>
      </c>
      <c r="B39" s="184">
        <f>COUNTIFS(Реестр_ЧС!$L$2:$L$797,Анализ_ЧС!B$30,Реестр_ЧС!$K$2:$K$797,Анализ_ЧС!$A39)</f>
        <v>0</v>
      </c>
      <c r="C39" s="184">
        <f>COUNTIFS(Реестр_ЧС!$L$2:$L$797,Анализ_ЧС!C$30,Реестр_ЧС!$K$2:$K$797,Анализ_ЧС!$A39)</f>
        <v>0</v>
      </c>
      <c r="D39" s="184">
        <f>COUNTIFS(Реестр_ЧС!$L$2:$L$797,Анализ_ЧС!D$30,Реестр_ЧС!$K$2:$K$797,Анализ_ЧС!$A39)</f>
        <v>0</v>
      </c>
      <c r="E39" s="184">
        <f>COUNTIFS(Реестр_ЧС!$L$2:$L$797,Анализ_ЧС!E$30,Реестр_ЧС!$K$2:$K$797,Анализ_ЧС!$A39)</f>
        <v>0</v>
      </c>
      <c r="F39" s="184">
        <f>COUNTIFS(Реестр_ЧС!$L$2:$L$797,Анализ_ЧС!F$30,Реестр_ЧС!$K$2:$K$797,Анализ_ЧС!$A39)</f>
        <v>0</v>
      </c>
      <c r="G39" s="184">
        <f>COUNTIFS(Реестр_ЧС!$L$2:$L$797,Анализ_ЧС!G$30,Реестр_ЧС!$K$2:$K$797,Анализ_ЧС!$A39)</f>
        <v>0</v>
      </c>
      <c r="H39" s="180">
        <f t="shared" si="2"/>
        <v>0</v>
      </c>
      <c r="I39" s="163"/>
      <c r="J39" s="163"/>
      <c r="K39" s="163"/>
      <c r="L39" s="163"/>
    </row>
    <row r="40" spans="1:12" ht="15.75">
      <c r="A40" s="183">
        <v>2010</v>
      </c>
      <c r="B40" s="184">
        <f>COUNTIFS(Реестр_ЧС!$L$2:$L$797,Анализ_ЧС!B$30,Реестр_ЧС!$K$2:$K$797,Анализ_ЧС!$A40)</f>
        <v>5</v>
      </c>
      <c r="C40" s="184">
        <f>COUNTIFS(Реестр_ЧС!$L$2:$L$797,Анализ_ЧС!C$30,Реестр_ЧС!$K$2:$K$797,Анализ_ЧС!$A40)</f>
        <v>0</v>
      </c>
      <c r="D40" s="184">
        <f>COUNTIFS(Реестр_ЧС!$L$2:$L$797,Анализ_ЧС!D$30,Реестр_ЧС!$K$2:$K$797,Анализ_ЧС!$A40)</f>
        <v>0</v>
      </c>
      <c r="E40" s="184">
        <f>COUNTIFS(Реестр_ЧС!$L$2:$L$797,Анализ_ЧС!E$30,Реестр_ЧС!$K$2:$K$797,Анализ_ЧС!$A40)</f>
        <v>0</v>
      </c>
      <c r="F40" s="184">
        <f>COUNTIFS(Реестр_ЧС!$L$2:$L$797,Анализ_ЧС!F$30,Реестр_ЧС!$K$2:$K$797,Анализ_ЧС!$A40)</f>
        <v>0</v>
      </c>
      <c r="G40" s="184">
        <f>COUNTIFS(Реестр_ЧС!$L$2:$L$797,Анализ_ЧС!G$30,Реестр_ЧС!$K$2:$K$797,Анализ_ЧС!$A40)</f>
        <v>0</v>
      </c>
      <c r="H40" s="180">
        <f t="shared" si="2"/>
        <v>5</v>
      </c>
      <c r="I40" s="163"/>
      <c r="J40" s="163"/>
      <c r="K40" s="163"/>
      <c r="L40" s="163"/>
    </row>
    <row r="41" spans="1:12" ht="15.75">
      <c r="A41" s="183">
        <v>2011</v>
      </c>
      <c r="B41" s="184">
        <f>COUNTIFS(Реестр_ЧС!$L$2:$L$797,Анализ_ЧС!B$30,Реестр_ЧС!$K$2:$K$797,Анализ_ЧС!$A41)</f>
        <v>4</v>
      </c>
      <c r="C41" s="184">
        <f>COUNTIFS(Реестр_ЧС!$L$2:$L$797,Анализ_ЧС!C$30,Реестр_ЧС!$K$2:$K$797,Анализ_ЧС!$A41)</f>
        <v>0</v>
      </c>
      <c r="D41" s="184">
        <f>COUNTIFS(Реестр_ЧС!$L$2:$L$797,Анализ_ЧС!D$30,Реестр_ЧС!$K$2:$K$797,Анализ_ЧС!$A41)</f>
        <v>0</v>
      </c>
      <c r="E41" s="184">
        <f>COUNTIFS(Реестр_ЧС!$L$2:$L$797,Анализ_ЧС!E$30,Реестр_ЧС!$K$2:$K$797,Анализ_ЧС!$A41)</f>
        <v>2</v>
      </c>
      <c r="F41" s="184">
        <f>COUNTIFS(Реестр_ЧС!$L$2:$L$797,Анализ_ЧС!F$30,Реестр_ЧС!$K$2:$K$797,Анализ_ЧС!$A41)</f>
        <v>0</v>
      </c>
      <c r="G41" s="184">
        <f>COUNTIFS(Реестр_ЧС!$L$2:$L$797,Анализ_ЧС!G$30,Реестр_ЧС!$K$2:$K$797,Анализ_ЧС!$A41)</f>
        <v>0</v>
      </c>
      <c r="H41" s="180">
        <f t="shared" si="2"/>
        <v>6</v>
      </c>
      <c r="I41" s="163"/>
      <c r="J41" s="163"/>
      <c r="K41" s="163"/>
      <c r="L41" s="163"/>
    </row>
    <row r="42" spans="1:12" ht="15.75">
      <c r="A42" s="183">
        <v>2012</v>
      </c>
      <c r="B42" s="184">
        <f>COUNTIFS(Реестр_ЧС!$L$2:$L$797,Анализ_ЧС!B$30,Реестр_ЧС!$K$2:$K$797,Анализ_ЧС!$A42)</f>
        <v>10</v>
      </c>
      <c r="C42" s="184">
        <f>COUNTIFS(Реестр_ЧС!$L$2:$L$797,Анализ_ЧС!C$30,Реестр_ЧС!$K$2:$K$797,Анализ_ЧС!$A42)</f>
        <v>0</v>
      </c>
      <c r="D42" s="184">
        <f>COUNTIFS(Реестр_ЧС!$L$2:$L$797,Анализ_ЧС!D$30,Реестр_ЧС!$K$2:$K$797,Анализ_ЧС!$A42)</f>
        <v>1</v>
      </c>
      <c r="E42" s="184">
        <f>COUNTIFS(Реестр_ЧС!$L$2:$L$797,Анализ_ЧС!E$30,Реестр_ЧС!$K$2:$K$797,Анализ_ЧС!$A42)</f>
        <v>12</v>
      </c>
      <c r="F42" s="184">
        <f>COUNTIFS(Реестр_ЧС!$L$2:$L$797,Анализ_ЧС!F$30,Реестр_ЧС!$K$2:$K$797,Анализ_ЧС!$A42)</f>
        <v>0</v>
      </c>
      <c r="G42" s="184">
        <f>COUNTIFS(Реестр_ЧС!$L$2:$L$797,Анализ_ЧС!G$30,Реестр_ЧС!$K$2:$K$797,Анализ_ЧС!$A42)</f>
        <v>0</v>
      </c>
      <c r="H42" s="180">
        <f t="shared" si="2"/>
        <v>23</v>
      </c>
      <c r="I42" s="182"/>
      <c r="J42" s="163"/>
      <c r="K42" s="163"/>
      <c r="L42" s="163"/>
    </row>
    <row r="43" spans="1:12" ht="15.75">
      <c r="A43" s="183">
        <v>2013</v>
      </c>
      <c r="B43" s="184">
        <f>COUNTIFS(Реестр_ЧС!$L$2:$L$797,Анализ_ЧС!B$30,Реестр_ЧС!$K$2:$K$797,Анализ_ЧС!$A43)</f>
        <v>2</v>
      </c>
      <c r="C43" s="184">
        <f>COUNTIFS(Реестр_ЧС!$L$2:$L$797,Анализ_ЧС!C$30,Реестр_ЧС!$K$2:$K$797,Анализ_ЧС!$A43)</f>
        <v>0</v>
      </c>
      <c r="D43" s="184">
        <f>COUNTIFS(Реестр_ЧС!$L$2:$L$797,Анализ_ЧС!D$30,Реестр_ЧС!$K$2:$K$797,Анализ_ЧС!$A43)</f>
        <v>9</v>
      </c>
      <c r="E43" s="184">
        <f>COUNTIFS(Реестр_ЧС!$L$2:$L$797,Анализ_ЧС!E$30,Реестр_ЧС!$K$2:$K$797,Анализ_ЧС!$A43)</f>
        <v>1</v>
      </c>
      <c r="F43" s="184">
        <f>COUNTIFS(Реестр_ЧС!$L$2:$L$797,Анализ_ЧС!F$30,Реестр_ЧС!$K$2:$K$797,Анализ_ЧС!$A43)</f>
        <v>0</v>
      </c>
      <c r="G43" s="184">
        <f>COUNTIFS(Реестр_ЧС!$L$2:$L$797,Анализ_ЧС!G$30,Реестр_ЧС!$K$2:$K$797,Анализ_ЧС!$A43)</f>
        <v>0</v>
      </c>
      <c r="H43" s="180">
        <f t="shared" si="2"/>
        <v>12</v>
      </c>
      <c r="I43" s="182"/>
      <c r="J43" s="163"/>
      <c r="K43" s="163"/>
      <c r="L43" s="163"/>
    </row>
    <row r="44" spans="1:12" ht="15.75">
      <c r="A44" s="183">
        <v>2014</v>
      </c>
      <c r="B44" s="184">
        <f>COUNTIFS(Реестр_ЧС!$L$2:$L$797,Анализ_ЧС!B$30,Реестр_ЧС!$K$2:$K$797,Анализ_ЧС!$A44)</f>
        <v>0</v>
      </c>
      <c r="C44" s="184">
        <f>COUNTIFS(Реестр_ЧС!$L$2:$L$797,Анализ_ЧС!C$30,Реестр_ЧС!$K$2:$K$797,Анализ_ЧС!$A44)</f>
        <v>0</v>
      </c>
      <c r="D44" s="184">
        <f>COUNTIFS(Реестр_ЧС!$L$2:$L$797,Анализ_ЧС!D$30,Реестр_ЧС!$K$2:$K$797,Анализ_ЧС!$A44)</f>
        <v>3</v>
      </c>
      <c r="E44" s="184">
        <f>COUNTIFS(Реестр_ЧС!$L$2:$L$797,Анализ_ЧС!E$30,Реестр_ЧС!$K$2:$K$797,Анализ_ЧС!$A44)</f>
        <v>5</v>
      </c>
      <c r="F44" s="184">
        <f>COUNTIFS(Реестр_ЧС!$L$2:$L$797,Анализ_ЧС!F$30,Реестр_ЧС!$K$2:$K$797,Анализ_ЧС!$A44)</f>
        <v>0</v>
      </c>
      <c r="G44" s="184">
        <f>COUNTIFS(Реестр_ЧС!$L$2:$L$797,Анализ_ЧС!G$30,Реестр_ЧС!$K$2:$K$797,Анализ_ЧС!$A44)</f>
        <v>0</v>
      </c>
      <c r="H44" s="180">
        <f t="shared" si="2"/>
        <v>8</v>
      </c>
      <c r="I44" s="182"/>
      <c r="J44" s="163"/>
      <c r="K44" s="163"/>
      <c r="L44" s="163"/>
    </row>
    <row r="45" spans="1:12" ht="15.75">
      <c r="A45" s="183">
        <v>2015</v>
      </c>
      <c r="B45" s="184">
        <f>COUNTIFS(Реестр_ЧС!$L$2:$L$797,Анализ_ЧС!B$30,Реестр_ЧС!$K$2:$K$797,Анализ_ЧС!$A45)</f>
        <v>0</v>
      </c>
      <c r="C45" s="184">
        <f>COUNTIFS(Реестр_ЧС!$L$2:$L$797,Анализ_ЧС!C$30,Реестр_ЧС!$K$2:$K$797,Анализ_ЧС!$A45)</f>
        <v>1</v>
      </c>
      <c r="D45" s="184">
        <f>COUNTIFS(Реестр_ЧС!$L$2:$L$797,Анализ_ЧС!D$30,Реестр_ЧС!$K$2:$K$797,Анализ_ЧС!$A45)</f>
        <v>1</v>
      </c>
      <c r="E45" s="184">
        <f>COUNTIFS(Реестр_ЧС!$L$2:$L$797,Анализ_ЧС!E$30,Реестр_ЧС!$K$2:$K$797,Анализ_ЧС!$A45)</f>
        <v>2</v>
      </c>
      <c r="F45" s="184">
        <f>COUNTIFS(Реестр_ЧС!$L$2:$L$797,Анализ_ЧС!F$30,Реестр_ЧС!$K$2:$K$797,Анализ_ЧС!$A45)</f>
        <v>0</v>
      </c>
      <c r="G45" s="184">
        <f>COUNTIFS(Реестр_ЧС!$L$2:$L$797,Анализ_ЧС!G$30,Реестр_ЧС!$K$2:$K$797,Анализ_ЧС!$A45)</f>
        <v>0</v>
      </c>
      <c r="H45" s="180">
        <f>SUM(B45:G45)</f>
        <v>4</v>
      </c>
      <c r="I45" s="182"/>
      <c r="J45" s="163"/>
      <c r="K45" s="163"/>
      <c r="L45" s="163"/>
    </row>
    <row r="46" spans="1:12" ht="15.75">
      <c r="A46" s="183">
        <v>2016</v>
      </c>
      <c r="B46" s="184">
        <f>COUNTIFS(Реестр_ЧС!$L$2:$L$797,Анализ_ЧС!B$30,Реестр_ЧС!$K$2:$K$797,Анализ_ЧС!$A46)</f>
        <v>1</v>
      </c>
      <c r="C46" s="184">
        <f>COUNTIFS(Реестр_ЧС!$L$2:$L$797,Анализ_ЧС!C$30,Реестр_ЧС!$K$2:$K$797,Анализ_ЧС!$A46)</f>
        <v>2</v>
      </c>
      <c r="D46" s="184">
        <f>COUNTIFS(Реестр_ЧС!$L$2:$L$797,Анализ_ЧС!D$30,Реестр_ЧС!$K$2:$K$797,Анализ_ЧС!$A46)</f>
        <v>10</v>
      </c>
      <c r="E46" s="184">
        <f>COUNTIFS(Реестр_ЧС!$L$2:$L$797,Анализ_ЧС!E$30,Реестр_ЧС!$K$2:$K$797,Анализ_ЧС!$A46)</f>
        <v>2</v>
      </c>
      <c r="F46" s="184">
        <f>COUNTIFS(Реестр_ЧС!$L$2:$L$797,Анализ_ЧС!F$30,Реестр_ЧС!$K$2:$K$797,Анализ_ЧС!$A46)</f>
        <v>0</v>
      </c>
      <c r="G46" s="184">
        <f>COUNTIFS(Реестр_ЧС!$L$2:$L$797,Анализ_ЧС!G$30,Реестр_ЧС!$K$2:$K$797,Анализ_ЧС!$A46)</f>
        <v>0</v>
      </c>
      <c r="H46" s="180">
        <f t="shared" si="2"/>
        <v>15</v>
      </c>
      <c r="I46" s="182"/>
      <c r="J46" s="163"/>
      <c r="K46" s="163"/>
      <c r="L46" s="163"/>
    </row>
    <row r="47" spans="1:12" ht="15.75">
      <c r="A47" s="183">
        <v>2017</v>
      </c>
      <c r="B47" s="184">
        <f>COUNTIFS(Реестр_ЧС!$L$2:$L$797,Анализ_ЧС!B$30,Реестр_ЧС!$K$2:$K$797,Анализ_ЧС!$A47)</f>
        <v>1</v>
      </c>
      <c r="C47" s="184">
        <f>COUNTIFS(Реестр_ЧС!$L$2:$L$797,Анализ_ЧС!C$30,Реестр_ЧС!$K$2:$K$797,Анализ_ЧС!$A47)</f>
        <v>1</v>
      </c>
      <c r="D47" s="184">
        <f>COUNTIFS(Реестр_ЧС!$L$2:$L$797,Анализ_ЧС!D$30,Реестр_ЧС!$K$2:$K$797,Анализ_ЧС!$A47)</f>
        <v>14</v>
      </c>
      <c r="E47" s="184">
        <f>COUNTIFS(Реестр_ЧС!$L$2:$L$797,Анализ_ЧС!E$30,Реестр_ЧС!$K$2:$K$797,Анализ_ЧС!$A47)</f>
        <v>11</v>
      </c>
      <c r="F47" s="184">
        <f>COUNTIFS(Реестр_ЧС!$L$2:$L$797,Анализ_ЧС!F$30,Реестр_ЧС!$K$2:$K$797,Анализ_ЧС!$A47)</f>
        <v>1</v>
      </c>
      <c r="G47" s="184">
        <f>COUNTIFS(Реестр_ЧС!$L$2:$L$797,Анализ_ЧС!G$30,Реестр_ЧС!$K$2:$K$797,Анализ_ЧС!$A47)</f>
        <v>0</v>
      </c>
      <c r="H47" s="180">
        <f t="shared" si="2"/>
        <v>28</v>
      </c>
      <c r="I47" s="182"/>
      <c r="J47" s="163"/>
      <c r="K47" s="163"/>
      <c r="L47" s="163"/>
    </row>
    <row r="48" spans="1:12" ht="15.75">
      <c r="A48" s="183">
        <v>2018</v>
      </c>
      <c r="B48" s="184">
        <f>COUNTIFS(Реестр_ЧС!$L$2:$L$797,Анализ_ЧС!B$30,Реестр_ЧС!$K$2:$K$797,Анализ_ЧС!$A48)</f>
        <v>41</v>
      </c>
      <c r="C48" s="184">
        <f>COUNTIFS(Реестр_ЧС!$L$2:$L$797,Анализ_ЧС!C$30,Реестр_ЧС!$K$2:$K$797,Анализ_ЧС!$A48)</f>
        <v>3</v>
      </c>
      <c r="D48" s="184">
        <f>COUNTIFS(Реестр_ЧС!$L$2:$L$797,Анализ_ЧС!D$30,Реестр_ЧС!$K$2:$K$797,Анализ_ЧС!$A48)</f>
        <v>19</v>
      </c>
      <c r="E48" s="184">
        <f>COUNTIFS(Реестр_ЧС!$L$2:$L$797,Анализ_ЧС!E$30,Реестр_ЧС!$K$2:$K$797,Анализ_ЧС!$A48)</f>
        <v>10</v>
      </c>
      <c r="F48" s="184">
        <f>COUNTIFS(Реестр_ЧС!$L$2:$L$797,Анализ_ЧС!F$30,Реестр_ЧС!$K$2:$K$797,Анализ_ЧС!$A48)</f>
        <v>0</v>
      </c>
      <c r="G48" s="184">
        <f>COUNTIFS(Реестр_ЧС!$L$2:$L$797,Анализ_ЧС!G$30,Реестр_ЧС!$K$2:$K$797,Анализ_ЧС!$A48)</f>
        <v>0</v>
      </c>
      <c r="H48" s="180">
        <f t="shared" si="2"/>
        <v>73</v>
      </c>
      <c r="I48" s="182"/>
      <c r="J48" s="163"/>
      <c r="K48" s="163"/>
      <c r="L48" s="163"/>
    </row>
    <row r="49" spans="1:13" ht="15.75">
      <c r="A49" s="183">
        <v>2019</v>
      </c>
      <c r="B49" s="184">
        <f>COUNTIFS(Реестр_ЧС!$L$2:$L$797,Анализ_ЧС!B$30,Реестр_ЧС!$K$2:$K$797,Анализ_ЧС!$A49)</f>
        <v>3</v>
      </c>
      <c r="C49" s="184">
        <f>COUNTIFS(Реестр_ЧС!$L$2:$L$797,Анализ_ЧС!C$30,Реестр_ЧС!$K$2:$K$797,Анализ_ЧС!$A49)</f>
        <v>2</v>
      </c>
      <c r="D49" s="184">
        <f>COUNTIFS(Реестр_ЧС!$L$2:$L$797,Анализ_ЧС!D$30,Реестр_ЧС!$K$2:$K$797,Анализ_ЧС!$A49)</f>
        <v>2</v>
      </c>
      <c r="E49" s="184">
        <f>COUNTIFS(Реестр_ЧС!$L$2:$L$797,Анализ_ЧС!E$30,Реестр_ЧС!$K$2:$K$797,Анализ_ЧС!$A49)</f>
        <v>36</v>
      </c>
      <c r="F49" s="184">
        <f>COUNTIFS(Реестр_ЧС!$L$2:$L$797,Анализ_ЧС!F$30,Реестр_ЧС!$K$2:$K$797,Анализ_ЧС!$A49)</f>
        <v>1</v>
      </c>
      <c r="G49" s="184">
        <f>COUNTIFS(Реестр_ЧС!$L$2:$L$797,Анализ_ЧС!G$30,Реестр_ЧС!$K$2:$K$797,Анализ_ЧС!$A49)</f>
        <v>0</v>
      </c>
      <c r="H49" s="180">
        <f t="shared" si="2"/>
        <v>44</v>
      </c>
      <c r="I49" s="182"/>
      <c r="J49" s="163"/>
      <c r="K49" s="163"/>
      <c r="L49" s="163"/>
    </row>
    <row r="50" spans="1:13" ht="15.75">
      <c r="A50" s="183">
        <v>2020</v>
      </c>
      <c r="B50" s="184">
        <f>COUNTIFS(Реестр_ЧС!$L$2:$L$797,Анализ_ЧС!B$30,Реестр_ЧС!$K$2:$K$797,Анализ_ЧС!$A50)</f>
        <v>19</v>
      </c>
      <c r="C50" s="184">
        <f>COUNTIFS(Реестр_ЧС!$L$2:$L$797,Анализ_ЧС!C$30,Реестр_ЧС!$K$2:$K$797,Анализ_ЧС!$A50)</f>
        <v>2</v>
      </c>
      <c r="D50" s="184">
        <f>COUNTIFS(Реестр_ЧС!$L$2:$L$797,Анализ_ЧС!D$30,Реестр_ЧС!$K$2:$K$797,Анализ_ЧС!$A50)</f>
        <v>0</v>
      </c>
      <c r="E50" s="184">
        <f>COUNTIFS(Реестр_ЧС!$L$2:$L$797,Анализ_ЧС!E$30,Реестр_ЧС!$K$2:$K$797,Анализ_ЧС!$A50)</f>
        <v>25</v>
      </c>
      <c r="F50" s="184">
        <f>COUNTIFS(Реестр_ЧС!$L$2:$L$797,Анализ_ЧС!F$30,Реестр_ЧС!$K$2:$K$797,Анализ_ЧС!$A50)</f>
        <v>0</v>
      </c>
      <c r="G50" s="184">
        <f>COUNTIFS(Реестр_ЧС!$L$2:$L$797,Анализ_ЧС!G$30,Реестр_ЧС!$K$2:$K$797,Анализ_ЧС!$A50)</f>
        <v>0</v>
      </c>
      <c r="H50" s="180">
        <f t="shared" si="2"/>
        <v>46</v>
      </c>
      <c r="I50" s="182"/>
      <c r="J50" s="163"/>
      <c r="K50" s="163"/>
      <c r="L50" s="163"/>
    </row>
    <row r="51" spans="1:13" ht="15.75">
      <c r="A51" s="183">
        <v>2021</v>
      </c>
      <c r="B51" s="184">
        <f>COUNTIFS(Реестр_ЧС!$L$2:$L$797,Анализ_ЧС!B$30,Реестр_ЧС!$K$2:$K$797,Анализ_ЧС!$A51)</f>
        <v>4</v>
      </c>
      <c r="C51" s="184">
        <f>COUNTIFS(Реестр_ЧС!$L$2:$L$797,Анализ_ЧС!C$30,Реестр_ЧС!$K$2:$K$797,Анализ_ЧС!$A51)</f>
        <v>0</v>
      </c>
      <c r="D51" s="184">
        <f>COUNTIFS(Реестр_ЧС!$L$2:$L$797,Анализ_ЧС!D$30,Реестр_ЧС!$K$2:$K$797,Анализ_ЧС!$A51)</f>
        <v>1</v>
      </c>
      <c r="E51" s="184">
        <f>COUNTIFS(Реестр_ЧС!$L$2:$L$797,Анализ_ЧС!E$30,Реестр_ЧС!$K$2:$K$797,Анализ_ЧС!$A51)</f>
        <v>30</v>
      </c>
      <c r="F51" s="184">
        <f>COUNTIFS(Реестр_ЧС!$L$2:$L$797,Анализ_ЧС!F$30,Реестр_ЧС!$K$2:$K$797,Анализ_ЧС!$A51)</f>
        <v>2</v>
      </c>
      <c r="G51" s="184">
        <f>COUNTIFS(Реестр_ЧС!$L$2:$L$797,Анализ_ЧС!G$30,Реестр_ЧС!$K$2:$K$797,Анализ_ЧС!$A51)</f>
        <v>0</v>
      </c>
      <c r="H51" s="180">
        <f t="shared" si="2"/>
        <v>37</v>
      </c>
      <c r="I51" s="182"/>
      <c r="J51" s="163"/>
      <c r="K51" s="163"/>
      <c r="L51" s="163"/>
    </row>
    <row r="52" spans="1:13" ht="15.75">
      <c r="A52" s="183">
        <v>2022</v>
      </c>
      <c r="B52" s="184">
        <f>COUNTIFS(Реестр_ЧС!$L$2:$L$797,Анализ_ЧС!B$30,Реестр_ЧС!$K$2:$K$797,Анализ_ЧС!$A52)</f>
        <v>6</v>
      </c>
      <c r="C52" s="184">
        <f>COUNTIFS(Реестр_ЧС!$L$2:$L$797,Анализ_ЧС!C$30,Реестр_ЧС!$K$2:$K$797,Анализ_ЧС!$A52)</f>
        <v>0</v>
      </c>
      <c r="D52" s="184">
        <f>COUNTIFS(Реестр_ЧС!$L$2:$L$797,Анализ_ЧС!D$30,Реестр_ЧС!$K$2:$K$797,Анализ_ЧС!$A52)</f>
        <v>5</v>
      </c>
      <c r="E52" s="184">
        <f>COUNTIFS(Реестр_ЧС!$L$2:$L$797,Анализ_ЧС!E$30,Реестр_ЧС!$K$2:$K$797,Анализ_ЧС!$A52)</f>
        <v>18</v>
      </c>
      <c r="F52" s="184">
        <f>COUNTIFS(Реестр_ЧС!$L$2:$L$797,Анализ_ЧС!F$30,Реестр_ЧС!$K$2:$K$797,Анализ_ЧС!$A52)</f>
        <v>0</v>
      </c>
      <c r="G52" s="184">
        <f>COUNTIFS(Реестр_ЧС!$L$2:$L$797,Анализ_ЧС!G$30,Реестр_ЧС!$K$2:$K$797,Анализ_ЧС!$A52)</f>
        <v>0</v>
      </c>
      <c r="H52" s="180">
        <f t="shared" si="2"/>
        <v>29</v>
      </c>
      <c r="I52" s="182"/>
      <c r="J52" s="163"/>
      <c r="K52" s="163"/>
      <c r="L52" s="163"/>
    </row>
    <row r="53" spans="1:13" ht="15.75">
      <c r="A53" s="183">
        <v>2023</v>
      </c>
      <c r="B53" s="184">
        <f>COUNTIFS(Реестр_ЧС!$L$2:$L$797,Анализ_ЧС!B$30,Реестр_ЧС!$K$2:$K$797,Анализ_ЧС!$A53)</f>
        <v>11</v>
      </c>
      <c r="C53" s="184">
        <f>COUNTIFS(Реестр_ЧС!$L$2:$L$797,Анализ_ЧС!C$30,Реестр_ЧС!$K$2:$K$797,Анализ_ЧС!$A53)</f>
        <v>0</v>
      </c>
      <c r="D53" s="184">
        <f>COUNTIFS(Реестр_ЧС!$L$2:$L$797,Анализ_ЧС!D$30,Реестр_ЧС!$K$2:$K$797,Анализ_ЧС!$A53)</f>
        <v>1</v>
      </c>
      <c r="E53" s="184">
        <f>COUNTIFS(Реестр_ЧС!$L$2:$L$797,Анализ_ЧС!E$30,Реестр_ЧС!$K$2:$K$797,Анализ_ЧС!$A53)</f>
        <v>14</v>
      </c>
      <c r="F53" s="184">
        <f>COUNTIFS(Реестр_ЧС!$L$2:$L$797,Анализ_ЧС!F$30,Реестр_ЧС!$K$2:$K$797,Анализ_ЧС!$A53)</f>
        <v>0</v>
      </c>
      <c r="G53" s="184">
        <f>COUNTIFS(Реестр_ЧС!$L$2:$L$797,Анализ_ЧС!G$30,Реестр_ЧС!$K$2:$K$797,Анализ_ЧС!$A53)</f>
        <v>0</v>
      </c>
      <c r="H53" s="180">
        <f t="shared" si="2"/>
        <v>26</v>
      </c>
      <c r="I53" s="182"/>
      <c r="J53" s="163"/>
      <c r="K53" s="163"/>
      <c r="L53" s="163"/>
    </row>
    <row r="54" spans="1:13" ht="15.75">
      <c r="A54" s="183">
        <v>2024</v>
      </c>
      <c r="B54" s="184">
        <f>COUNTIFS(Реестр_ЧС!$L$2:$L$797,Анализ_ЧС!B$30,Реестр_ЧС!$K$2:$K$797,Анализ_ЧС!$A54)</f>
        <v>21</v>
      </c>
      <c r="C54" s="184">
        <f>COUNTIFS(Реестр_ЧС!$L$2:$L$797,Анализ_ЧС!C$30,Реестр_ЧС!$K$2:$K$797,Анализ_ЧС!$A54)</f>
        <v>0</v>
      </c>
      <c r="D54" s="184">
        <f>COUNTIFS(Реестр_ЧС!$L$2:$L$797,Анализ_ЧС!D$30,Реестр_ЧС!$K$2:$K$797,Анализ_ЧС!$A54)</f>
        <v>1</v>
      </c>
      <c r="E54" s="184">
        <f>COUNTIFS(Реестр_ЧС!$L$2:$L$797,Анализ_ЧС!E$30,Реестр_ЧС!$K$2:$K$797,Анализ_ЧС!$A54)</f>
        <v>18</v>
      </c>
      <c r="F54" s="184">
        <f>COUNTIFS(Реестр_ЧС!$L$2:$L$797,Анализ_ЧС!F$30,Реестр_ЧС!$K$2:$K$797,Анализ_ЧС!$A54)</f>
        <v>0</v>
      </c>
      <c r="G54" s="184">
        <f>COUNTIFS(Реестр_ЧС!$L$2:$L$797,Анализ_ЧС!G$30,Реестр_ЧС!$K$2:$K$797,Анализ_ЧС!$A54)</f>
        <v>0</v>
      </c>
      <c r="H54" s="180">
        <f t="shared" si="2"/>
        <v>40</v>
      </c>
      <c r="I54" s="182"/>
      <c r="J54" s="163"/>
      <c r="K54" s="163"/>
      <c r="L54" s="163"/>
    </row>
    <row r="55" spans="1:13" ht="15.75">
      <c r="A55" s="183">
        <v>2025</v>
      </c>
      <c r="B55" s="184">
        <f>COUNTIFS(Реестр_ЧС!$L$2:$L$797,Анализ_ЧС!B$30,Реестр_ЧС!$K$2:$K$797,Анализ_ЧС!$A55)</f>
        <v>2</v>
      </c>
      <c r="C55" s="184">
        <f>COUNTIFS(Реестр_ЧС!$L$2:$L$797,Анализ_ЧС!C$30,Реестр_ЧС!$K$2:$K$797,Анализ_ЧС!$A55)</f>
        <v>0</v>
      </c>
      <c r="D55" s="184">
        <f>COUNTIFS(Реестр_ЧС!$L$2:$L$797,Анализ_ЧС!D$30,Реестр_ЧС!$K$2:$K$797,Анализ_ЧС!$A55)</f>
        <v>4</v>
      </c>
      <c r="E55" s="184">
        <f>COUNTIFS(Реестр_ЧС!$L$2:$L$797,Анализ_ЧС!E$30,Реестр_ЧС!$K$2:$K$797,Анализ_ЧС!$A55)</f>
        <v>9</v>
      </c>
      <c r="F55" s="184">
        <f>COUNTIFS(Реестр_ЧС!$L$2:$L$797,Анализ_ЧС!F$30,Реестр_ЧС!$K$2:$K$797,Анализ_ЧС!$A55)</f>
        <v>0</v>
      </c>
      <c r="G55" s="184">
        <f>COUNTIFS(Реестр_ЧС!$L$2:$L$797,Анализ_ЧС!G$30,Реестр_ЧС!$K$2:$K$797,Анализ_ЧС!$A55)</f>
        <v>0</v>
      </c>
      <c r="H55" s="180">
        <f t="shared" si="2"/>
        <v>15</v>
      </c>
      <c r="I55" s="182"/>
      <c r="J55" s="163"/>
      <c r="K55" s="163"/>
      <c r="L55" s="163"/>
    </row>
    <row r="56" spans="1:13" ht="15.75">
      <c r="A56" s="185" t="s">
        <v>6188</v>
      </c>
      <c r="B56" s="186">
        <f>SUM(B31:B55)</f>
        <v>139</v>
      </c>
      <c r="C56" s="186">
        <f t="shared" ref="C56:H56" si="3">SUM(C31:C55)</f>
        <v>12</v>
      </c>
      <c r="D56" s="186">
        <f t="shared" si="3"/>
        <v>80</v>
      </c>
      <c r="E56" s="186">
        <f t="shared" si="3"/>
        <v>197</v>
      </c>
      <c r="F56" s="186">
        <f t="shared" si="3"/>
        <v>4</v>
      </c>
      <c r="G56" s="186">
        <f t="shared" si="3"/>
        <v>3</v>
      </c>
      <c r="H56" s="186">
        <f t="shared" si="3"/>
        <v>435</v>
      </c>
      <c r="I56" s="187"/>
      <c r="J56" s="163"/>
      <c r="K56" s="163"/>
      <c r="L56" s="163"/>
    </row>
    <row r="57" spans="1:13" ht="15.75">
      <c r="A57" s="262" t="s">
        <v>6191</v>
      </c>
      <c r="B57" s="258"/>
      <c r="C57" s="258"/>
      <c r="D57" s="258"/>
      <c r="E57" s="258"/>
      <c r="F57" s="258"/>
      <c r="G57" s="258"/>
      <c r="H57" s="258"/>
      <c r="I57" s="258"/>
      <c r="J57" s="258"/>
      <c r="K57" s="258"/>
      <c r="L57" s="161"/>
    </row>
    <row r="58" spans="1:13" ht="86.25" customHeight="1">
      <c r="A58" s="188"/>
      <c r="B58" s="189" t="s">
        <v>5291</v>
      </c>
      <c r="C58" s="189" t="s">
        <v>5314</v>
      </c>
      <c r="D58" s="189" t="s">
        <v>5673</v>
      </c>
      <c r="E58" s="189" t="s">
        <v>5319</v>
      </c>
      <c r="F58" s="189" t="s">
        <v>5538</v>
      </c>
      <c r="G58" s="189" t="s">
        <v>5600</v>
      </c>
      <c r="H58" s="189" t="s">
        <v>5285</v>
      </c>
      <c r="I58" s="189" t="s">
        <v>5280</v>
      </c>
      <c r="J58" s="189" t="s">
        <v>5551</v>
      </c>
      <c r="K58" s="190" t="s">
        <v>5351</v>
      </c>
      <c r="L58" s="191" t="s">
        <v>5664</v>
      </c>
      <c r="M58" s="192" t="s">
        <v>6186</v>
      </c>
    </row>
    <row r="59" spans="1:13" ht="15.75">
      <c r="A59" s="169">
        <v>2001</v>
      </c>
      <c r="B59" s="193">
        <f>COUNTIFS(Реестр_ЧС!$L$2:$L$797,Анализ_ЧС!B$58,Реестр_ЧС!$K$2:$K$797,Анализ_ЧС!$A59)</f>
        <v>3</v>
      </c>
      <c r="C59" s="193">
        <f>COUNTIFS(Реестр_ЧС!$L$2:$L$797,Анализ_ЧС!C$58,Реестр_ЧС!$K$2:$K$797,Анализ_ЧС!$A59)</f>
        <v>1</v>
      </c>
      <c r="D59" s="193">
        <f>COUNTIFS(Реестр_ЧС!$L$2:$L$797,Анализ_ЧС!D$58,Реестр_ЧС!$K$2:$K$797,Анализ_ЧС!$A59)</f>
        <v>0</v>
      </c>
      <c r="E59" s="193">
        <f>COUNTIFS(Реестр_ЧС!$L$2:$L$797,Анализ_ЧС!E$58,Реестр_ЧС!$K$2:$K$797,Анализ_ЧС!$A59)</f>
        <v>1</v>
      </c>
      <c r="F59" s="193">
        <f>COUNTIFS(Реестр_ЧС!$L$2:$L$797,Анализ_ЧС!F$58,Реестр_ЧС!$K$2:$K$797,Анализ_ЧС!$A59)</f>
        <v>0</v>
      </c>
      <c r="G59" s="193">
        <f>COUNTIFS(Реестр_ЧС!$L$2:$L$797,Анализ_ЧС!G$58,Реестр_ЧС!$K$2:$K$797,Анализ_ЧС!$A59)</f>
        <v>0</v>
      </c>
      <c r="H59" s="193">
        <f>COUNTIFS(Реестр_ЧС!$L$2:$L$797,Анализ_ЧС!H$58,Реестр_ЧС!$K$2:$K$797,Анализ_ЧС!$A59)</f>
        <v>11</v>
      </c>
      <c r="I59" s="193">
        <f>COUNTIFS(Реестр_ЧС!$L$2:$L$797,Анализ_ЧС!I$58,Реестр_ЧС!$K$2:$K$797,Анализ_ЧС!$A59)</f>
        <v>8</v>
      </c>
      <c r="J59" s="193">
        <f>COUNTIFS(Реестр_ЧС!$L$2:$L$797,Анализ_ЧС!J$58,Реестр_ЧС!$K$2:$K$797,Анализ_ЧС!$A59)</f>
        <v>0</v>
      </c>
      <c r="K59" s="193">
        <f>COUNTIFS(Реестр_ЧС!$L$2:$L$797,Анализ_ЧС!K$58,Реестр_ЧС!$K$2:$K$797,Анализ_ЧС!$A59)</f>
        <v>0</v>
      </c>
      <c r="L59" s="193">
        <f>COUNTIFS(Реестр_ЧС!$L$2:$L$797,Анализ_ЧС!L$58,Реестр_ЧС!$K$2:$K$797,Анализ_ЧС!$A59)</f>
        <v>0</v>
      </c>
      <c r="M59" s="194">
        <f>SUM(B59:L59)</f>
        <v>24</v>
      </c>
    </row>
    <row r="60" spans="1:13" ht="15.75">
      <c r="A60" s="169">
        <v>2002</v>
      </c>
      <c r="B60" s="193">
        <f>COUNTIFS(Реестр_ЧС!$L$2:$L$797,Анализ_ЧС!B$58,Реестр_ЧС!$K$2:$K$797,Анализ_ЧС!$A60)</f>
        <v>0</v>
      </c>
      <c r="C60" s="193">
        <f>COUNTIFS(Реестр_ЧС!$L$2:$L$797,Анализ_ЧС!C$58,Реестр_ЧС!$K$2:$K$797,Анализ_ЧС!$A60)</f>
        <v>0</v>
      </c>
      <c r="D60" s="193">
        <f>COUNTIFS(Реестр_ЧС!$L$2:$L$797,Анализ_ЧС!D$58,Реестр_ЧС!$K$2:$K$797,Анализ_ЧС!$A60)</f>
        <v>0</v>
      </c>
      <c r="E60" s="193">
        <f>COUNTIFS(Реестр_ЧС!$L$2:$L$797,Анализ_ЧС!E$58,Реестр_ЧС!$K$2:$K$797,Анализ_ЧС!$A60)</f>
        <v>0</v>
      </c>
      <c r="F60" s="193">
        <f>COUNTIFS(Реестр_ЧС!$L$2:$L$797,Анализ_ЧС!F$58,Реестр_ЧС!$K$2:$K$797,Анализ_ЧС!$A60)</f>
        <v>0</v>
      </c>
      <c r="G60" s="193">
        <f>COUNTIFS(Реестр_ЧС!$L$2:$L$797,Анализ_ЧС!G$58,Реестр_ЧС!$K$2:$K$797,Анализ_ЧС!$A60)</f>
        <v>0</v>
      </c>
      <c r="H60" s="193">
        <f>COUNTIFS(Реестр_ЧС!$L$2:$L$797,Анализ_ЧС!H$58,Реестр_ЧС!$K$2:$K$797,Анализ_ЧС!$A60)</f>
        <v>2</v>
      </c>
      <c r="I60" s="193">
        <f>COUNTIFS(Реестр_ЧС!$L$2:$L$797,Анализ_ЧС!I$58,Реестр_ЧС!$K$2:$K$797,Анализ_ЧС!$A60)</f>
        <v>6</v>
      </c>
      <c r="J60" s="193">
        <f>COUNTIFS(Реестр_ЧС!$L$2:$L$797,Анализ_ЧС!J$58,Реестр_ЧС!$K$2:$K$797,Анализ_ЧС!$A60)</f>
        <v>0</v>
      </c>
      <c r="K60" s="193">
        <f>COUNTIFS(Реестр_ЧС!$L$2:$L$797,Анализ_ЧС!K$58,Реестр_ЧС!$K$2:$K$797,Анализ_ЧС!$A60)</f>
        <v>0</v>
      </c>
      <c r="L60" s="193">
        <f>COUNTIFS(Реестр_ЧС!$L$2:$L$797,Анализ_ЧС!L$58,Реестр_ЧС!$K$2:$K$797,Анализ_ЧС!$A60)</f>
        <v>0</v>
      </c>
      <c r="M60" s="194">
        <f t="shared" ref="M60:M83" si="4">SUM(B60:L60)</f>
        <v>8</v>
      </c>
    </row>
    <row r="61" spans="1:13" ht="15.75">
      <c r="A61" s="169">
        <v>2003</v>
      </c>
      <c r="B61" s="193">
        <f>COUNTIFS(Реестр_ЧС!$L$2:$L$797,Анализ_ЧС!B$58,Реестр_ЧС!$K$2:$K$797,Анализ_ЧС!$A61)</f>
        <v>5</v>
      </c>
      <c r="C61" s="193">
        <f>COUNTIFS(Реестр_ЧС!$L$2:$L$797,Анализ_ЧС!C$58,Реестр_ЧС!$K$2:$K$797,Анализ_ЧС!$A61)</f>
        <v>1</v>
      </c>
      <c r="D61" s="193">
        <f>COUNTIFS(Реестр_ЧС!$L$2:$L$797,Анализ_ЧС!D$58,Реестр_ЧС!$K$2:$K$797,Анализ_ЧС!$A61)</f>
        <v>0</v>
      </c>
      <c r="E61" s="193">
        <f>COUNTIFS(Реестр_ЧС!$L$2:$L$797,Анализ_ЧС!E$58,Реестр_ЧС!$K$2:$K$797,Анализ_ЧС!$A61)</f>
        <v>0</v>
      </c>
      <c r="F61" s="193">
        <f>COUNTIFS(Реестр_ЧС!$L$2:$L$797,Анализ_ЧС!F$58,Реестр_ЧС!$K$2:$K$797,Анализ_ЧС!$A61)</f>
        <v>0</v>
      </c>
      <c r="G61" s="193">
        <f>COUNTIFS(Реестр_ЧС!$L$2:$L$797,Анализ_ЧС!G$58,Реестр_ЧС!$K$2:$K$797,Анализ_ЧС!$A61)</f>
        <v>0</v>
      </c>
      <c r="H61" s="193">
        <f>COUNTIFS(Реестр_ЧС!$L$2:$L$797,Анализ_ЧС!H$58,Реестр_ЧС!$K$2:$K$797,Анализ_ЧС!$A61)</f>
        <v>9</v>
      </c>
      <c r="I61" s="193">
        <f>COUNTIFS(Реестр_ЧС!$L$2:$L$797,Анализ_ЧС!I$58,Реестр_ЧС!$K$2:$K$797,Анализ_ЧС!$A61)</f>
        <v>3</v>
      </c>
      <c r="J61" s="193">
        <f>COUNTIFS(Реестр_ЧС!$L$2:$L$797,Анализ_ЧС!J$58,Реестр_ЧС!$K$2:$K$797,Анализ_ЧС!$A61)</f>
        <v>0</v>
      </c>
      <c r="K61" s="193">
        <f>COUNTIFS(Реестр_ЧС!$L$2:$L$797,Анализ_ЧС!K$58,Реестр_ЧС!$K$2:$K$797,Анализ_ЧС!$A61)</f>
        <v>1</v>
      </c>
      <c r="L61" s="193">
        <f>COUNTIFS(Реестр_ЧС!$L$2:$L$797,Анализ_ЧС!L$58,Реестр_ЧС!$K$2:$K$797,Анализ_ЧС!$A61)</f>
        <v>0</v>
      </c>
      <c r="M61" s="194">
        <f t="shared" si="4"/>
        <v>19</v>
      </c>
    </row>
    <row r="62" spans="1:13" ht="15.75">
      <c r="A62" s="169">
        <v>2004</v>
      </c>
      <c r="B62" s="193">
        <f>COUNTIFS(Реестр_ЧС!$L$2:$L$797,Анализ_ЧС!B$58,Реестр_ЧС!$K$2:$K$797,Анализ_ЧС!$A62)</f>
        <v>5</v>
      </c>
      <c r="C62" s="193">
        <f>COUNTIFS(Реестр_ЧС!$L$2:$L$797,Анализ_ЧС!C$58,Реестр_ЧС!$K$2:$K$797,Анализ_ЧС!$A62)</f>
        <v>0</v>
      </c>
      <c r="D62" s="193">
        <f>COUNTIFS(Реестр_ЧС!$L$2:$L$797,Анализ_ЧС!D$58,Реестр_ЧС!$K$2:$K$797,Анализ_ЧС!$A62)</f>
        <v>0</v>
      </c>
      <c r="E62" s="193">
        <f>COUNTIFS(Реестр_ЧС!$L$2:$L$797,Анализ_ЧС!E$58,Реестр_ЧС!$K$2:$K$797,Анализ_ЧС!$A62)</f>
        <v>0</v>
      </c>
      <c r="F62" s="193">
        <f>COUNTIFS(Реестр_ЧС!$L$2:$L$797,Анализ_ЧС!F$58,Реестр_ЧС!$K$2:$K$797,Анализ_ЧС!$A62)</f>
        <v>0</v>
      </c>
      <c r="G62" s="193">
        <f>COUNTIFS(Реестр_ЧС!$L$2:$L$797,Анализ_ЧС!G$58,Реестр_ЧС!$K$2:$K$797,Анализ_ЧС!$A62)</f>
        <v>0</v>
      </c>
      <c r="H62" s="193">
        <f>COUNTIFS(Реестр_ЧС!$L$2:$L$797,Анализ_ЧС!H$58,Реестр_ЧС!$K$2:$K$797,Анализ_ЧС!$A62)</f>
        <v>9</v>
      </c>
      <c r="I62" s="193">
        <f>COUNTIFS(Реестр_ЧС!$L$2:$L$797,Анализ_ЧС!I$58,Реестр_ЧС!$K$2:$K$797,Анализ_ЧС!$A62)</f>
        <v>3</v>
      </c>
      <c r="J62" s="193">
        <f>COUNTIFS(Реестр_ЧС!$L$2:$L$797,Анализ_ЧС!J$58,Реестр_ЧС!$K$2:$K$797,Анализ_ЧС!$A62)</f>
        <v>0</v>
      </c>
      <c r="K62" s="193">
        <f>COUNTIFS(Реестр_ЧС!$L$2:$L$797,Анализ_ЧС!K$58,Реестр_ЧС!$K$2:$K$797,Анализ_ЧС!$A62)</f>
        <v>0</v>
      </c>
      <c r="L62" s="193">
        <f>COUNTIFS(Реестр_ЧС!$L$2:$L$797,Анализ_ЧС!L$58,Реестр_ЧС!$K$2:$K$797,Анализ_ЧС!$A62)</f>
        <v>0</v>
      </c>
      <c r="M62" s="194">
        <f t="shared" si="4"/>
        <v>17</v>
      </c>
    </row>
    <row r="63" spans="1:13" ht="15.75">
      <c r="A63" s="169">
        <v>2005</v>
      </c>
      <c r="B63" s="193">
        <f>COUNTIFS(Реестр_ЧС!$L$2:$L$797,Анализ_ЧС!B$58,Реестр_ЧС!$K$2:$K$797,Анализ_ЧС!$A63)</f>
        <v>1</v>
      </c>
      <c r="C63" s="193">
        <f>COUNTIFS(Реестр_ЧС!$L$2:$L$797,Анализ_ЧС!C$58,Реестр_ЧС!$K$2:$K$797,Анализ_ЧС!$A63)</f>
        <v>1</v>
      </c>
      <c r="D63" s="193">
        <f>COUNTIFS(Реестр_ЧС!$L$2:$L$797,Анализ_ЧС!D$58,Реестр_ЧС!$K$2:$K$797,Анализ_ЧС!$A63)</f>
        <v>0</v>
      </c>
      <c r="E63" s="193">
        <f>COUNTIFS(Реестр_ЧС!$L$2:$L$797,Анализ_ЧС!E$58,Реестр_ЧС!$K$2:$K$797,Анализ_ЧС!$A63)</f>
        <v>1</v>
      </c>
      <c r="F63" s="193">
        <f>COUNTIFS(Реестр_ЧС!$L$2:$L$797,Анализ_ЧС!F$58,Реестр_ЧС!$K$2:$K$797,Анализ_ЧС!$A63)</f>
        <v>0</v>
      </c>
      <c r="G63" s="193">
        <f>COUNTIFS(Реестр_ЧС!$L$2:$L$797,Анализ_ЧС!G$58,Реестр_ЧС!$K$2:$K$797,Анализ_ЧС!$A63)</f>
        <v>0</v>
      </c>
      <c r="H63" s="193">
        <f>COUNTIFS(Реестр_ЧС!$L$2:$L$797,Анализ_ЧС!H$58,Реестр_ЧС!$K$2:$K$797,Анализ_ЧС!$A63)</f>
        <v>25</v>
      </c>
      <c r="I63" s="193">
        <f>COUNTIFS(Реестр_ЧС!$L$2:$L$797,Анализ_ЧС!I$58,Реестр_ЧС!$K$2:$K$797,Анализ_ЧС!$A63)</f>
        <v>0</v>
      </c>
      <c r="J63" s="193">
        <f>COUNTIFS(Реестр_ЧС!$L$2:$L$797,Анализ_ЧС!J$58,Реестр_ЧС!$K$2:$K$797,Анализ_ЧС!$A63)</f>
        <v>0</v>
      </c>
      <c r="K63" s="193">
        <f>COUNTIFS(Реестр_ЧС!$L$2:$L$797,Анализ_ЧС!K$58,Реестр_ЧС!$K$2:$K$797,Анализ_ЧС!$A63)</f>
        <v>0</v>
      </c>
      <c r="L63" s="193">
        <f>COUNTIFS(Реестр_ЧС!$L$2:$L$797,Анализ_ЧС!L$58,Реестр_ЧС!$K$2:$K$797,Анализ_ЧС!$A63)</f>
        <v>0</v>
      </c>
      <c r="M63" s="194">
        <f t="shared" si="4"/>
        <v>28</v>
      </c>
    </row>
    <row r="64" spans="1:13" ht="15.75">
      <c r="A64" s="169">
        <v>2006</v>
      </c>
      <c r="B64" s="193">
        <f>COUNTIFS(Реестр_ЧС!$L$2:$L$797,Анализ_ЧС!B$58,Реестр_ЧС!$K$2:$K$797,Анализ_ЧС!$A64)</f>
        <v>3</v>
      </c>
      <c r="C64" s="193">
        <f>COUNTIFS(Реестр_ЧС!$L$2:$L$797,Анализ_ЧС!C$58,Реестр_ЧС!$K$2:$K$797,Анализ_ЧС!$A64)</f>
        <v>0</v>
      </c>
      <c r="D64" s="193">
        <f>COUNTIFS(Реестр_ЧС!$L$2:$L$797,Анализ_ЧС!D$58,Реестр_ЧС!$K$2:$K$797,Анализ_ЧС!$A64)</f>
        <v>0</v>
      </c>
      <c r="E64" s="193">
        <f>COUNTIFS(Реестр_ЧС!$L$2:$L$797,Анализ_ЧС!E$58,Реестр_ЧС!$K$2:$K$797,Анализ_ЧС!$A64)</f>
        <v>1</v>
      </c>
      <c r="F64" s="193">
        <f>COUNTIFS(Реестр_ЧС!$L$2:$L$797,Анализ_ЧС!F$58,Реестр_ЧС!$K$2:$K$797,Анализ_ЧС!$A64)</f>
        <v>0</v>
      </c>
      <c r="G64" s="193">
        <f>COUNTIFS(Реестр_ЧС!$L$2:$L$797,Анализ_ЧС!G$58,Реестр_ЧС!$K$2:$K$797,Анализ_ЧС!$A64)</f>
        <v>0</v>
      </c>
      <c r="H64" s="193">
        <f>COUNTIFS(Реестр_ЧС!$L$2:$L$797,Анализ_ЧС!H$58,Реестр_ЧС!$K$2:$K$797,Анализ_ЧС!$A64)</f>
        <v>25</v>
      </c>
      <c r="I64" s="193">
        <f>COUNTIFS(Реестр_ЧС!$L$2:$L$797,Анализ_ЧС!I$58,Реестр_ЧС!$K$2:$K$797,Анализ_ЧС!$A64)</f>
        <v>0</v>
      </c>
      <c r="J64" s="193">
        <f>COUNTIFS(Реестр_ЧС!$L$2:$L$797,Анализ_ЧС!J$58,Реестр_ЧС!$K$2:$K$797,Анализ_ЧС!$A64)</f>
        <v>0</v>
      </c>
      <c r="K64" s="193">
        <f>COUNTIFS(Реестр_ЧС!$L$2:$L$797,Анализ_ЧС!K$58,Реестр_ЧС!$K$2:$K$797,Анализ_ЧС!$A64)</f>
        <v>2</v>
      </c>
      <c r="L64" s="193">
        <f>COUNTIFS(Реестр_ЧС!$L$2:$L$797,Анализ_ЧС!L$58,Реестр_ЧС!$K$2:$K$797,Анализ_ЧС!$A64)</f>
        <v>0</v>
      </c>
      <c r="M64" s="194">
        <f t="shared" si="4"/>
        <v>31</v>
      </c>
    </row>
    <row r="65" spans="1:13" ht="15.75">
      <c r="A65" s="169">
        <v>2007</v>
      </c>
      <c r="B65" s="193">
        <f>COUNTIFS(Реестр_ЧС!$L$2:$L$797,Анализ_ЧС!B$58,Реестр_ЧС!$K$2:$K$797,Анализ_ЧС!$A65)</f>
        <v>0</v>
      </c>
      <c r="C65" s="193">
        <f>COUNTIFS(Реестр_ЧС!$L$2:$L$797,Анализ_ЧС!C$58,Реестр_ЧС!$K$2:$K$797,Анализ_ЧС!$A65)</f>
        <v>0</v>
      </c>
      <c r="D65" s="193">
        <f>COUNTIFS(Реестр_ЧС!$L$2:$L$797,Анализ_ЧС!D$58,Реестр_ЧС!$K$2:$K$797,Анализ_ЧС!$A65)</f>
        <v>0</v>
      </c>
      <c r="E65" s="193">
        <f>COUNTIFS(Реестр_ЧС!$L$2:$L$797,Анализ_ЧС!E$58,Реестр_ЧС!$K$2:$K$797,Анализ_ЧС!$A65)</f>
        <v>0</v>
      </c>
      <c r="F65" s="193">
        <f>COUNTIFS(Реестр_ЧС!$L$2:$L$797,Анализ_ЧС!F$58,Реестр_ЧС!$K$2:$K$797,Анализ_ЧС!$A65)</f>
        <v>0</v>
      </c>
      <c r="G65" s="193">
        <f>COUNTIFS(Реестр_ЧС!$L$2:$L$797,Анализ_ЧС!G$58,Реестр_ЧС!$K$2:$K$797,Анализ_ЧС!$A65)</f>
        <v>0</v>
      </c>
      <c r="H65" s="193">
        <f>COUNTIFS(Реестр_ЧС!$L$2:$L$797,Анализ_ЧС!H$58,Реестр_ЧС!$K$2:$K$797,Анализ_ЧС!$A65)</f>
        <v>0</v>
      </c>
      <c r="I65" s="193">
        <f>COUNTIFS(Реестр_ЧС!$L$2:$L$797,Анализ_ЧС!I$58,Реестр_ЧС!$K$2:$K$797,Анализ_ЧС!$A65)</f>
        <v>0</v>
      </c>
      <c r="J65" s="193">
        <f>COUNTIFS(Реестр_ЧС!$L$2:$L$797,Анализ_ЧС!J$58,Реестр_ЧС!$K$2:$K$797,Анализ_ЧС!$A65)</f>
        <v>0</v>
      </c>
      <c r="K65" s="193">
        <f>COUNTIFS(Реестр_ЧС!$L$2:$L$797,Анализ_ЧС!K$58,Реестр_ЧС!$K$2:$K$797,Анализ_ЧС!$A65)</f>
        <v>0</v>
      </c>
      <c r="L65" s="193">
        <f>COUNTIFS(Реестр_ЧС!$L$2:$L$797,Анализ_ЧС!L$58,Реестр_ЧС!$K$2:$K$797,Анализ_ЧС!$A65)</f>
        <v>0</v>
      </c>
      <c r="M65" s="194">
        <f t="shared" si="4"/>
        <v>0</v>
      </c>
    </row>
    <row r="66" spans="1:13" ht="15.75">
      <c r="A66" s="169">
        <v>2008</v>
      </c>
      <c r="B66" s="193">
        <f>COUNTIFS(Реестр_ЧС!$L$2:$L$797,Анализ_ЧС!B$58,Реестр_ЧС!$K$2:$K$797,Анализ_ЧС!$A66)</f>
        <v>1</v>
      </c>
      <c r="C66" s="193">
        <f>COUNTIFS(Реестр_ЧС!$L$2:$L$797,Анализ_ЧС!C$58,Реестр_ЧС!$K$2:$K$797,Анализ_ЧС!$A66)</f>
        <v>0</v>
      </c>
      <c r="D66" s="193">
        <f>COUNTIFS(Реестр_ЧС!$L$2:$L$797,Анализ_ЧС!D$58,Реестр_ЧС!$K$2:$K$797,Анализ_ЧС!$A66)</f>
        <v>0</v>
      </c>
      <c r="E66" s="193">
        <f>COUNTIFS(Реестр_ЧС!$L$2:$L$797,Анализ_ЧС!E$58,Реестр_ЧС!$K$2:$K$797,Анализ_ЧС!$A66)</f>
        <v>0</v>
      </c>
      <c r="F66" s="193">
        <f>COUNTIFS(Реестр_ЧС!$L$2:$L$797,Анализ_ЧС!F$58,Реестр_ЧС!$K$2:$K$797,Анализ_ЧС!$A66)</f>
        <v>1</v>
      </c>
      <c r="G66" s="193">
        <f>COUNTIFS(Реестр_ЧС!$L$2:$L$797,Анализ_ЧС!G$58,Реестр_ЧС!$K$2:$K$797,Анализ_ЧС!$A66)</f>
        <v>0</v>
      </c>
      <c r="H66" s="193">
        <f>COUNTIFS(Реестр_ЧС!$L$2:$L$797,Анализ_ЧС!H$58,Реестр_ЧС!$K$2:$K$797,Анализ_ЧС!$A66)</f>
        <v>19</v>
      </c>
      <c r="I66" s="193">
        <f>COUNTIFS(Реестр_ЧС!$L$2:$L$797,Анализ_ЧС!I$58,Реестр_ЧС!$K$2:$K$797,Анализ_ЧС!$A66)</f>
        <v>3</v>
      </c>
      <c r="J66" s="193">
        <f>COUNTIFS(Реестр_ЧС!$L$2:$L$797,Анализ_ЧС!J$58,Реестр_ЧС!$K$2:$K$797,Анализ_ЧС!$A66)</f>
        <v>0</v>
      </c>
      <c r="K66" s="193">
        <f>COUNTIFS(Реестр_ЧС!$L$2:$L$797,Анализ_ЧС!K$58,Реестр_ЧС!$K$2:$K$797,Анализ_ЧС!$A66)</f>
        <v>0</v>
      </c>
      <c r="L66" s="193">
        <f>COUNTIFS(Реестр_ЧС!$L$2:$L$797,Анализ_ЧС!L$58,Реестр_ЧС!$K$2:$K$797,Анализ_ЧС!$A66)</f>
        <v>0</v>
      </c>
      <c r="M66" s="194">
        <f t="shared" si="4"/>
        <v>24</v>
      </c>
    </row>
    <row r="67" spans="1:13" ht="15.75">
      <c r="A67" s="169">
        <v>2009</v>
      </c>
      <c r="B67" s="193">
        <f>COUNTIFS(Реестр_ЧС!$L$2:$L$797,Анализ_ЧС!B$58,Реестр_ЧС!$K$2:$K$797,Анализ_ЧС!$A67)</f>
        <v>0</v>
      </c>
      <c r="C67" s="193">
        <f>COUNTIFS(Реестр_ЧС!$L$2:$L$797,Анализ_ЧС!C$58,Реестр_ЧС!$K$2:$K$797,Анализ_ЧС!$A67)</f>
        <v>0</v>
      </c>
      <c r="D67" s="193">
        <f>COUNTIFS(Реестр_ЧС!$L$2:$L$797,Анализ_ЧС!D$58,Реестр_ЧС!$K$2:$K$797,Анализ_ЧС!$A67)</f>
        <v>0</v>
      </c>
      <c r="E67" s="193">
        <f>COUNTIFS(Реестр_ЧС!$L$2:$L$797,Анализ_ЧС!E$58,Реестр_ЧС!$K$2:$K$797,Анализ_ЧС!$A67)</f>
        <v>2</v>
      </c>
      <c r="F67" s="193">
        <f>COUNTIFS(Реестр_ЧС!$L$2:$L$797,Анализ_ЧС!F$58,Реестр_ЧС!$K$2:$K$797,Анализ_ЧС!$A67)</f>
        <v>0</v>
      </c>
      <c r="G67" s="193">
        <f>COUNTIFS(Реестр_ЧС!$L$2:$L$797,Анализ_ЧС!G$58,Реестр_ЧС!$K$2:$K$797,Анализ_ЧС!$A67)</f>
        <v>0</v>
      </c>
      <c r="H67" s="193">
        <f>COUNTIFS(Реестр_ЧС!$L$2:$L$797,Анализ_ЧС!H$58,Реестр_ЧС!$K$2:$K$797,Анализ_ЧС!$A67)</f>
        <v>0</v>
      </c>
      <c r="I67" s="193">
        <f>COUNTIFS(Реестр_ЧС!$L$2:$L$797,Анализ_ЧС!I$58,Реестр_ЧС!$K$2:$K$797,Анализ_ЧС!$A67)</f>
        <v>0</v>
      </c>
      <c r="J67" s="193">
        <f>COUNTIFS(Реестр_ЧС!$L$2:$L$797,Анализ_ЧС!J$58,Реестр_ЧС!$K$2:$K$797,Анализ_ЧС!$A67)</f>
        <v>0</v>
      </c>
      <c r="K67" s="193">
        <f>COUNTIFS(Реестр_ЧС!$L$2:$L$797,Анализ_ЧС!K$58,Реестр_ЧС!$K$2:$K$797,Анализ_ЧС!$A67)</f>
        <v>0</v>
      </c>
      <c r="L67" s="193">
        <f>COUNTIFS(Реестр_ЧС!$L$2:$L$797,Анализ_ЧС!L$58,Реестр_ЧС!$K$2:$K$797,Анализ_ЧС!$A67)</f>
        <v>0</v>
      </c>
      <c r="M67" s="194">
        <f t="shared" si="4"/>
        <v>2</v>
      </c>
    </row>
    <row r="68" spans="1:13" ht="15.75">
      <c r="A68" s="169">
        <v>2010</v>
      </c>
      <c r="B68" s="193">
        <f>COUNTIFS(Реестр_ЧС!$L$2:$L$797,Анализ_ЧС!B$58,Реестр_ЧС!$K$2:$K$797,Анализ_ЧС!$A68)</f>
        <v>1</v>
      </c>
      <c r="C68" s="193">
        <f>COUNTIFS(Реестр_ЧС!$L$2:$L$797,Анализ_ЧС!C$58,Реестр_ЧС!$K$2:$K$797,Анализ_ЧС!$A68)</f>
        <v>0</v>
      </c>
      <c r="D68" s="193">
        <f>COUNTIFS(Реестр_ЧС!$L$2:$L$797,Анализ_ЧС!D$58,Реестр_ЧС!$K$2:$K$797,Анализ_ЧС!$A68)</f>
        <v>0</v>
      </c>
      <c r="E68" s="193">
        <f>COUNTIFS(Реестр_ЧС!$L$2:$L$797,Анализ_ЧС!E$58,Реестр_ЧС!$K$2:$K$797,Анализ_ЧС!$A68)</f>
        <v>0</v>
      </c>
      <c r="F68" s="193">
        <f>COUNTIFS(Реестр_ЧС!$L$2:$L$797,Анализ_ЧС!F$58,Реестр_ЧС!$K$2:$K$797,Анализ_ЧС!$A68)</f>
        <v>0</v>
      </c>
      <c r="G68" s="193">
        <f>COUNTIFS(Реестр_ЧС!$L$2:$L$797,Анализ_ЧС!G$58,Реестр_ЧС!$K$2:$K$797,Анализ_ЧС!$A68)</f>
        <v>0</v>
      </c>
      <c r="H68" s="193">
        <f>COUNTIFS(Реестр_ЧС!$L$2:$L$797,Анализ_ЧС!H$58,Реестр_ЧС!$K$2:$K$797,Анализ_ЧС!$A68)</f>
        <v>0</v>
      </c>
      <c r="I68" s="193">
        <f>COUNTIFS(Реестр_ЧС!$L$2:$L$797,Анализ_ЧС!I$58,Реестр_ЧС!$K$2:$K$797,Анализ_ЧС!$A68)</f>
        <v>0</v>
      </c>
      <c r="J68" s="193">
        <f>COUNTIFS(Реестр_ЧС!$L$2:$L$797,Анализ_ЧС!J$58,Реестр_ЧС!$K$2:$K$797,Анализ_ЧС!$A68)</f>
        <v>1</v>
      </c>
      <c r="K68" s="193">
        <f>COUNTIFS(Реестр_ЧС!$L$2:$L$797,Анализ_ЧС!K$58,Реестр_ЧС!$K$2:$K$797,Анализ_ЧС!$A68)</f>
        <v>0</v>
      </c>
      <c r="L68" s="193">
        <f>COUNTIFS(Реестр_ЧС!$L$2:$L$797,Анализ_ЧС!L$58,Реестр_ЧС!$K$2:$K$797,Анализ_ЧС!$A68)</f>
        <v>0</v>
      </c>
      <c r="M68" s="194">
        <f t="shared" si="4"/>
        <v>2</v>
      </c>
    </row>
    <row r="69" spans="1:13" ht="15.75">
      <c r="A69" s="169">
        <v>2011</v>
      </c>
      <c r="B69" s="193">
        <f>COUNTIFS(Реестр_ЧС!$L$2:$L$797,Анализ_ЧС!B$58,Реестр_ЧС!$K$2:$K$797,Анализ_ЧС!$A69)</f>
        <v>0</v>
      </c>
      <c r="C69" s="193">
        <f>COUNTIFS(Реестр_ЧС!$L$2:$L$797,Анализ_ЧС!C$58,Реестр_ЧС!$K$2:$K$797,Анализ_ЧС!$A69)</f>
        <v>1</v>
      </c>
      <c r="D69" s="193">
        <f>COUNTIFS(Реестр_ЧС!$L$2:$L$797,Анализ_ЧС!D$58,Реестр_ЧС!$K$2:$K$797,Анализ_ЧС!$A69)</f>
        <v>0</v>
      </c>
      <c r="E69" s="193">
        <f>COUNTIFS(Реестр_ЧС!$L$2:$L$797,Анализ_ЧС!E$58,Реестр_ЧС!$K$2:$K$797,Анализ_ЧС!$A69)</f>
        <v>0</v>
      </c>
      <c r="F69" s="193">
        <f>COUNTIFS(Реестр_ЧС!$L$2:$L$797,Анализ_ЧС!F$58,Реестр_ЧС!$K$2:$K$797,Анализ_ЧС!$A69)</f>
        <v>0</v>
      </c>
      <c r="G69" s="193">
        <f>COUNTIFS(Реестр_ЧС!$L$2:$L$797,Анализ_ЧС!G$58,Реестр_ЧС!$K$2:$K$797,Анализ_ЧС!$A69)</f>
        <v>0</v>
      </c>
      <c r="H69" s="193">
        <f>COUNTIFS(Реестр_ЧС!$L$2:$L$797,Анализ_ЧС!H$58,Реестр_ЧС!$K$2:$K$797,Анализ_ЧС!$A69)</f>
        <v>0</v>
      </c>
      <c r="I69" s="193">
        <f>COUNTIFS(Реестр_ЧС!$L$2:$L$797,Анализ_ЧС!I$58,Реестр_ЧС!$K$2:$K$797,Анализ_ЧС!$A69)</f>
        <v>0</v>
      </c>
      <c r="J69" s="193">
        <f>COUNTIFS(Реестр_ЧС!$L$2:$L$797,Анализ_ЧС!J$58,Реестр_ЧС!$K$2:$K$797,Анализ_ЧС!$A69)</f>
        <v>0</v>
      </c>
      <c r="K69" s="193">
        <f>COUNTIFS(Реестр_ЧС!$L$2:$L$797,Анализ_ЧС!K$58,Реестр_ЧС!$K$2:$K$797,Анализ_ЧС!$A69)</f>
        <v>0</v>
      </c>
      <c r="L69" s="193">
        <f>COUNTIFS(Реестр_ЧС!$L$2:$L$797,Анализ_ЧС!L$58,Реестр_ЧС!$K$2:$K$797,Анализ_ЧС!$A69)</f>
        <v>0</v>
      </c>
      <c r="M69" s="194">
        <f t="shared" si="4"/>
        <v>1</v>
      </c>
    </row>
    <row r="70" spans="1:13" ht="15.75">
      <c r="A70" s="169">
        <v>2012</v>
      </c>
      <c r="B70" s="193">
        <f>COUNTIFS(Реестр_ЧС!$L$2:$L$797,Анализ_ЧС!B$58,Реестр_ЧС!$K$2:$K$797,Анализ_ЧС!$A70)</f>
        <v>1</v>
      </c>
      <c r="C70" s="193">
        <f>COUNTIFS(Реестр_ЧС!$L$2:$L$797,Анализ_ЧС!C$58,Реестр_ЧС!$K$2:$K$797,Анализ_ЧС!$A70)</f>
        <v>0</v>
      </c>
      <c r="D70" s="193">
        <f>COUNTIFS(Реестр_ЧС!$L$2:$L$797,Анализ_ЧС!D$58,Реестр_ЧС!$K$2:$K$797,Анализ_ЧС!$A70)</f>
        <v>0</v>
      </c>
      <c r="E70" s="193">
        <f>COUNTIFS(Реестр_ЧС!$L$2:$L$797,Анализ_ЧС!E$58,Реестр_ЧС!$K$2:$K$797,Анализ_ЧС!$A70)</f>
        <v>1</v>
      </c>
      <c r="F70" s="193">
        <f>COUNTIFS(Реестр_ЧС!$L$2:$L$797,Анализ_ЧС!F$58,Реестр_ЧС!$K$2:$K$797,Анализ_ЧС!$A70)</f>
        <v>0</v>
      </c>
      <c r="G70" s="193">
        <f>COUNTIFS(Реестр_ЧС!$L$2:$L$797,Анализ_ЧС!G$58,Реестр_ЧС!$K$2:$K$797,Анализ_ЧС!$A70)</f>
        <v>1</v>
      </c>
      <c r="H70" s="193">
        <f>COUNTIFS(Реестр_ЧС!$L$2:$L$797,Анализ_ЧС!H$58,Реестр_ЧС!$K$2:$K$797,Анализ_ЧС!$A70)</f>
        <v>1</v>
      </c>
      <c r="I70" s="193">
        <f>COUNTIFS(Реестр_ЧС!$L$2:$L$797,Анализ_ЧС!I$58,Реестр_ЧС!$K$2:$K$797,Анализ_ЧС!$A70)</f>
        <v>1</v>
      </c>
      <c r="J70" s="193">
        <f>COUNTIFS(Реестр_ЧС!$L$2:$L$797,Анализ_ЧС!J$58,Реестр_ЧС!$K$2:$K$797,Анализ_ЧС!$A70)</f>
        <v>0</v>
      </c>
      <c r="K70" s="193">
        <f>COUNTIFS(Реестр_ЧС!$L$2:$L$797,Анализ_ЧС!K$58,Реестр_ЧС!$K$2:$K$797,Анализ_ЧС!$A70)</f>
        <v>0</v>
      </c>
      <c r="L70" s="193">
        <f>COUNTIFS(Реестр_ЧС!$L$2:$L$797,Анализ_ЧС!L$58,Реестр_ЧС!$K$2:$K$797,Анализ_ЧС!$A70)</f>
        <v>0</v>
      </c>
      <c r="M70" s="194">
        <f t="shared" si="4"/>
        <v>5</v>
      </c>
    </row>
    <row r="71" spans="1:13" ht="15.75">
      <c r="A71" s="169">
        <v>2013</v>
      </c>
      <c r="B71" s="193">
        <f>COUNTIFS(Реестр_ЧС!$L$2:$L$797,Анализ_ЧС!B$58,Реестр_ЧС!$K$2:$K$797,Анализ_ЧС!$A71)</f>
        <v>1</v>
      </c>
      <c r="C71" s="193">
        <f>COUNTIFS(Реестр_ЧС!$L$2:$L$797,Анализ_ЧС!C$58,Реестр_ЧС!$K$2:$K$797,Анализ_ЧС!$A71)</f>
        <v>0</v>
      </c>
      <c r="D71" s="193">
        <f>COUNTIFS(Реестр_ЧС!$L$2:$L$797,Анализ_ЧС!D$58,Реестр_ЧС!$K$2:$K$797,Анализ_ЧС!$A71)</f>
        <v>0</v>
      </c>
      <c r="E71" s="193">
        <f>COUNTIFS(Реестр_ЧС!$L$2:$L$797,Анализ_ЧС!E$58,Реестр_ЧС!$K$2:$K$797,Анализ_ЧС!$A71)</f>
        <v>1</v>
      </c>
      <c r="F71" s="193">
        <f>COUNTIFS(Реестр_ЧС!$L$2:$L$797,Анализ_ЧС!F$58,Реестр_ЧС!$K$2:$K$797,Анализ_ЧС!$A71)</f>
        <v>0</v>
      </c>
      <c r="G71" s="193">
        <f>COUNTIFS(Реестр_ЧС!$L$2:$L$797,Анализ_ЧС!G$58,Реестр_ЧС!$K$2:$K$797,Анализ_ЧС!$A71)</f>
        <v>0</v>
      </c>
      <c r="H71" s="193">
        <f>COUNTIFS(Реестр_ЧС!$L$2:$L$797,Анализ_ЧС!H$58,Реестр_ЧС!$K$2:$K$797,Анализ_ЧС!$A71)</f>
        <v>1</v>
      </c>
      <c r="I71" s="193">
        <f>COUNTIFS(Реестр_ЧС!$L$2:$L$797,Анализ_ЧС!I$58,Реестр_ЧС!$K$2:$K$797,Анализ_ЧС!$A71)</f>
        <v>1</v>
      </c>
      <c r="J71" s="193">
        <f>COUNTIFS(Реестр_ЧС!$L$2:$L$797,Анализ_ЧС!J$58,Реестр_ЧС!$K$2:$K$797,Анализ_ЧС!$A71)</f>
        <v>0</v>
      </c>
      <c r="K71" s="193">
        <f>COUNTIFS(Реестр_ЧС!$L$2:$L$797,Анализ_ЧС!K$58,Реестр_ЧС!$K$2:$K$797,Анализ_ЧС!$A71)</f>
        <v>0</v>
      </c>
      <c r="L71" s="193">
        <f>COUNTIFS(Реестр_ЧС!$L$2:$L$797,Анализ_ЧС!L$58,Реестр_ЧС!$K$2:$K$797,Анализ_ЧС!$A71)</f>
        <v>0</v>
      </c>
      <c r="M71" s="194">
        <f t="shared" si="4"/>
        <v>4</v>
      </c>
    </row>
    <row r="72" spans="1:13" ht="15.75">
      <c r="A72" s="169">
        <v>2014</v>
      </c>
      <c r="B72" s="193">
        <f>COUNTIFS(Реестр_ЧС!$L$2:$L$797,Анализ_ЧС!B$58,Реестр_ЧС!$K$2:$K$797,Анализ_ЧС!$A72)</f>
        <v>1</v>
      </c>
      <c r="C72" s="193">
        <f>COUNTIFS(Реестр_ЧС!$L$2:$L$797,Анализ_ЧС!C$58,Реестр_ЧС!$K$2:$K$797,Анализ_ЧС!$A72)</f>
        <v>2</v>
      </c>
      <c r="D72" s="193">
        <f>COUNTIFS(Реестр_ЧС!$L$2:$L$797,Анализ_ЧС!D$58,Реестр_ЧС!$K$2:$K$797,Анализ_ЧС!$A72)</f>
        <v>0</v>
      </c>
      <c r="E72" s="193">
        <f>COUNTIFS(Реестр_ЧС!$L$2:$L$797,Анализ_ЧС!E$58,Реестр_ЧС!$K$2:$K$797,Анализ_ЧС!$A72)</f>
        <v>0</v>
      </c>
      <c r="F72" s="193">
        <f>COUNTIFS(Реестр_ЧС!$L$2:$L$797,Анализ_ЧС!F$58,Реестр_ЧС!$K$2:$K$797,Анализ_ЧС!$A72)</f>
        <v>0</v>
      </c>
      <c r="G72" s="193">
        <f>COUNTIFS(Реестр_ЧС!$L$2:$L$797,Анализ_ЧС!G$58,Реестр_ЧС!$K$2:$K$797,Анализ_ЧС!$A72)</f>
        <v>0</v>
      </c>
      <c r="H72" s="193">
        <f>COUNTIFS(Реестр_ЧС!$L$2:$L$797,Анализ_ЧС!H$58,Реестр_ЧС!$K$2:$K$797,Анализ_ЧС!$A72)</f>
        <v>0</v>
      </c>
      <c r="I72" s="193">
        <f>COUNTIFS(Реестр_ЧС!$L$2:$L$797,Анализ_ЧС!I$58,Реестр_ЧС!$K$2:$K$797,Анализ_ЧС!$A72)</f>
        <v>1</v>
      </c>
      <c r="J72" s="193">
        <f>COUNTIFS(Реестр_ЧС!$L$2:$L$797,Анализ_ЧС!J$58,Реестр_ЧС!$K$2:$K$797,Анализ_ЧС!$A72)</f>
        <v>0</v>
      </c>
      <c r="K72" s="193">
        <f>COUNTIFS(Реестр_ЧС!$L$2:$L$797,Анализ_ЧС!K$58,Реестр_ЧС!$K$2:$K$797,Анализ_ЧС!$A72)</f>
        <v>0</v>
      </c>
      <c r="L72" s="193">
        <f>COUNTIFS(Реестр_ЧС!$L$2:$L$797,Анализ_ЧС!L$58,Реестр_ЧС!$K$2:$K$797,Анализ_ЧС!$A72)</f>
        <v>0</v>
      </c>
      <c r="M72" s="194">
        <f t="shared" si="4"/>
        <v>4</v>
      </c>
    </row>
    <row r="73" spans="1:13" ht="15.75">
      <c r="A73" s="169">
        <v>2015</v>
      </c>
      <c r="B73" s="193">
        <f>COUNTIFS(Реестр_ЧС!$L$2:$L$797,Анализ_ЧС!B$58,Реестр_ЧС!$K$2:$K$797,Анализ_ЧС!$A73)</f>
        <v>0</v>
      </c>
      <c r="C73" s="193">
        <f>COUNTIFS(Реестр_ЧС!$L$2:$L$797,Анализ_ЧС!C$58,Реестр_ЧС!$K$2:$K$797,Анализ_ЧС!$A73)</f>
        <v>1</v>
      </c>
      <c r="D73" s="193">
        <f>COUNTIFS(Реестр_ЧС!$L$2:$L$797,Анализ_ЧС!D$58,Реестр_ЧС!$K$2:$K$797,Анализ_ЧС!$A73)</f>
        <v>0</v>
      </c>
      <c r="E73" s="193">
        <f>COUNTIFS(Реестр_ЧС!$L$2:$L$797,Анализ_ЧС!E$58,Реестр_ЧС!$K$2:$K$797,Анализ_ЧС!$A73)</f>
        <v>0</v>
      </c>
      <c r="F73" s="193">
        <f>COUNTIFS(Реестр_ЧС!$L$2:$L$797,Анализ_ЧС!F$58,Реестр_ЧС!$K$2:$K$797,Анализ_ЧС!$A73)</f>
        <v>0</v>
      </c>
      <c r="G73" s="193">
        <f>COUNTIFS(Реестр_ЧС!$L$2:$L$797,Анализ_ЧС!G$58,Реестр_ЧС!$K$2:$K$797,Анализ_ЧС!$A73)</f>
        <v>0</v>
      </c>
      <c r="H73" s="193">
        <f>COUNTIFS(Реестр_ЧС!$L$2:$L$797,Анализ_ЧС!H$58,Реестр_ЧС!$K$2:$K$797,Анализ_ЧС!$A73)</f>
        <v>0</v>
      </c>
      <c r="I73" s="193">
        <f>COUNTIFS(Реестр_ЧС!$L$2:$L$797,Анализ_ЧС!I$58,Реестр_ЧС!$K$2:$K$797,Анализ_ЧС!$A73)</f>
        <v>0</v>
      </c>
      <c r="J73" s="193">
        <f>COUNTIFS(Реестр_ЧС!$L$2:$L$797,Анализ_ЧС!J$58,Реестр_ЧС!$K$2:$K$797,Анализ_ЧС!$A73)</f>
        <v>1</v>
      </c>
      <c r="K73" s="193">
        <f>COUNTIFS(Реестр_ЧС!$L$2:$L$797,Анализ_ЧС!K$58,Реестр_ЧС!$K$2:$K$797,Анализ_ЧС!$A73)</f>
        <v>0</v>
      </c>
      <c r="L73" s="193">
        <f>COUNTIFS(Реестр_ЧС!$L$2:$L$797,Анализ_ЧС!L$58,Реестр_ЧС!$K$2:$K$797,Анализ_ЧС!$A73)</f>
        <v>0</v>
      </c>
      <c r="M73" s="194">
        <f t="shared" si="4"/>
        <v>2</v>
      </c>
    </row>
    <row r="74" spans="1:13" ht="15.75">
      <c r="A74" s="169">
        <v>2016</v>
      </c>
      <c r="B74" s="193">
        <f>COUNTIFS(Реестр_ЧС!$L$2:$L$797,Анализ_ЧС!B$58,Реестр_ЧС!$K$2:$K$797,Анализ_ЧС!$A74)</f>
        <v>0</v>
      </c>
      <c r="C74" s="193">
        <f>COUNTIFS(Реестр_ЧС!$L$2:$L$797,Анализ_ЧС!C$58,Реестр_ЧС!$K$2:$K$797,Анализ_ЧС!$A74)</f>
        <v>3</v>
      </c>
      <c r="D74" s="193">
        <f>COUNTIFS(Реестр_ЧС!$L$2:$L$797,Анализ_ЧС!D$58,Реестр_ЧС!$K$2:$K$797,Анализ_ЧС!$A74)</f>
        <v>1</v>
      </c>
      <c r="E74" s="193">
        <f>COUNTIFS(Реестр_ЧС!$L$2:$L$797,Анализ_ЧС!E$58,Реестр_ЧС!$K$2:$K$797,Анализ_ЧС!$A74)</f>
        <v>1</v>
      </c>
      <c r="F74" s="193">
        <f>COUNTIFS(Реестр_ЧС!$L$2:$L$797,Анализ_ЧС!F$58,Реестр_ЧС!$K$2:$K$797,Анализ_ЧС!$A74)</f>
        <v>0</v>
      </c>
      <c r="G74" s="193">
        <f>COUNTIFS(Реестр_ЧС!$L$2:$L$797,Анализ_ЧС!G$58,Реестр_ЧС!$K$2:$K$797,Анализ_ЧС!$A74)</f>
        <v>0</v>
      </c>
      <c r="H74" s="193">
        <f>COUNTIFS(Реестр_ЧС!$L$2:$L$797,Анализ_ЧС!H$58,Реестр_ЧС!$K$2:$K$797,Анализ_ЧС!$A74)</f>
        <v>0</v>
      </c>
      <c r="I74" s="193">
        <f>COUNTIFS(Реестр_ЧС!$L$2:$L$797,Анализ_ЧС!I$58,Реестр_ЧС!$K$2:$K$797,Анализ_ЧС!$A74)</f>
        <v>0</v>
      </c>
      <c r="J74" s="193">
        <f>COUNTIFS(Реестр_ЧС!$L$2:$L$797,Анализ_ЧС!J$58,Реестр_ЧС!$K$2:$K$797,Анализ_ЧС!$A74)</f>
        <v>0</v>
      </c>
      <c r="K74" s="193">
        <f>COUNTIFS(Реестр_ЧС!$L$2:$L$797,Анализ_ЧС!K$58,Реестр_ЧС!$K$2:$K$797,Анализ_ЧС!$A74)</f>
        <v>0</v>
      </c>
      <c r="L74" s="193">
        <f>COUNTIFS(Реестр_ЧС!$L$2:$L$797,Анализ_ЧС!L$58,Реестр_ЧС!$K$2:$K$797,Анализ_ЧС!$A74)</f>
        <v>1</v>
      </c>
      <c r="M74" s="194">
        <f t="shared" si="4"/>
        <v>6</v>
      </c>
    </row>
    <row r="75" spans="1:13" ht="15.75">
      <c r="A75" s="169">
        <v>2017</v>
      </c>
      <c r="B75" s="193">
        <f>COUNTIFS(Реестр_ЧС!$L$2:$L$797,Анализ_ЧС!B$58,Реестр_ЧС!$K$2:$K$797,Анализ_ЧС!$A75)</f>
        <v>1</v>
      </c>
      <c r="C75" s="193">
        <f>COUNTIFS(Реестр_ЧС!$L$2:$L$797,Анализ_ЧС!C$58,Реестр_ЧС!$K$2:$K$797,Анализ_ЧС!$A75)</f>
        <v>7</v>
      </c>
      <c r="D75" s="193">
        <f>COUNTIFS(Реестр_ЧС!$L$2:$L$797,Анализ_ЧС!D$58,Реестр_ЧС!$K$2:$K$797,Анализ_ЧС!$A75)</f>
        <v>2</v>
      </c>
      <c r="E75" s="193">
        <f>COUNTIFS(Реестр_ЧС!$L$2:$L$797,Анализ_ЧС!E$58,Реестр_ЧС!$K$2:$K$797,Анализ_ЧС!$A75)</f>
        <v>0</v>
      </c>
      <c r="F75" s="193">
        <f>COUNTIFS(Реестр_ЧС!$L$2:$L$797,Анализ_ЧС!F$58,Реестр_ЧС!$K$2:$K$797,Анализ_ЧС!$A75)</f>
        <v>1</v>
      </c>
      <c r="G75" s="193">
        <f>COUNTIFS(Реестр_ЧС!$L$2:$L$797,Анализ_ЧС!G$58,Реестр_ЧС!$K$2:$K$797,Анализ_ЧС!$A75)</f>
        <v>1</v>
      </c>
      <c r="H75" s="193">
        <f>COUNTIFS(Реестр_ЧС!$L$2:$L$797,Анализ_ЧС!H$58,Реестр_ЧС!$K$2:$K$797,Анализ_ЧС!$A75)</f>
        <v>1</v>
      </c>
      <c r="I75" s="193">
        <f>COUNTIFS(Реестр_ЧС!$L$2:$L$797,Анализ_ЧС!I$58,Реестр_ЧС!$K$2:$K$797,Анализ_ЧС!$A75)</f>
        <v>1</v>
      </c>
      <c r="J75" s="193">
        <f>COUNTIFS(Реестр_ЧС!$L$2:$L$797,Анализ_ЧС!J$58,Реестр_ЧС!$K$2:$K$797,Анализ_ЧС!$A75)</f>
        <v>1</v>
      </c>
      <c r="K75" s="193">
        <f>COUNTIFS(Реестр_ЧС!$L$2:$L$797,Анализ_ЧС!K$58,Реестр_ЧС!$K$2:$K$797,Анализ_ЧС!$A75)</f>
        <v>0</v>
      </c>
      <c r="L75" s="193">
        <f>COUNTIFS(Реестр_ЧС!$L$2:$L$797,Анализ_ЧС!L$58,Реестр_ЧС!$K$2:$K$797,Анализ_ЧС!$A75)</f>
        <v>4</v>
      </c>
      <c r="M75" s="194">
        <f t="shared" si="4"/>
        <v>19</v>
      </c>
    </row>
    <row r="76" spans="1:13" ht="15.75">
      <c r="A76" s="169">
        <v>2018</v>
      </c>
      <c r="B76" s="193">
        <f>COUNTIFS(Реестр_ЧС!$L$2:$L$797,Анализ_ЧС!B$58,Реестр_ЧС!$K$2:$K$797,Анализ_ЧС!$A76)</f>
        <v>2</v>
      </c>
      <c r="C76" s="193">
        <f>COUNTIFS(Реестр_ЧС!$L$2:$L$797,Анализ_ЧС!C$58,Реестр_ЧС!$K$2:$K$797,Анализ_ЧС!$A76)</f>
        <v>3</v>
      </c>
      <c r="D76" s="193">
        <f>COUNTIFS(Реестр_ЧС!$L$2:$L$797,Анализ_ЧС!D$58,Реестр_ЧС!$K$2:$K$797,Анализ_ЧС!$A76)</f>
        <v>1</v>
      </c>
      <c r="E76" s="193">
        <f>COUNTIFS(Реестр_ЧС!$L$2:$L$797,Анализ_ЧС!E$58,Реестр_ЧС!$K$2:$K$797,Анализ_ЧС!$A76)</f>
        <v>0</v>
      </c>
      <c r="F76" s="193">
        <f>COUNTIFS(Реестр_ЧС!$L$2:$L$797,Анализ_ЧС!F$58,Реестр_ЧС!$K$2:$K$797,Анализ_ЧС!$A76)</f>
        <v>0</v>
      </c>
      <c r="G76" s="193">
        <f>COUNTIFS(Реестр_ЧС!$L$2:$L$797,Анализ_ЧС!G$58,Реестр_ЧС!$K$2:$K$797,Анализ_ЧС!$A76)</f>
        <v>0</v>
      </c>
      <c r="H76" s="193">
        <f>COUNTIFS(Реестр_ЧС!$L$2:$L$797,Анализ_ЧС!H$58,Реестр_ЧС!$K$2:$K$797,Анализ_ЧС!$A76)</f>
        <v>0</v>
      </c>
      <c r="I76" s="193">
        <f>COUNTIFS(Реестр_ЧС!$L$2:$L$797,Анализ_ЧС!I$58,Реестр_ЧС!$K$2:$K$797,Анализ_ЧС!$A76)</f>
        <v>1</v>
      </c>
      <c r="J76" s="193">
        <f>COUNTIFS(Реестр_ЧС!$L$2:$L$797,Анализ_ЧС!J$58,Реестр_ЧС!$K$2:$K$797,Анализ_ЧС!$A76)</f>
        <v>0</v>
      </c>
      <c r="K76" s="193">
        <f>COUNTIFS(Реестр_ЧС!$L$2:$L$797,Анализ_ЧС!K$58,Реестр_ЧС!$K$2:$K$797,Анализ_ЧС!$A76)</f>
        <v>1</v>
      </c>
      <c r="L76" s="193">
        <f>COUNTIFS(Реестр_ЧС!$L$2:$L$797,Анализ_ЧС!L$58,Реестр_ЧС!$K$2:$K$797,Анализ_ЧС!$A76)</f>
        <v>0</v>
      </c>
      <c r="M76" s="194">
        <f t="shared" si="4"/>
        <v>8</v>
      </c>
    </row>
    <row r="77" spans="1:13" ht="15.75">
      <c r="A77" s="169">
        <v>2019</v>
      </c>
      <c r="B77" s="193">
        <f>COUNTIFS(Реестр_ЧС!$L$2:$L$797,Анализ_ЧС!B$58,Реестр_ЧС!$K$2:$K$797,Анализ_ЧС!$A77)</f>
        <v>2</v>
      </c>
      <c r="C77" s="193">
        <f>COUNTIFS(Реестр_ЧС!$L$2:$L$797,Анализ_ЧС!C$58,Реестр_ЧС!$K$2:$K$797,Анализ_ЧС!$A77)</f>
        <v>1</v>
      </c>
      <c r="D77" s="193">
        <f>COUNTIFS(Реестр_ЧС!$L$2:$L$797,Анализ_ЧС!D$58,Реестр_ЧС!$K$2:$K$797,Анализ_ЧС!$A77)</f>
        <v>2</v>
      </c>
      <c r="E77" s="193">
        <f>COUNTIFS(Реестр_ЧС!$L$2:$L$797,Анализ_ЧС!E$58,Реестр_ЧС!$K$2:$K$797,Анализ_ЧС!$A77)</f>
        <v>0</v>
      </c>
      <c r="F77" s="193">
        <f>COUNTIFS(Реестр_ЧС!$L$2:$L$797,Анализ_ЧС!F$58,Реестр_ЧС!$K$2:$K$797,Анализ_ЧС!$A77)</f>
        <v>1</v>
      </c>
      <c r="G77" s="193">
        <f>COUNTIFS(Реестр_ЧС!$L$2:$L$797,Анализ_ЧС!G$58,Реестр_ЧС!$K$2:$K$797,Анализ_ЧС!$A77)</f>
        <v>0</v>
      </c>
      <c r="H77" s="193">
        <f>COUNTIFS(Реестр_ЧС!$L$2:$L$797,Анализ_ЧС!H$58,Реестр_ЧС!$K$2:$K$797,Анализ_ЧС!$A77)</f>
        <v>0</v>
      </c>
      <c r="I77" s="193">
        <f>COUNTIFS(Реестр_ЧС!$L$2:$L$797,Анализ_ЧС!I$58,Реестр_ЧС!$K$2:$K$797,Анализ_ЧС!$A77)</f>
        <v>1</v>
      </c>
      <c r="J77" s="193">
        <f>COUNTIFS(Реестр_ЧС!$L$2:$L$797,Анализ_ЧС!J$58,Реестр_ЧС!$K$2:$K$797,Анализ_ЧС!$A77)</f>
        <v>1</v>
      </c>
      <c r="K77" s="193">
        <f>COUNTIFS(Реестр_ЧС!$L$2:$L$797,Анализ_ЧС!K$58,Реестр_ЧС!$K$2:$K$797,Анализ_ЧС!$A77)</f>
        <v>0</v>
      </c>
      <c r="L77" s="193">
        <f>COUNTIFS(Реестр_ЧС!$L$2:$L$797,Анализ_ЧС!L$58,Реестр_ЧС!$K$2:$K$797,Анализ_ЧС!$A77)</f>
        <v>7</v>
      </c>
      <c r="M77" s="194">
        <f t="shared" si="4"/>
        <v>15</v>
      </c>
    </row>
    <row r="78" spans="1:13" ht="15.75">
      <c r="A78" s="169">
        <v>2020</v>
      </c>
      <c r="B78" s="193">
        <f>COUNTIFS(Реестр_ЧС!$L$2:$L$797,Анализ_ЧС!B$58,Реестр_ЧС!$K$2:$K$797,Анализ_ЧС!$A78)</f>
        <v>0</v>
      </c>
      <c r="C78" s="193">
        <f>COUNTIFS(Реестр_ЧС!$L$2:$L$797,Анализ_ЧС!C$58,Реестр_ЧС!$K$2:$K$797,Анализ_ЧС!$A78)</f>
        <v>0</v>
      </c>
      <c r="D78" s="193">
        <f>COUNTIFS(Реестр_ЧС!$L$2:$L$797,Анализ_ЧС!D$58,Реестр_ЧС!$K$2:$K$797,Анализ_ЧС!$A78)</f>
        <v>0</v>
      </c>
      <c r="E78" s="193">
        <f>COUNTIFS(Реестр_ЧС!$L$2:$L$797,Анализ_ЧС!E$58,Реестр_ЧС!$K$2:$K$797,Анализ_ЧС!$A78)</f>
        <v>0</v>
      </c>
      <c r="F78" s="193">
        <f>COUNTIFS(Реестр_ЧС!$L$2:$L$797,Анализ_ЧС!F$58,Реестр_ЧС!$K$2:$K$797,Анализ_ЧС!$A78)</f>
        <v>0</v>
      </c>
      <c r="G78" s="193">
        <f>COUNTIFS(Реестр_ЧС!$L$2:$L$797,Анализ_ЧС!G$58,Реестр_ЧС!$K$2:$K$797,Анализ_ЧС!$A78)</f>
        <v>0</v>
      </c>
      <c r="H78" s="193">
        <f>COUNTIFS(Реестр_ЧС!$L$2:$L$797,Анализ_ЧС!H$58,Реестр_ЧС!$K$2:$K$797,Анализ_ЧС!$A78)</f>
        <v>0</v>
      </c>
      <c r="I78" s="193">
        <f>COUNTIFS(Реестр_ЧС!$L$2:$L$797,Анализ_ЧС!I$58,Реестр_ЧС!$K$2:$K$797,Анализ_ЧС!$A78)</f>
        <v>0</v>
      </c>
      <c r="J78" s="193">
        <f>COUNTIFS(Реестр_ЧС!$L$2:$L$797,Анализ_ЧС!J$58,Реестр_ЧС!$K$2:$K$797,Анализ_ЧС!$A78)</f>
        <v>0</v>
      </c>
      <c r="K78" s="193">
        <f>COUNTIFS(Реестр_ЧС!$L$2:$L$797,Анализ_ЧС!K$58,Реестр_ЧС!$K$2:$K$797,Анализ_ЧС!$A78)</f>
        <v>1</v>
      </c>
      <c r="L78" s="193">
        <f>COUNTIFS(Реестр_ЧС!$L$2:$L$797,Анализ_ЧС!L$58,Реестр_ЧС!$K$2:$K$797,Анализ_ЧС!$A78)</f>
        <v>2</v>
      </c>
      <c r="M78" s="194">
        <f t="shared" si="4"/>
        <v>3</v>
      </c>
    </row>
    <row r="79" spans="1:13" ht="15.75">
      <c r="A79" s="169">
        <v>2021</v>
      </c>
      <c r="B79" s="193">
        <f>COUNTIFS(Реестр_ЧС!$L$2:$L$797,Анализ_ЧС!B$58,Реестр_ЧС!$K$2:$K$797,Анализ_ЧС!$A79)</f>
        <v>3</v>
      </c>
      <c r="C79" s="193">
        <f>COUNTIFS(Реестр_ЧС!$L$2:$L$797,Анализ_ЧС!C$58,Реестр_ЧС!$K$2:$K$797,Анализ_ЧС!$A79)</f>
        <v>1</v>
      </c>
      <c r="D79" s="193">
        <f>COUNTIFS(Реестр_ЧС!$L$2:$L$797,Анализ_ЧС!D$58,Реестр_ЧС!$K$2:$K$797,Анализ_ЧС!$A79)</f>
        <v>1</v>
      </c>
      <c r="E79" s="193">
        <f>COUNTIFS(Реестр_ЧС!$L$2:$L$797,Анализ_ЧС!E$58,Реестр_ЧС!$K$2:$K$797,Анализ_ЧС!$A79)</f>
        <v>0</v>
      </c>
      <c r="F79" s="193">
        <f>COUNTIFS(Реестр_ЧС!$L$2:$L$797,Анализ_ЧС!F$58,Реестр_ЧС!$K$2:$K$797,Анализ_ЧС!$A79)</f>
        <v>0</v>
      </c>
      <c r="G79" s="193">
        <f>COUNTIFS(Реестр_ЧС!$L$2:$L$797,Анализ_ЧС!G$58,Реестр_ЧС!$K$2:$K$797,Анализ_ЧС!$A79)</f>
        <v>0</v>
      </c>
      <c r="H79" s="193">
        <f>COUNTIFS(Реестр_ЧС!$L$2:$L$797,Анализ_ЧС!H$58,Реестр_ЧС!$K$2:$K$797,Анализ_ЧС!$A79)</f>
        <v>0</v>
      </c>
      <c r="I79" s="193">
        <f>COUNTIFS(Реестр_ЧС!$L$2:$L$797,Анализ_ЧС!I$58,Реестр_ЧС!$K$2:$K$797,Анализ_ЧС!$A79)</f>
        <v>0</v>
      </c>
      <c r="J79" s="193">
        <f>COUNTIFS(Реестр_ЧС!$L$2:$L$797,Анализ_ЧС!J$58,Реестр_ЧС!$K$2:$K$797,Анализ_ЧС!$A79)</f>
        <v>0</v>
      </c>
      <c r="K79" s="193">
        <f>COUNTIFS(Реестр_ЧС!$L$2:$L$797,Анализ_ЧС!K$58,Реестр_ЧС!$K$2:$K$797,Анализ_ЧС!$A79)</f>
        <v>0</v>
      </c>
      <c r="L79" s="193">
        <f>COUNTIFS(Реестр_ЧС!$L$2:$L$797,Анализ_ЧС!L$58,Реестр_ЧС!$K$2:$K$797,Анализ_ЧС!$A79)</f>
        <v>4</v>
      </c>
      <c r="M79" s="194">
        <f t="shared" si="4"/>
        <v>9</v>
      </c>
    </row>
    <row r="80" spans="1:13" ht="15.75">
      <c r="A80" s="169">
        <v>2022</v>
      </c>
      <c r="B80" s="193">
        <f>COUNTIFS(Реестр_ЧС!$L$2:$L$797,Анализ_ЧС!B$58,Реестр_ЧС!$K$2:$K$797,Анализ_ЧС!$A80)</f>
        <v>1</v>
      </c>
      <c r="C80" s="193">
        <f>COUNTIFS(Реестр_ЧС!$L$2:$L$797,Анализ_ЧС!C$58,Реестр_ЧС!$K$2:$K$797,Анализ_ЧС!$A80)</f>
        <v>0</v>
      </c>
      <c r="D80" s="193">
        <f>COUNTIFS(Реестр_ЧС!$L$2:$L$797,Анализ_ЧС!D$58,Реестр_ЧС!$K$2:$K$797,Анализ_ЧС!$A80)</f>
        <v>1</v>
      </c>
      <c r="E80" s="193">
        <f>COUNTIFS(Реестр_ЧС!$L$2:$L$797,Анализ_ЧС!E$58,Реестр_ЧС!$K$2:$K$797,Анализ_ЧС!$A80)</f>
        <v>1</v>
      </c>
      <c r="F80" s="193">
        <f>COUNTIFS(Реестр_ЧС!$L$2:$L$797,Анализ_ЧС!F$58,Реестр_ЧС!$K$2:$K$797,Анализ_ЧС!$A80)</f>
        <v>0</v>
      </c>
      <c r="G80" s="193">
        <f>COUNTIFS(Реестр_ЧС!$L$2:$L$797,Анализ_ЧС!G$58,Реестр_ЧС!$K$2:$K$797,Анализ_ЧС!$A80)</f>
        <v>0</v>
      </c>
      <c r="H80" s="193">
        <f>COUNTIFS(Реестр_ЧС!$L$2:$L$797,Анализ_ЧС!H$58,Реестр_ЧС!$K$2:$K$797,Анализ_ЧС!$A80)</f>
        <v>0</v>
      </c>
      <c r="I80" s="193">
        <f>COUNTIFS(Реестр_ЧС!$L$2:$L$797,Анализ_ЧС!I$58,Реестр_ЧС!$K$2:$K$797,Анализ_ЧС!$A80)</f>
        <v>1</v>
      </c>
      <c r="J80" s="193">
        <f>COUNTIFS(Реестр_ЧС!$L$2:$L$797,Анализ_ЧС!J$58,Реестр_ЧС!$K$2:$K$797,Анализ_ЧС!$A80)</f>
        <v>0</v>
      </c>
      <c r="K80" s="193">
        <f>COUNTIFS(Реестр_ЧС!$L$2:$L$797,Анализ_ЧС!K$58,Реестр_ЧС!$K$2:$K$797,Анализ_ЧС!$A80)</f>
        <v>0</v>
      </c>
      <c r="L80" s="193">
        <f>COUNTIFS(Реестр_ЧС!$L$2:$L$797,Анализ_ЧС!L$58,Реестр_ЧС!$K$2:$K$797,Анализ_ЧС!$A80)</f>
        <v>5</v>
      </c>
      <c r="M80" s="194">
        <f t="shared" si="4"/>
        <v>9</v>
      </c>
    </row>
    <row r="81" spans="1:13" ht="15.75">
      <c r="A81" s="169">
        <v>2023</v>
      </c>
      <c r="B81" s="193">
        <f>COUNTIFS(Реестр_ЧС!$L$2:$L$797,Анализ_ЧС!B$58,Реестр_ЧС!$K$2:$K$797,Анализ_ЧС!$A81)</f>
        <v>0</v>
      </c>
      <c r="C81" s="193">
        <f>COUNTIFS(Реестр_ЧС!$L$2:$L$797,Анализ_ЧС!C$58,Реестр_ЧС!$K$2:$K$797,Анализ_ЧС!$A81)</f>
        <v>0</v>
      </c>
      <c r="D81" s="193">
        <f>COUNTIFS(Реестр_ЧС!$L$2:$L$797,Анализ_ЧС!D$58,Реестр_ЧС!$K$2:$K$797,Анализ_ЧС!$A81)</f>
        <v>2</v>
      </c>
      <c r="E81" s="193">
        <f>COUNTIFS(Реестр_ЧС!$L$2:$L$797,Анализ_ЧС!E$58,Реестр_ЧС!$K$2:$K$797,Анализ_ЧС!$A81)</f>
        <v>0</v>
      </c>
      <c r="F81" s="193">
        <f>COUNTIFS(Реестр_ЧС!$L$2:$L$797,Анализ_ЧС!F$58,Реестр_ЧС!$K$2:$K$797,Анализ_ЧС!$A81)</f>
        <v>0</v>
      </c>
      <c r="G81" s="193">
        <f>COUNTIFS(Реестр_ЧС!$L$2:$L$797,Анализ_ЧС!G$58,Реестр_ЧС!$K$2:$K$797,Анализ_ЧС!$A81)</f>
        <v>0</v>
      </c>
      <c r="H81" s="193">
        <f>COUNTIFS(Реестр_ЧС!$L$2:$L$797,Анализ_ЧС!H$58,Реестр_ЧС!$K$2:$K$797,Анализ_ЧС!$A81)</f>
        <v>0</v>
      </c>
      <c r="I81" s="193">
        <f>COUNTIFS(Реестр_ЧС!$L$2:$L$797,Анализ_ЧС!I$58,Реестр_ЧС!$K$2:$K$797,Анализ_ЧС!$A81)</f>
        <v>1</v>
      </c>
      <c r="J81" s="193">
        <f>COUNTIFS(Реестр_ЧС!$L$2:$L$797,Анализ_ЧС!J$58,Реестр_ЧС!$K$2:$K$797,Анализ_ЧС!$A81)</f>
        <v>0</v>
      </c>
      <c r="K81" s="193">
        <f>COUNTIFS(Реестр_ЧС!$L$2:$L$797,Анализ_ЧС!K$58,Реестр_ЧС!$K$2:$K$797,Анализ_ЧС!$A81)</f>
        <v>0</v>
      </c>
      <c r="L81" s="193">
        <f>COUNTIFS(Реестр_ЧС!$L$2:$L$797,Анализ_ЧС!L$58,Реестр_ЧС!$K$2:$K$797,Анализ_ЧС!$A81)</f>
        <v>3</v>
      </c>
      <c r="M81" s="194">
        <f>SUM(B81:L81)</f>
        <v>6</v>
      </c>
    </row>
    <row r="82" spans="1:13" ht="15.75">
      <c r="A82" s="169">
        <v>2024</v>
      </c>
      <c r="B82" s="193">
        <f>COUNTIFS(Реестр_ЧС!$L$2:$L$797,Анализ_ЧС!B$58,Реестр_ЧС!$K$2:$K$797,Анализ_ЧС!$A82)</f>
        <v>1</v>
      </c>
      <c r="C82" s="193">
        <f>COUNTIFS(Реестр_ЧС!$L$2:$L$797,Анализ_ЧС!C$58,Реестр_ЧС!$K$2:$K$797,Анализ_ЧС!$A82)</f>
        <v>1</v>
      </c>
      <c r="D82" s="193">
        <f>COUNTIFS(Реестр_ЧС!$L$2:$L$797,Анализ_ЧС!D$58,Реестр_ЧС!$K$2:$K$797,Анализ_ЧС!$A82)</f>
        <v>0</v>
      </c>
      <c r="E82" s="193">
        <f>COUNTIFS(Реестр_ЧС!$L$2:$L$797,Анализ_ЧС!E$58,Реестр_ЧС!$K$2:$K$797,Анализ_ЧС!$A82)</f>
        <v>0</v>
      </c>
      <c r="F82" s="193">
        <f>COUNTIFS(Реестр_ЧС!$L$2:$L$797,Анализ_ЧС!F$58,Реестр_ЧС!$K$2:$K$797,Анализ_ЧС!$A82)</f>
        <v>1</v>
      </c>
      <c r="G82" s="193">
        <f>COUNTIFS(Реестр_ЧС!$L$2:$L$797,Анализ_ЧС!G$58,Реестр_ЧС!$K$2:$K$797,Анализ_ЧС!$A82)</f>
        <v>0</v>
      </c>
      <c r="H82" s="193">
        <f>COUNTIFS(Реестр_ЧС!$L$2:$L$797,Анализ_ЧС!H$58,Реестр_ЧС!$K$2:$K$797,Анализ_ЧС!$A82)</f>
        <v>0</v>
      </c>
      <c r="I82" s="193">
        <f>COUNTIFS(Реестр_ЧС!$L$2:$L$797,Анализ_ЧС!I$58,Реестр_ЧС!$K$2:$K$797,Анализ_ЧС!$A82)</f>
        <v>0</v>
      </c>
      <c r="J82" s="193">
        <f>COUNTIFS(Реестр_ЧС!$L$2:$L$797,Анализ_ЧС!J$58,Реестр_ЧС!$K$2:$K$797,Анализ_ЧС!$A82)</f>
        <v>0</v>
      </c>
      <c r="K82" s="193">
        <f>COUNTIFS(Реестр_ЧС!$L$2:$L$797,Анализ_ЧС!K$58,Реестр_ЧС!$K$2:$K$797,Анализ_ЧС!$A82)</f>
        <v>2</v>
      </c>
      <c r="L82" s="193">
        <f>COUNTIFS(Реестр_ЧС!$L$2:$L$797,Анализ_ЧС!L$58,Реестр_ЧС!$K$2:$K$797,Анализ_ЧС!$A82)</f>
        <v>4</v>
      </c>
      <c r="M82" s="194">
        <f t="shared" si="4"/>
        <v>9</v>
      </c>
    </row>
    <row r="83" spans="1:13" ht="15.75">
      <c r="A83" s="195">
        <v>2025</v>
      </c>
      <c r="B83" s="193">
        <f>COUNTIFS(Реестр_ЧС!$L$2:$L$797,Анализ_ЧС!B$58,Реестр_ЧС!$K$2:$K$797,Анализ_ЧС!$A83)</f>
        <v>1</v>
      </c>
      <c r="C83" s="193">
        <f>COUNTIFS(Реестр_ЧС!$L$2:$L$797,Анализ_ЧС!C$58,Реестр_ЧС!$K$2:$K$797,Анализ_ЧС!$A83)</f>
        <v>3</v>
      </c>
      <c r="D83" s="193">
        <f>COUNTIFS(Реестр_ЧС!$L$2:$L$797,Анализ_ЧС!D$58,Реестр_ЧС!$K$2:$K$797,Анализ_ЧС!$A83)</f>
        <v>0</v>
      </c>
      <c r="E83" s="193">
        <f>COUNTIFS(Реестр_ЧС!$L$2:$L$797,Анализ_ЧС!E$58,Реестр_ЧС!$K$2:$K$797,Анализ_ЧС!$A83)</f>
        <v>0</v>
      </c>
      <c r="F83" s="193">
        <f>COUNTIFS(Реестр_ЧС!$L$2:$L$797,Анализ_ЧС!F$58,Реестр_ЧС!$K$2:$K$797,Анализ_ЧС!$A83)</f>
        <v>0</v>
      </c>
      <c r="G83" s="193">
        <f>COUNTIFS(Реестр_ЧС!$L$2:$L$797,Анализ_ЧС!G$58,Реестр_ЧС!$K$2:$K$797,Анализ_ЧС!$A83)</f>
        <v>0</v>
      </c>
      <c r="H83" s="193">
        <f>COUNTIFS(Реестр_ЧС!$L$2:$L$797,Анализ_ЧС!H$58,Реестр_ЧС!$K$2:$K$797,Анализ_ЧС!$A83)</f>
        <v>1</v>
      </c>
      <c r="I83" s="193">
        <f>COUNTIFS(Реестр_ЧС!$L$2:$L$797,Анализ_ЧС!I$58,Реестр_ЧС!$K$2:$K$797,Анализ_ЧС!$A83)</f>
        <v>1</v>
      </c>
      <c r="J83" s="193">
        <f>COUNTIFS(Реестр_ЧС!$L$2:$L$797,Анализ_ЧС!J$58,Реестр_ЧС!$K$2:$K$797,Анализ_ЧС!$A83)</f>
        <v>0</v>
      </c>
      <c r="K83" s="193">
        <f>COUNTIFS(Реестр_ЧС!$L$2:$L$797,Анализ_ЧС!K$58,Реестр_ЧС!$K$2:$K$797,Анализ_ЧС!$A83)</f>
        <v>0</v>
      </c>
      <c r="L83" s="193">
        <f>COUNTIFS(Реестр_ЧС!$L$2:$L$797,Анализ_ЧС!L$58,Реестр_ЧС!$K$2:$K$797,Анализ_ЧС!$A83)</f>
        <v>1</v>
      </c>
      <c r="M83" s="194">
        <f t="shared" si="4"/>
        <v>7</v>
      </c>
    </row>
    <row r="84" spans="1:13" ht="15.75">
      <c r="A84" s="174" t="s">
        <v>6188</v>
      </c>
      <c r="B84" s="175">
        <f t="shared" ref="B84:M84" si="5">SUM(B59:B83)</f>
        <v>33</v>
      </c>
      <c r="C84" s="175">
        <f t="shared" si="5"/>
        <v>26</v>
      </c>
      <c r="D84" s="175">
        <f t="shared" si="5"/>
        <v>10</v>
      </c>
      <c r="E84" s="175">
        <f t="shared" si="5"/>
        <v>9</v>
      </c>
      <c r="F84" s="175">
        <f t="shared" si="5"/>
        <v>4</v>
      </c>
      <c r="G84" s="175">
        <f t="shared" si="5"/>
        <v>2</v>
      </c>
      <c r="H84" s="175">
        <f t="shared" si="5"/>
        <v>104</v>
      </c>
      <c r="I84" s="175">
        <f t="shared" si="5"/>
        <v>32</v>
      </c>
      <c r="J84" s="175">
        <f t="shared" si="5"/>
        <v>4</v>
      </c>
      <c r="K84" s="175">
        <f t="shared" si="5"/>
        <v>7</v>
      </c>
      <c r="L84" s="175">
        <f t="shared" si="5"/>
        <v>31</v>
      </c>
      <c r="M84" s="175">
        <f t="shared" si="5"/>
        <v>262</v>
      </c>
    </row>
    <row r="85" spans="1:13" ht="15.75">
      <c r="A85" s="257" t="s">
        <v>6192</v>
      </c>
      <c r="B85" s="258"/>
      <c r="C85" s="258"/>
      <c r="D85" s="258"/>
      <c r="E85" s="259"/>
      <c r="F85" s="165"/>
      <c r="G85" s="163"/>
      <c r="H85" s="163"/>
      <c r="I85" s="163"/>
      <c r="J85" s="163"/>
      <c r="K85" s="163"/>
      <c r="L85" s="163"/>
    </row>
    <row r="86" spans="1:13" ht="47.25">
      <c r="A86" s="164"/>
      <c r="B86" s="165" t="s">
        <v>5747</v>
      </c>
      <c r="C86" s="165" t="s">
        <v>5489</v>
      </c>
      <c r="D86" s="165" t="s">
        <v>5307</v>
      </c>
      <c r="E86" s="165" t="s">
        <v>5973</v>
      </c>
      <c r="F86" s="196" t="s">
        <v>6182</v>
      </c>
      <c r="G86" s="163"/>
      <c r="H86" s="163"/>
      <c r="I86" s="163"/>
      <c r="J86" s="163"/>
      <c r="K86" s="163"/>
      <c r="L86" s="163"/>
    </row>
    <row r="87" spans="1:13" ht="15.75">
      <c r="A87" s="169">
        <v>2001</v>
      </c>
      <c r="B87" s="197">
        <f>COUNTIFS(Реестр_ЧС!$L$2:$L$797,Анализ_ЧС!B$86,Реестр_ЧС!$K$2:$K$797,Анализ_ЧС!$A87)</f>
        <v>0</v>
      </c>
      <c r="C87" s="197">
        <f>COUNTIFS(Реестр_ЧС!$L$2:$L$797,Анализ_ЧС!C$86,Реестр_ЧС!$K$2:$K$797,Анализ_ЧС!$A87)</f>
        <v>0</v>
      </c>
      <c r="D87" s="197">
        <f>COUNTIFS(Реестр_ЧС!$L$2:$L$797,Анализ_ЧС!D$86,Реестр_ЧС!$K$2:$K$797,Анализ_ЧС!$A87)</f>
        <v>1</v>
      </c>
      <c r="E87" s="197">
        <f>COUNTIFS(Реестр_ЧС!$L$2:$L$797,Анализ_ЧС!E$86,Реестр_ЧС!$K$2:$K$797,Анализ_ЧС!$A87)</f>
        <v>0</v>
      </c>
      <c r="F87" s="166">
        <f>SUM(B87:E87)</f>
        <v>1</v>
      </c>
      <c r="G87" s="163"/>
      <c r="H87" s="163"/>
      <c r="I87" s="163"/>
      <c r="J87" s="163"/>
      <c r="K87" s="163"/>
      <c r="L87" s="163"/>
    </row>
    <row r="88" spans="1:13" ht="15.75">
      <c r="A88" s="169">
        <v>2002</v>
      </c>
      <c r="B88" s="197">
        <f>COUNTIFS(Реестр_ЧС!$L$2:$L$797,Анализ_ЧС!B$86,Реестр_ЧС!$K$2:$K$797,Анализ_ЧС!$A88)</f>
        <v>0</v>
      </c>
      <c r="C88" s="197">
        <f>COUNTIFS(Реестр_ЧС!$L$2:$L$797,Анализ_ЧС!C$86,Реестр_ЧС!$K$2:$K$797,Анализ_ЧС!$A88)</f>
        <v>0</v>
      </c>
      <c r="D88" s="197">
        <f>COUNTIFS(Реестр_ЧС!$L$2:$L$797,Анализ_ЧС!D$86,Реестр_ЧС!$K$2:$K$797,Анализ_ЧС!$A88)</f>
        <v>0</v>
      </c>
      <c r="E88" s="197">
        <f>COUNTIFS(Реестр_ЧС!$L$2:$L$797,Анализ_ЧС!E$86,Реестр_ЧС!$K$2:$K$797,Анализ_ЧС!$A88)</f>
        <v>0</v>
      </c>
      <c r="F88" s="166">
        <f t="shared" ref="F88:F111" si="6">SUM(B88:E88)</f>
        <v>0</v>
      </c>
      <c r="G88" s="163"/>
      <c r="H88" s="163"/>
      <c r="I88" s="163"/>
      <c r="J88" s="163"/>
      <c r="K88" s="163"/>
      <c r="L88" s="163"/>
    </row>
    <row r="89" spans="1:13" ht="15.75">
      <c r="A89" s="169">
        <v>2003</v>
      </c>
      <c r="B89" s="197">
        <f>COUNTIFS(Реестр_ЧС!$L$2:$L$797,Анализ_ЧС!B$86,Реестр_ЧС!$K$2:$K$797,Анализ_ЧС!$A89)</f>
        <v>0</v>
      </c>
      <c r="C89" s="197">
        <f>COUNTIFS(Реестр_ЧС!$L$2:$L$797,Анализ_ЧС!C$86,Реестр_ЧС!$K$2:$K$797,Анализ_ЧС!$A89)</f>
        <v>0</v>
      </c>
      <c r="D89" s="197">
        <f>COUNTIFS(Реестр_ЧС!$L$2:$L$797,Анализ_ЧС!D$86,Реестр_ЧС!$K$2:$K$797,Анализ_ЧС!$A89)</f>
        <v>1</v>
      </c>
      <c r="E89" s="197">
        <f>COUNTIFS(Реестр_ЧС!$L$2:$L$797,Анализ_ЧС!E$86,Реестр_ЧС!$K$2:$K$797,Анализ_ЧС!$A89)</f>
        <v>0</v>
      </c>
      <c r="F89" s="166">
        <f t="shared" si="6"/>
        <v>1</v>
      </c>
      <c r="G89" s="163"/>
      <c r="H89" s="163"/>
      <c r="I89" s="163"/>
      <c r="J89" s="163"/>
      <c r="K89" s="163"/>
      <c r="L89" s="163"/>
    </row>
    <row r="90" spans="1:13" ht="15.75">
      <c r="A90" s="169">
        <v>2004</v>
      </c>
      <c r="B90" s="197">
        <f>COUNTIFS(Реестр_ЧС!$L$2:$L$797,Анализ_ЧС!B$86,Реестр_ЧС!$K$2:$K$797,Анализ_ЧС!$A90)</f>
        <v>0</v>
      </c>
      <c r="C90" s="197">
        <f>COUNTIFS(Реестр_ЧС!$L$2:$L$797,Анализ_ЧС!C$86,Реестр_ЧС!$K$2:$K$797,Анализ_ЧС!$A90)</f>
        <v>0</v>
      </c>
      <c r="D90" s="197">
        <f>COUNTIFS(Реестр_ЧС!$L$2:$L$797,Анализ_ЧС!D$86,Реестр_ЧС!$K$2:$K$797,Анализ_ЧС!$A90)</f>
        <v>0</v>
      </c>
      <c r="E90" s="197">
        <f>COUNTIFS(Реестр_ЧС!$L$2:$L$797,Анализ_ЧС!E$86,Реестр_ЧС!$K$2:$K$797,Анализ_ЧС!$A90)</f>
        <v>0</v>
      </c>
      <c r="F90" s="166">
        <f t="shared" si="6"/>
        <v>0</v>
      </c>
      <c r="G90" s="163"/>
      <c r="H90" s="163"/>
      <c r="I90" s="163"/>
      <c r="J90" s="163"/>
      <c r="K90" s="163"/>
      <c r="L90" s="163"/>
    </row>
    <row r="91" spans="1:13" ht="15.75">
      <c r="A91" s="169">
        <v>2005</v>
      </c>
      <c r="B91" s="197">
        <f>COUNTIFS(Реестр_ЧС!$L$2:$L$797,Анализ_ЧС!B$86,Реестр_ЧС!$K$2:$K$797,Анализ_ЧС!$A91)</f>
        <v>0</v>
      </c>
      <c r="C91" s="197">
        <f>COUNTIFS(Реестр_ЧС!$L$2:$L$797,Анализ_ЧС!C$86,Реестр_ЧС!$K$2:$K$797,Анализ_ЧС!$A91)</f>
        <v>0</v>
      </c>
      <c r="D91" s="197">
        <f>COUNTIFS(Реестр_ЧС!$L$2:$L$797,Анализ_ЧС!D$86,Реестр_ЧС!$K$2:$K$797,Анализ_ЧС!$A91)</f>
        <v>1</v>
      </c>
      <c r="E91" s="197">
        <f>COUNTIFS(Реестр_ЧС!$L$2:$L$797,Анализ_ЧС!E$86,Реестр_ЧС!$K$2:$K$797,Анализ_ЧС!$A91)</f>
        <v>0</v>
      </c>
      <c r="F91" s="166">
        <f t="shared" si="6"/>
        <v>1</v>
      </c>
      <c r="G91" s="163"/>
      <c r="H91" s="163"/>
      <c r="I91" s="163"/>
      <c r="J91" s="163"/>
      <c r="K91" s="163"/>
      <c r="L91" s="163"/>
    </row>
    <row r="92" spans="1:13" ht="15.75">
      <c r="A92" s="169">
        <v>2006</v>
      </c>
      <c r="B92" s="197">
        <f>COUNTIFS(Реестр_ЧС!$L$2:$L$797,Анализ_ЧС!B$86,Реестр_ЧС!$K$2:$K$797,Анализ_ЧС!$A92)</f>
        <v>0</v>
      </c>
      <c r="C92" s="197">
        <f>COUNTIFS(Реестр_ЧС!$L$2:$L$797,Анализ_ЧС!C$86,Реестр_ЧС!$K$2:$K$797,Анализ_ЧС!$A92)</f>
        <v>0</v>
      </c>
      <c r="D92" s="197">
        <f>COUNTIFS(Реестр_ЧС!$L$2:$L$797,Анализ_ЧС!D$86,Реестр_ЧС!$K$2:$K$797,Анализ_ЧС!$A92)</f>
        <v>1</v>
      </c>
      <c r="E92" s="197">
        <f>COUNTIFS(Реестр_ЧС!$L$2:$L$797,Анализ_ЧС!E$86,Реестр_ЧС!$K$2:$K$797,Анализ_ЧС!$A92)</f>
        <v>0</v>
      </c>
      <c r="F92" s="166">
        <f t="shared" si="6"/>
        <v>1</v>
      </c>
      <c r="G92" s="163"/>
      <c r="H92" s="163"/>
      <c r="I92" s="163"/>
      <c r="J92" s="163"/>
      <c r="K92" s="163"/>
      <c r="L92" s="163"/>
    </row>
    <row r="93" spans="1:13" ht="15.75">
      <c r="A93" s="169">
        <v>2007</v>
      </c>
      <c r="B93" s="197">
        <f>COUNTIFS(Реестр_ЧС!$L$2:$L$797,Анализ_ЧС!B$86,Реестр_ЧС!$K$2:$K$797,Анализ_ЧС!$A93)</f>
        <v>0</v>
      </c>
      <c r="C93" s="197">
        <f>COUNTIFS(Реестр_ЧС!$L$2:$L$797,Анализ_ЧС!C$86,Реестр_ЧС!$K$2:$K$797,Анализ_ЧС!$A93)</f>
        <v>0</v>
      </c>
      <c r="D93" s="197">
        <f>COUNTIFS(Реестр_ЧС!$L$2:$L$797,Анализ_ЧС!D$86,Реестр_ЧС!$K$2:$K$797,Анализ_ЧС!$A93)</f>
        <v>0</v>
      </c>
      <c r="E93" s="197">
        <f>COUNTIFS(Реестр_ЧС!$L$2:$L$797,Анализ_ЧС!E$86,Реестр_ЧС!$K$2:$K$797,Анализ_ЧС!$A93)</f>
        <v>0</v>
      </c>
      <c r="F93" s="166">
        <f t="shared" si="6"/>
        <v>0</v>
      </c>
      <c r="G93" s="163"/>
      <c r="H93" s="163"/>
      <c r="I93" s="163"/>
      <c r="J93" s="163"/>
      <c r="K93" s="163"/>
      <c r="L93" s="163"/>
    </row>
    <row r="94" spans="1:13" ht="15.75">
      <c r="A94" s="169">
        <v>2008</v>
      </c>
      <c r="B94" s="197">
        <f>COUNTIFS(Реестр_ЧС!$L$2:$L$797,Анализ_ЧС!B$86,Реестр_ЧС!$K$2:$K$797,Анализ_ЧС!$A94)</f>
        <v>0</v>
      </c>
      <c r="C94" s="197">
        <f>COUNTIFS(Реестр_ЧС!$L$2:$L$797,Анализ_ЧС!C$86,Реестр_ЧС!$K$2:$K$797,Анализ_ЧС!$A94)</f>
        <v>22</v>
      </c>
      <c r="D94" s="197">
        <f>COUNTIFS(Реестр_ЧС!$L$2:$L$797,Анализ_ЧС!D$86,Реестр_ЧС!$K$2:$K$797,Анализ_ЧС!$A94)</f>
        <v>0</v>
      </c>
      <c r="E94" s="197">
        <f>COUNTIFS(Реестр_ЧС!$L$2:$L$797,Анализ_ЧС!E$86,Реестр_ЧС!$K$2:$K$797,Анализ_ЧС!$A94)</f>
        <v>0</v>
      </c>
      <c r="F94" s="166">
        <f t="shared" si="6"/>
        <v>22</v>
      </c>
      <c r="G94" s="163"/>
      <c r="H94" s="163"/>
      <c r="I94" s="163"/>
      <c r="J94" s="163"/>
      <c r="K94" s="163"/>
      <c r="L94" s="163"/>
    </row>
    <row r="95" spans="1:13" ht="15.75">
      <c r="A95" s="169">
        <v>2009</v>
      </c>
      <c r="B95" s="197">
        <f>COUNTIFS(Реестр_ЧС!$L$2:$L$797,Анализ_ЧС!B$86,Реестр_ЧС!$K$2:$K$797,Анализ_ЧС!$A95)</f>
        <v>0</v>
      </c>
      <c r="C95" s="197">
        <f>COUNTIFS(Реестр_ЧС!$L$2:$L$797,Анализ_ЧС!C$86,Реестр_ЧС!$K$2:$K$797,Анализ_ЧС!$A95)</f>
        <v>0</v>
      </c>
      <c r="D95" s="197">
        <f>COUNTIFS(Реестр_ЧС!$L$2:$L$797,Анализ_ЧС!D$86,Реестр_ЧС!$K$2:$K$797,Анализ_ЧС!$A95)</f>
        <v>0</v>
      </c>
      <c r="E95" s="197">
        <f>COUNTIFS(Реестр_ЧС!$L$2:$L$797,Анализ_ЧС!E$86,Реестр_ЧС!$K$2:$K$797,Анализ_ЧС!$A95)</f>
        <v>0</v>
      </c>
      <c r="F95" s="166">
        <f t="shared" si="6"/>
        <v>0</v>
      </c>
      <c r="G95" s="163"/>
      <c r="H95" s="163"/>
      <c r="I95" s="163"/>
      <c r="J95" s="163"/>
      <c r="K95" s="163"/>
      <c r="L95" s="163"/>
    </row>
    <row r="96" spans="1:13" ht="15.75">
      <c r="A96" s="169">
        <v>2010</v>
      </c>
      <c r="B96" s="197">
        <f>COUNTIFS(Реестр_ЧС!$L$2:$L$797,Анализ_ЧС!B$86,Реестр_ЧС!$K$2:$K$797,Анализ_ЧС!$A96)</f>
        <v>0</v>
      </c>
      <c r="C96" s="197">
        <f>COUNTIFS(Реестр_ЧС!$L$2:$L$797,Анализ_ЧС!C$86,Реестр_ЧС!$K$2:$K$797,Анализ_ЧС!$A96)</f>
        <v>0</v>
      </c>
      <c r="D96" s="197">
        <f>COUNTIFS(Реестр_ЧС!$L$2:$L$797,Анализ_ЧС!D$86,Реестр_ЧС!$K$2:$K$797,Анализ_ЧС!$A96)</f>
        <v>0</v>
      </c>
      <c r="E96" s="197">
        <f>COUNTIFS(Реестр_ЧС!$L$2:$L$797,Анализ_ЧС!E$86,Реестр_ЧС!$K$2:$K$797,Анализ_ЧС!$A96)</f>
        <v>0</v>
      </c>
      <c r="F96" s="166">
        <f t="shared" si="6"/>
        <v>0</v>
      </c>
      <c r="G96" s="163"/>
      <c r="H96" s="163"/>
      <c r="I96" s="163"/>
      <c r="J96" s="163"/>
      <c r="K96" s="163"/>
      <c r="L96" s="163"/>
    </row>
    <row r="97" spans="1:12" ht="15.75">
      <c r="A97" s="169">
        <v>2011</v>
      </c>
      <c r="B97" s="197">
        <f>COUNTIFS(Реестр_ЧС!$L$2:$L$797,Анализ_ЧС!B$86,Реестр_ЧС!$K$2:$K$797,Анализ_ЧС!$A97)</f>
        <v>0</v>
      </c>
      <c r="C97" s="197">
        <f>COUNTIFS(Реестр_ЧС!$L$2:$L$797,Анализ_ЧС!C$86,Реестр_ЧС!$K$2:$K$797,Анализ_ЧС!$A97)</f>
        <v>0</v>
      </c>
      <c r="D97" s="197">
        <f>COUNTIFS(Реестр_ЧС!$L$2:$L$797,Анализ_ЧС!D$86,Реестр_ЧС!$K$2:$K$797,Анализ_ЧС!$A97)</f>
        <v>0</v>
      </c>
      <c r="E97" s="197">
        <f>COUNTIFS(Реестр_ЧС!$L$2:$L$797,Анализ_ЧС!E$86,Реестр_ЧС!$K$2:$K$797,Анализ_ЧС!$A97)</f>
        <v>0</v>
      </c>
      <c r="F97" s="166">
        <f t="shared" si="6"/>
        <v>0</v>
      </c>
      <c r="G97" s="163"/>
      <c r="H97" s="163"/>
      <c r="I97" s="163"/>
      <c r="J97" s="163"/>
      <c r="K97" s="163"/>
      <c r="L97" s="163"/>
    </row>
    <row r="98" spans="1:12" ht="15.75">
      <c r="A98" s="169">
        <v>2012</v>
      </c>
      <c r="B98" s="197">
        <f>COUNTIFS(Реестр_ЧС!$L$2:$L$797,Анализ_ЧС!B$86,Реестр_ЧС!$K$2:$K$797,Анализ_ЧС!$A98)</f>
        <v>0</v>
      </c>
      <c r="C98" s="197">
        <f>COUNTIFS(Реестр_ЧС!$L$2:$L$797,Анализ_ЧС!C$86,Реестр_ЧС!$K$2:$K$797,Анализ_ЧС!$A98)</f>
        <v>0</v>
      </c>
      <c r="D98" s="197">
        <f>COUNTIFS(Реестр_ЧС!$L$2:$L$797,Анализ_ЧС!D$86,Реестр_ЧС!$K$2:$K$797,Анализ_ЧС!$A98)</f>
        <v>0</v>
      </c>
      <c r="E98" s="197">
        <f>COUNTIFS(Реестр_ЧС!$L$2:$L$797,Анализ_ЧС!E$86,Реестр_ЧС!$K$2:$K$797,Анализ_ЧС!$A98)</f>
        <v>0</v>
      </c>
      <c r="F98" s="166">
        <f t="shared" si="6"/>
        <v>0</v>
      </c>
      <c r="G98" s="163"/>
      <c r="H98" s="163"/>
      <c r="I98" s="163"/>
      <c r="J98" s="163"/>
      <c r="K98" s="163"/>
      <c r="L98" s="163"/>
    </row>
    <row r="99" spans="1:12" ht="15.75">
      <c r="A99" s="169">
        <v>2013</v>
      </c>
      <c r="B99" s="197">
        <f>COUNTIFS(Реестр_ЧС!$L$2:$L$797,Анализ_ЧС!B$86,Реестр_ЧС!$K$2:$K$797,Анализ_ЧС!$A99)</f>
        <v>0</v>
      </c>
      <c r="C99" s="197">
        <f>COUNTIFS(Реестр_ЧС!$L$2:$L$797,Анализ_ЧС!C$86,Реестр_ЧС!$K$2:$K$797,Анализ_ЧС!$A99)</f>
        <v>0</v>
      </c>
      <c r="D99" s="197">
        <f>COUNTIFS(Реестр_ЧС!$L$2:$L$797,Анализ_ЧС!D$86,Реестр_ЧС!$K$2:$K$797,Анализ_ЧС!$A99)</f>
        <v>0</v>
      </c>
      <c r="E99" s="197">
        <f>COUNTIFS(Реестр_ЧС!$L$2:$L$797,Анализ_ЧС!E$86,Реестр_ЧС!$K$2:$K$797,Анализ_ЧС!$A99)</f>
        <v>0</v>
      </c>
      <c r="F99" s="166">
        <f t="shared" si="6"/>
        <v>0</v>
      </c>
      <c r="G99" s="163"/>
      <c r="H99" s="163"/>
      <c r="I99" s="163"/>
      <c r="J99" s="163"/>
      <c r="K99" s="163"/>
      <c r="L99" s="163"/>
    </row>
    <row r="100" spans="1:12" ht="15.75">
      <c r="A100" s="169">
        <v>2014</v>
      </c>
      <c r="B100" s="197">
        <f>COUNTIFS(Реестр_ЧС!$L$2:$L$797,Анализ_ЧС!B$86,Реестр_ЧС!$K$2:$K$797,Анализ_ЧС!$A100)</f>
        <v>0</v>
      </c>
      <c r="C100" s="197">
        <f>COUNTIFS(Реестр_ЧС!$L$2:$L$797,Анализ_ЧС!C$86,Реестр_ЧС!$K$2:$K$797,Анализ_ЧС!$A100)</f>
        <v>0</v>
      </c>
      <c r="D100" s="197">
        <f>COUNTIFS(Реестр_ЧС!$L$2:$L$797,Анализ_ЧС!D$86,Реестр_ЧС!$K$2:$K$797,Анализ_ЧС!$A100)</f>
        <v>0</v>
      </c>
      <c r="E100" s="197">
        <f>COUNTIFS(Реестр_ЧС!$L$2:$L$797,Анализ_ЧС!E$86,Реестр_ЧС!$K$2:$K$797,Анализ_ЧС!$A100)</f>
        <v>0</v>
      </c>
      <c r="F100" s="166">
        <f t="shared" si="6"/>
        <v>0</v>
      </c>
      <c r="G100" s="163"/>
      <c r="H100" s="163"/>
      <c r="I100" s="163"/>
      <c r="J100" s="163"/>
      <c r="K100" s="163"/>
      <c r="L100" s="163"/>
    </row>
    <row r="101" spans="1:12" ht="15.75">
      <c r="A101" s="169">
        <v>2015</v>
      </c>
      <c r="B101" s="197">
        <f>COUNTIFS(Реестр_ЧС!$L$2:$L$797,Анализ_ЧС!B$86,Реестр_ЧС!$K$2:$K$797,Анализ_ЧС!$A101)</f>
        <v>0</v>
      </c>
      <c r="C101" s="197">
        <f>COUNTIFS(Реестр_ЧС!$L$2:$L$797,Анализ_ЧС!C$86,Реестр_ЧС!$K$2:$K$797,Анализ_ЧС!$A101)</f>
        <v>0</v>
      </c>
      <c r="D101" s="197">
        <f>COUNTIFS(Реестр_ЧС!$L$2:$L$797,Анализ_ЧС!D$86,Реестр_ЧС!$K$2:$K$797,Анализ_ЧС!$A101)</f>
        <v>0</v>
      </c>
      <c r="E101" s="197">
        <f>COUNTIFS(Реестр_ЧС!$L$2:$L$797,Анализ_ЧС!E$86,Реестр_ЧС!$K$2:$K$797,Анализ_ЧС!$A101)</f>
        <v>0</v>
      </c>
      <c r="F101" s="166">
        <f t="shared" si="6"/>
        <v>0</v>
      </c>
      <c r="G101" s="163"/>
      <c r="H101" s="163"/>
      <c r="I101" s="163"/>
      <c r="J101" s="163"/>
      <c r="K101" s="163"/>
      <c r="L101" s="163"/>
    </row>
    <row r="102" spans="1:12" ht="15.75">
      <c r="A102" s="169">
        <v>2016</v>
      </c>
      <c r="B102" s="197">
        <f>COUNTIFS(Реестр_ЧС!$L$2:$L$797,Анализ_ЧС!B$86,Реестр_ЧС!$K$2:$K$797,Анализ_ЧС!$A102)</f>
        <v>0</v>
      </c>
      <c r="C102" s="197">
        <f>COUNTIFS(Реестр_ЧС!$L$2:$L$797,Анализ_ЧС!C$86,Реестр_ЧС!$K$2:$K$797,Анализ_ЧС!$A102)</f>
        <v>0</v>
      </c>
      <c r="D102" s="197">
        <f>COUNTIFS(Реестр_ЧС!$L$2:$L$797,Анализ_ЧС!D$86,Реестр_ЧС!$K$2:$K$797,Анализ_ЧС!$A102)</f>
        <v>0</v>
      </c>
      <c r="E102" s="197">
        <f>COUNTIFS(Реестр_ЧС!$L$2:$L$797,Анализ_ЧС!E$86,Реестр_ЧС!$K$2:$K$797,Анализ_ЧС!$A102)</f>
        <v>0</v>
      </c>
      <c r="F102" s="166">
        <f t="shared" si="6"/>
        <v>0</v>
      </c>
      <c r="G102" s="163"/>
      <c r="H102" s="163"/>
      <c r="I102" s="163"/>
      <c r="J102" s="163"/>
      <c r="K102" s="163"/>
      <c r="L102" s="163"/>
    </row>
    <row r="103" spans="1:12" ht="15.75">
      <c r="A103" s="169">
        <v>2017</v>
      </c>
      <c r="B103" s="197">
        <f>COUNTIFS(Реестр_ЧС!$L$2:$L$797,Анализ_ЧС!B$86,Реестр_ЧС!$K$2:$K$797,Анализ_ЧС!$A103)</f>
        <v>1</v>
      </c>
      <c r="C103" s="197">
        <f>COUNTIFS(Реестр_ЧС!$L$2:$L$797,Анализ_ЧС!C$86,Реестр_ЧС!$K$2:$K$797,Анализ_ЧС!$A103)</f>
        <v>0</v>
      </c>
      <c r="D103" s="197">
        <f>COUNTIFS(Реестр_ЧС!$L$2:$L$797,Анализ_ЧС!D$86,Реестр_ЧС!$K$2:$K$797,Анализ_ЧС!$A103)</f>
        <v>0</v>
      </c>
      <c r="E103" s="197">
        <f>COUNTIFS(Реестр_ЧС!$L$2:$L$797,Анализ_ЧС!E$86,Реестр_ЧС!$K$2:$K$797,Анализ_ЧС!$A103)</f>
        <v>0</v>
      </c>
      <c r="F103" s="166">
        <f t="shared" si="6"/>
        <v>1</v>
      </c>
      <c r="G103" s="163"/>
      <c r="H103" s="163"/>
      <c r="I103" s="163"/>
      <c r="J103" s="163"/>
      <c r="K103" s="163"/>
      <c r="L103" s="163"/>
    </row>
    <row r="104" spans="1:12" ht="15.75">
      <c r="A104" s="169">
        <v>2018</v>
      </c>
      <c r="B104" s="197">
        <f>COUNTIFS(Реестр_ЧС!$L$2:$L$797,Анализ_ЧС!B$86,Реестр_ЧС!$K$2:$K$797,Анализ_ЧС!$A104)</f>
        <v>0</v>
      </c>
      <c r="C104" s="197">
        <f>COUNTIFS(Реестр_ЧС!$L$2:$L$797,Анализ_ЧС!C$86,Реестр_ЧС!$K$2:$K$797,Анализ_ЧС!$A104)</f>
        <v>0</v>
      </c>
      <c r="D104" s="197">
        <f>COUNTIFS(Реестр_ЧС!$L$2:$L$797,Анализ_ЧС!D$86,Реестр_ЧС!$K$2:$K$797,Анализ_ЧС!$A104)</f>
        <v>0</v>
      </c>
      <c r="E104" s="197">
        <f>COUNTIFS(Реестр_ЧС!$L$2:$L$797,Анализ_ЧС!E$86,Реестр_ЧС!$K$2:$K$797,Анализ_ЧС!$A104)</f>
        <v>0</v>
      </c>
      <c r="F104" s="166">
        <f t="shared" si="6"/>
        <v>0</v>
      </c>
      <c r="G104" s="163"/>
      <c r="H104" s="163"/>
      <c r="I104" s="163"/>
      <c r="J104" s="163"/>
      <c r="K104" s="163"/>
      <c r="L104" s="163"/>
    </row>
    <row r="105" spans="1:12" ht="15.75">
      <c r="A105" s="169">
        <v>2019</v>
      </c>
      <c r="B105" s="197">
        <f>COUNTIFS(Реестр_ЧС!$L$2:$L$797,Анализ_ЧС!B$86,Реестр_ЧС!$K$2:$K$797,Анализ_ЧС!$A105)</f>
        <v>0</v>
      </c>
      <c r="C105" s="197">
        <f>COUNTIFS(Реестр_ЧС!$L$2:$L$797,Анализ_ЧС!C$86,Реестр_ЧС!$K$2:$K$797,Анализ_ЧС!$A105)</f>
        <v>0</v>
      </c>
      <c r="D105" s="197">
        <f>COUNTIFS(Реестр_ЧС!$L$2:$L$797,Анализ_ЧС!D$86,Реестр_ЧС!$K$2:$K$797,Анализ_ЧС!$A105)</f>
        <v>0</v>
      </c>
      <c r="E105" s="197">
        <f>COUNTIFS(Реестр_ЧС!$L$2:$L$797,Анализ_ЧС!E$86,Реестр_ЧС!$K$2:$K$797,Анализ_ЧС!$A105)</f>
        <v>0</v>
      </c>
      <c r="F105" s="166">
        <f t="shared" si="6"/>
        <v>0</v>
      </c>
      <c r="G105" s="163"/>
      <c r="H105" s="163"/>
      <c r="I105" s="163"/>
      <c r="J105" s="163"/>
      <c r="K105" s="163"/>
      <c r="L105" s="163"/>
    </row>
    <row r="106" spans="1:12" ht="15.75">
      <c r="A106" s="169">
        <v>2020</v>
      </c>
      <c r="B106" s="197">
        <f>COUNTIFS(Реестр_ЧС!$L$2:$L$797,Анализ_ЧС!B$86,Реестр_ЧС!$K$2:$K$797,Анализ_ЧС!$A106)</f>
        <v>0</v>
      </c>
      <c r="C106" s="197">
        <f>COUNTIFS(Реестр_ЧС!$L$2:$L$797,Анализ_ЧС!C$86,Реестр_ЧС!$K$2:$K$797,Анализ_ЧС!$A106)</f>
        <v>0</v>
      </c>
      <c r="D106" s="197">
        <f>COUNTIFS(Реестр_ЧС!$L$2:$L$797,Анализ_ЧС!D$86,Реестр_ЧС!$K$2:$K$797,Анализ_ЧС!$A106)</f>
        <v>0</v>
      </c>
      <c r="E106" s="197">
        <f>COUNTIFS(Реестр_ЧС!$L$2:$L$797,Анализ_ЧС!E$86,Реестр_ЧС!$K$2:$K$797,Анализ_ЧС!$A106)</f>
        <v>0</v>
      </c>
      <c r="F106" s="166">
        <f t="shared" si="6"/>
        <v>0</v>
      </c>
      <c r="G106" s="163"/>
      <c r="H106" s="163"/>
      <c r="I106" s="163"/>
      <c r="J106" s="163"/>
      <c r="K106" s="163"/>
      <c r="L106" s="163"/>
    </row>
    <row r="107" spans="1:12" ht="15.75">
      <c r="A107" s="169">
        <v>2021</v>
      </c>
      <c r="B107" s="197">
        <f>COUNTIFS(Реестр_ЧС!$L$2:$L$797,Анализ_ЧС!B$86,Реестр_ЧС!$K$2:$K$797,Анализ_ЧС!$A107)</f>
        <v>2</v>
      </c>
      <c r="C107" s="197">
        <f>COUNTIFS(Реестр_ЧС!$L$2:$L$797,Анализ_ЧС!C$86,Реестр_ЧС!$K$2:$K$797,Анализ_ЧС!$A107)</f>
        <v>0</v>
      </c>
      <c r="D107" s="197">
        <f>COUNTIFS(Реестр_ЧС!$L$2:$L$797,Анализ_ЧС!D$86,Реестр_ЧС!$K$2:$K$797,Анализ_ЧС!$A107)</f>
        <v>0</v>
      </c>
      <c r="E107" s="197">
        <f>COUNTIFS(Реестр_ЧС!$L$2:$L$797,Анализ_ЧС!E$86,Реестр_ЧС!$K$2:$K$797,Анализ_ЧС!$A107)</f>
        <v>1</v>
      </c>
      <c r="F107" s="166">
        <f t="shared" si="6"/>
        <v>3</v>
      </c>
      <c r="G107" s="163"/>
      <c r="H107" s="163"/>
      <c r="I107" s="163"/>
      <c r="J107" s="163"/>
      <c r="K107" s="163"/>
      <c r="L107" s="163"/>
    </row>
    <row r="108" spans="1:12" ht="15.75">
      <c r="A108" s="169">
        <v>2022</v>
      </c>
      <c r="B108" s="197">
        <f>COUNTIFS(Реестр_ЧС!$L$2:$L$797,Анализ_ЧС!B$86,Реестр_ЧС!$K$2:$K$797,Анализ_ЧС!$A108)</f>
        <v>0</v>
      </c>
      <c r="C108" s="197">
        <f>COUNTIFS(Реестр_ЧС!$L$2:$L$797,Анализ_ЧС!C$86,Реестр_ЧС!$K$2:$K$797,Анализ_ЧС!$A108)</f>
        <v>0</v>
      </c>
      <c r="D108" s="197">
        <f>COUNTIFS(Реестр_ЧС!$L$2:$L$797,Анализ_ЧС!D$86,Реестр_ЧС!$K$2:$K$797,Анализ_ЧС!$A108)</f>
        <v>0</v>
      </c>
      <c r="E108" s="197">
        <f>COUNTIFS(Реестр_ЧС!$L$2:$L$797,Анализ_ЧС!E$86,Реестр_ЧС!$K$2:$K$797,Анализ_ЧС!$A108)</f>
        <v>1</v>
      </c>
      <c r="F108" s="166">
        <f t="shared" si="6"/>
        <v>1</v>
      </c>
      <c r="G108" s="163"/>
      <c r="H108" s="163"/>
      <c r="I108" s="163"/>
      <c r="J108" s="163"/>
      <c r="K108" s="163"/>
      <c r="L108" s="163"/>
    </row>
    <row r="109" spans="1:12" ht="15.75">
      <c r="A109" s="169">
        <v>2023</v>
      </c>
      <c r="B109" s="197">
        <f>COUNTIFS(Реестр_ЧС!$L$2:$L$797,Анализ_ЧС!B$86,Реестр_ЧС!$K$2:$K$797,Анализ_ЧС!$A109)</f>
        <v>1</v>
      </c>
      <c r="C109" s="197">
        <f>COUNTIFS(Реестр_ЧС!$L$2:$L$797,Анализ_ЧС!C$86,Реестр_ЧС!$K$2:$K$797,Анализ_ЧС!$A109)</f>
        <v>1</v>
      </c>
      <c r="D109" s="197">
        <f>COUNTIFS(Реестр_ЧС!$L$2:$L$797,Анализ_ЧС!D$86,Реестр_ЧС!$K$2:$K$797,Анализ_ЧС!$A109)</f>
        <v>0</v>
      </c>
      <c r="E109" s="197">
        <f>COUNTIFS(Реестр_ЧС!$L$2:$L$797,Анализ_ЧС!E$86,Реестр_ЧС!$K$2:$K$797,Анализ_ЧС!$A109)</f>
        <v>0</v>
      </c>
      <c r="F109" s="166">
        <f t="shared" si="6"/>
        <v>2</v>
      </c>
      <c r="G109" s="163"/>
      <c r="H109" s="163"/>
      <c r="I109" s="163"/>
      <c r="J109" s="163"/>
      <c r="K109" s="163"/>
      <c r="L109" s="163"/>
    </row>
    <row r="110" spans="1:12" ht="15.75">
      <c r="A110" s="195">
        <v>2024</v>
      </c>
      <c r="B110" s="197">
        <f>COUNTIFS(Реестр_ЧС!$L$2:$L$797,Анализ_ЧС!B$86,Реестр_ЧС!$K$2:$K$797,Анализ_ЧС!$A110)</f>
        <v>0</v>
      </c>
      <c r="C110" s="197">
        <f>COUNTIFS(Реестр_ЧС!$L$2:$L$797,Анализ_ЧС!C$86,Реестр_ЧС!$K$2:$K$797,Анализ_ЧС!$A110)</f>
        <v>0</v>
      </c>
      <c r="D110" s="197">
        <f>COUNTIFS(Реестр_ЧС!$L$2:$L$797,Анализ_ЧС!D$86,Реестр_ЧС!$K$2:$K$797,Анализ_ЧС!$A110)</f>
        <v>0</v>
      </c>
      <c r="E110" s="197">
        <f>COUNTIFS(Реестр_ЧС!$L$2:$L$797,Анализ_ЧС!E$86,Реестр_ЧС!$K$2:$K$797,Анализ_ЧС!$A110)</f>
        <v>0</v>
      </c>
      <c r="F110" s="166">
        <f t="shared" si="6"/>
        <v>0</v>
      </c>
      <c r="G110" s="163"/>
      <c r="H110" s="163"/>
      <c r="I110" s="163"/>
      <c r="J110" s="163"/>
      <c r="K110" s="163"/>
      <c r="L110" s="163"/>
    </row>
    <row r="111" spans="1:12" ht="15.75">
      <c r="A111" s="195">
        <v>2025</v>
      </c>
      <c r="B111" s="197">
        <f>COUNTIFS(Реестр_ЧС!$L$2:$L$797,Анализ_ЧС!B$86,Реестр_ЧС!$K$2:$K$797,Анализ_ЧС!$A111)</f>
        <v>0</v>
      </c>
      <c r="C111" s="197">
        <f>COUNTIFS(Реестр_ЧС!$L$2:$L$797,Анализ_ЧС!C$86,Реестр_ЧС!$K$2:$K$797,Анализ_ЧС!$A111)</f>
        <v>0</v>
      </c>
      <c r="D111" s="197">
        <f>COUNTIFS(Реестр_ЧС!$L$2:$L$797,Анализ_ЧС!D$86,Реестр_ЧС!$K$2:$K$797,Анализ_ЧС!$A111)</f>
        <v>1</v>
      </c>
      <c r="E111" s="197">
        <f>COUNTIFS(Реестр_ЧС!$L$2:$L$797,Анализ_ЧС!E$86,Реестр_ЧС!$K$2:$K$797,Анализ_ЧС!$A111)</f>
        <v>1</v>
      </c>
      <c r="F111" s="166">
        <f t="shared" si="6"/>
        <v>2</v>
      </c>
      <c r="G111" s="163"/>
      <c r="H111" s="163"/>
      <c r="I111" s="163"/>
      <c r="J111" s="163"/>
      <c r="K111" s="163"/>
      <c r="L111" s="163"/>
    </row>
    <row r="112" spans="1:12" ht="15.75">
      <c r="A112" s="174" t="s">
        <v>6188</v>
      </c>
      <c r="B112" s="175">
        <f>SUM(B87:B111)</f>
        <v>4</v>
      </c>
      <c r="C112" s="175">
        <f t="shared" ref="C112:F112" si="7">SUM(C87:C111)</f>
        <v>23</v>
      </c>
      <c r="D112" s="175">
        <f t="shared" si="7"/>
        <v>5</v>
      </c>
      <c r="E112" s="175">
        <f t="shared" si="7"/>
        <v>3</v>
      </c>
      <c r="F112" s="175">
        <f t="shared" si="7"/>
        <v>35</v>
      </c>
      <c r="G112" s="163"/>
      <c r="H112" s="163"/>
      <c r="I112" s="163"/>
      <c r="J112" s="163"/>
      <c r="K112" s="163"/>
      <c r="L112" s="163"/>
    </row>
    <row r="113" spans="1:12" ht="15.75">
      <c r="A113" s="198"/>
      <c r="B113" s="198"/>
      <c r="C113" s="198"/>
      <c r="D113" s="198"/>
      <c r="E113" s="198"/>
      <c r="F113" s="198"/>
      <c r="G113" s="198"/>
      <c r="H113" s="198"/>
      <c r="I113" s="198"/>
      <c r="J113" s="198"/>
      <c r="K113" s="198"/>
      <c r="L113" s="198"/>
    </row>
    <row r="114" spans="1:12" ht="15.75">
      <c r="A114" s="198"/>
      <c r="B114" s="263" t="s">
        <v>6193</v>
      </c>
      <c r="C114" s="263"/>
      <c r="D114" s="263"/>
      <c r="E114" s="263"/>
      <c r="F114" s="198"/>
      <c r="G114" s="198"/>
      <c r="H114" s="198"/>
      <c r="I114" s="198"/>
      <c r="J114" s="198"/>
      <c r="K114" s="198"/>
      <c r="L114" s="198"/>
    </row>
    <row r="115" spans="1:12" ht="15.75">
      <c r="A115" s="198"/>
      <c r="B115" s="198"/>
      <c r="C115" s="198"/>
      <c r="D115" s="198"/>
      <c r="E115" s="198"/>
      <c r="F115" s="198"/>
      <c r="G115" s="198"/>
      <c r="H115" s="198"/>
      <c r="I115" s="198"/>
      <c r="J115" s="198"/>
      <c r="K115" s="198"/>
      <c r="L115" s="198"/>
    </row>
    <row r="116" spans="1:12" ht="15.75">
      <c r="A116" s="198"/>
      <c r="B116" s="198"/>
      <c r="C116" s="198"/>
      <c r="D116" s="198"/>
      <c r="E116" s="198" t="s">
        <v>6194</v>
      </c>
      <c r="F116" s="198"/>
      <c r="G116" s="198"/>
      <c r="H116" s="198"/>
      <c r="I116" s="198"/>
      <c r="J116" s="198"/>
      <c r="K116" s="198"/>
      <c r="L116" s="198"/>
    </row>
    <row r="117" spans="1:12" ht="15.75">
      <c r="A117" s="198"/>
      <c r="B117" s="198"/>
      <c r="C117" s="198"/>
      <c r="D117" s="198"/>
      <c r="E117" s="198"/>
      <c r="F117" s="198"/>
      <c r="G117" s="198"/>
      <c r="H117" s="198"/>
      <c r="I117" s="198"/>
      <c r="J117" s="198"/>
      <c r="K117" s="198"/>
      <c r="L117" s="198"/>
    </row>
    <row r="118" spans="1:12" ht="15.75">
      <c r="A118" s="198"/>
      <c r="B118" s="198"/>
      <c r="C118" s="198"/>
      <c r="D118" s="198"/>
      <c r="E118" s="198"/>
      <c r="F118" s="198"/>
      <c r="G118" s="198"/>
      <c r="H118" s="198"/>
      <c r="I118" s="198"/>
      <c r="J118" s="198"/>
      <c r="K118" s="198"/>
      <c r="L118" s="198"/>
    </row>
    <row r="119" spans="1:12" ht="15.75">
      <c r="A119" s="198"/>
      <c r="B119" s="198"/>
      <c r="C119" s="198"/>
      <c r="D119" s="198"/>
      <c r="E119" s="198"/>
      <c r="F119" s="198"/>
      <c r="G119" s="198"/>
      <c r="H119" s="198"/>
      <c r="I119" s="198"/>
      <c r="J119" s="198"/>
      <c r="K119" s="198"/>
      <c r="L119" s="198"/>
    </row>
    <row r="120" spans="1:12" ht="15.75">
      <c r="A120" s="198"/>
      <c r="B120" s="198"/>
      <c r="C120" s="198"/>
      <c r="D120" s="198"/>
      <c r="E120" s="198"/>
      <c r="F120" s="198"/>
      <c r="G120" s="198"/>
      <c r="H120" s="198"/>
      <c r="I120" s="198"/>
      <c r="J120" s="198"/>
      <c r="K120" s="198"/>
      <c r="L120" s="198"/>
    </row>
    <row r="121" spans="1:12" ht="15.75">
      <c r="A121" s="198"/>
      <c r="B121" s="198"/>
      <c r="C121" s="198"/>
      <c r="D121" s="198"/>
      <c r="E121" s="198"/>
      <c r="F121" s="198"/>
      <c r="G121" s="198"/>
      <c r="H121" s="198"/>
      <c r="I121" s="198"/>
      <c r="J121" s="198"/>
      <c r="K121" s="198"/>
      <c r="L121" s="198"/>
    </row>
    <row r="122" spans="1:12" ht="15.75">
      <c r="A122" s="198"/>
      <c r="B122" s="198"/>
      <c r="C122" s="198"/>
      <c r="D122" s="198"/>
      <c r="E122" s="198"/>
      <c r="F122" s="198"/>
      <c r="G122" s="198"/>
      <c r="H122" s="198"/>
      <c r="I122" s="198"/>
      <c r="J122" s="198"/>
      <c r="K122" s="198"/>
      <c r="L122" s="198"/>
    </row>
    <row r="123" spans="1:12" ht="15.75">
      <c r="A123" s="198"/>
      <c r="B123" s="198"/>
      <c r="C123" s="198"/>
      <c r="D123" s="198"/>
      <c r="E123" s="198"/>
      <c r="F123" s="198"/>
      <c r="G123" s="198"/>
      <c r="H123" s="198"/>
      <c r="I123" s="198"/>
      <c r="J123" s="198"/>
      <c r="K123" s="198"/>
      <c r="L123" s="198"/>
    </row>
    <row r="124" spans="1:12" ht="15.75">
      <c r="A124" s="198"/>
      <c r="B124" s="198"/>
      <c r="C124" s="198"/>
      <c r="D124" s="198"/>
      <c r="E124" s="198"/>
      <c r="F124" s="198"/>
      <c r="G124" s="198"/>
      <c r="H124" s="198"/>
      <c r="I124" s="198"/>
      <c r="J124" s="198"/>
      <c r="K124" s="198"/>
      <c r="L124" s="198"/>
    </row>
    <row r="125" spans="1:12" ht="15.75">
      <c r="A125" s="198"/>
      <c r="B125" s="198"/>
      <c r="C125" s="198"/>
      <c r="D125" s="198"/>
      <c r="E125" s="198"/>
      <c r="F125" s="198"/>
      <c r="G125" s="198"/>
      <c r="H125" s="198"/>
      <c r="I125" s="198"/>
      <c r="J125" s="198"/>
      <c r="K125" s="198"/>
      <c r="L125" s="198"/>
    </row>
    <row r="126" spans="1:12" ht="15.75">
      <c r="A126" s="198"/>
      <c r="B126" s="198"/>
      <c r="C126" s="198"/>
      <c r="D126" s="198"/>
      <c r="E126" s="198"/>
      <c r="F126" s="198"/>
      <c r="G126" s="198"/>
      <c r="H126" s="198"/>
      <c r="I126" s="198"/>
      <c r="J126" s="198"/>
      <c r="K126" s="198"/>
      <c r="L126" s="198"/>
    </row>
    <row r="127" spans="1:12" ht="15.75">
      <c r="A127" s="198"/>
      <c r="B127" s="198"/>
      <c r="C127" s="198"/>
      <c r="D127" s="198"/>
      <c r="E127" s="198"/>
      <c r="F127" s="198"/>
      <c r="G127" s="198"/>
      <c r="H127" s="198"/>
      <c r="I127" s="198"/>
      <c r="J127" s="198"/>
      <c r="K127" s="198"/>
      <c r="L127" s="198"/>
    </row>
    <row r="128" spans="1:12" ht="15.75">
      <c r="A128" s="198"/>
      <c r="B128" s="198"/>
      <c r="C128" s="198"/>
      <c r="D128" s="198"/>
      <c r="E128" s="198"/>
      <c r="F128" s="198"/>
      <c r="G128" s="198"/>
      <c r="H128" s="198"/>
      <c r="I128" s="198"/>
      <c r="J128" s="198"/>
      <c r="K128" s="198"/>
      <c r="L128" s="198"/>
    </row>
    <row r="129" spans="1:12">
      <c r="A129" s="199"/>
      <c r="B129" s="200"/>
      <c r="C129" s="199"/>
      <c r="D129" s="199"/>
      <c r="E129" s="199"/>
      <c r="F129" s="199"/>
      <c r="G129" s="199"/>
      <c r="H129" s="199"/>
      <c r="I129" s="199"/>
      <c r="J129" s="199"/>
      <c r="K129" s="201"/>
      <c r="L129" s="201"/>
    </row>
    <row r="130" spans="1:12">
      <c r="A130" s="201"/>
      <c r="B130" s="202"/>
      <c r="C130" s="203"/>
      <c r="D130" s="203"/>
      <c r="E130" s="203"/>
      <c r="F130" s="204"/>
      <c r="G130" s="203"/>
      <c r="H130" s="203"/>
      <c r="I130" s="205"/>
      <c r="J130" s="199"/>
      <c r="K130" s="201"/>
      <c r="L130" s="201"/>
    </row>
    <row r="131" spans="1:12">
      <c r="A131" s="201"/>
      <c r="B131" s="202"/>
      <c r="C131" s="203"/>
      <c r="D131" s="203"/>
      <c r="E131" s="203"/>
      <c r="F131" s="204"/>
      <c r="G131" s="203"/>
      <c r="H131" s="203"/>
      <c r="I131" s="199"/>
      <c r="J131" s="199"/>
      <c r="K131" s="201"/>
      <c r="L131" s="201"/>
    </row>
    <row r="132" spans="1:12">
      <c r="A132" s="201"/>
      <c r="B132" s="202"/>
      <c r="C132" s="203"/>
      <c r="D132" s="203"/>
      <c r="E132" s="203"/>
      <c r="F132" s="204"/>
      <c r="G132" s="203"/>
      <c r="H132" s="203"/>
      <c r="I132" s="199"/>
      <c r="J132" s="199"/>
      <c r="K132" s="201"/>
      <c r="L132" s="201"/>
    </row>
    <row r="133" spans="1:12">
      <c r="A133" s="201"/>
      <c r="B133" s="202"/>
      <c r="C133" s="203"/>
      <c r="D133" s="203"/>
      <c r="E133" s="203"/>
      <c r="F133" s="204"/>
      <c r="G133" s="203"/>
      <c r="H133" s="203"/>
      <c r="I133" s="199"/>
      <c r="J133" s="199"/>
      <c r="K133" s="201"/>
      <c r="L133" s="201"/>
    </row>
    <row r="134" spans="1:12">
      <c r="A134" s="201"/>
      <c r="B134" s="202"/>
      <c r="C134" s="203"/>
      <c r="D134" s="203"/>
      <c r="E134" s="203"/>
      <c r="F134" s="204"/>
      <c r="G134" s="203"/>
      <c r="H134" s="203"/>
      <c r="I134" s="199"/>
      <c r="J134" s="199"/>
      <c r="K134" s="201"/>
      <c r="L134" s="201"/>
    </row>
    <row r="135" spans="1:12">
      <c r="A135" s="201"/>
      <c r="B135" s="202"/>
      <c r="C135" s="203"/>
      <c r="D135" s="203"/>
      <c r="E135" s="203"/>
      <c r="F135" s="204"/>
      <c r="G135" s="203"/>
      <c r="H135" s="203"/>
      <c r="I135" s="199"/>
      <c r="J135" s="199"/>
      <c r="K135" s="201"/>
      <c r="L135" s="201"/>
    </row>
    <row r="136" spans="1:12">
      <c r="A136" s="201"/>
      <c r="B136" s="202"/>
      <c r="C136" s="203"/>
      <c r="D136" s="203"/>
      <c r="E136" s="203"/>
      <c r="F136" s="204"/>
      <c r="G136" s="203"/>
      <c r="H136" s="203"/>
      <c r="I136" s="199"/>
      <c r="J136" s="199"/>
      <c r="K136" s="201"/>
      <c r="L136" s="201"/>
    </row>
    <row r="137" spans="1:12">
      <c r="A137" s="201"/>
      <c r="B137" s="202"/>
      <c r="C137" s="203"/>
      <c r="D137" s="203"/>
      <c r="E137" s="203"/>
      <c r="F137" s="204"/>
      <c r="G137" s="203"/>
      <c r="H137" s="203"/>
      <c r="I137" s="199"/>
      <c r="J137" s="199"/>
      <c r="K137" s="201"/>
      <c r="L137" s="201"/>
    </row>
    <row r="138" spans="1:12">
      <c r="A138" s="201"/>
      <c r="B138" s="202"/>
      <c r="C138" s="203"/>
      <c r="D138" s="203"/>
      <c r="E138" s="203"/>
      <c r="F138" s="204"/>
      <c r="G138" s="203"/>
      <c r="H138" s="203"/>
      <c r="I138" s="199"/>
      <c r="J138" s="199"/>
      <c r="K138" s="201"/>
      <c r="L138" s="201"/>
    </row>
    <row r="139" spans="1:12">
      <c r="A139" s="201"/>
      <c r="B139" s="202"/>
      <c r="C139" s="203"/>
      <c r="D139" s="203"/>
      <c r="E139" s="203"/>
      <c r="F139" s="204"/>
      <c r="G139" s="203"/>
      <c r="H139" s="203"/>
      <c r="I139" s="199"/>
      <c r="J139" s="199"/>
      <c r="K139" s="201"/>
      <c r="L139" s="201"/>
    </row>
    <row r="140" spans="1:12">
      <c r="A140" s="201"/>
      <c r="B140" s="202"/>
      <c r="C140" s="203"/>
      <c r="D140" s="203"/>
      <c r="E140" s="203"/>
      <c r="F140" s="204"/>
      <c r="G140" s="203"/>
      <c r="H140" s="203"/>
      <c r="I140" s="199"/>
      <c r="J140" s="199"/>
      <c r="K140" s="201"/>
      <c r="L140" s="201"/>
    </row>
    <row r="141" spans="1:12">
      <c r="A141" s="201"/>
      <c r="B141" s="202"/>
      <c r="C141" s="203"/>
      <c r="D141" s="203"/>
      <c r="E141" s="203"/>
      <c r="F141" s="204"/>
      <c r="G141" s="203"/>
      <c r="H141" s="203"/>
      <c r="I141" s="199"/>
      <c r="J141" s="199"/>
      <c r="K141" s="201"/>
      <c r="L141" s="201"/>
    </row>
  </sheetData>
  <mergeCells count="5">
    <mergeCell ref="A1:H1"/>
    <mergeCell ref="A29:F29"/>
    <mergeCell ref="A57:K57"/>
    <mergeCell ref="A85:E85"/>
    <mergeCell ref="B114:E114"/>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76AF-BE15-4D1B-A09B-69620E2F2C22}">
  <sheetPr>
    <tabColor rgb="FFFFC000"/>
  </sheetPr>
  <dimension ref="A1:P165"/>
  <sheetViews>
    <sheetView topLeftCell="F1" zoomScale="60" zoomScaleNormal="60" workbookViewId="0">
      <selection activeCell="H40" sqref="H40"/>
    </sheetView>
  </sheetViews>
  <sheetFormatPr defaultColWidth="10.7109375" defaultRowHeight="15.75"/>
  <cols>
    <col min="1" max="1" width="14.42578125" style="220" bestFit="1" customWidth="1"/>
    <col min="2" max="2" width="34.7109375" style="220" bestFit="1" customWidth="1"/>
    <col min="3" max="3" width="73.42578125" style="220" bestFit="1" customWidth="1"/>
    <col min="4" max="4" width="26.5703125" style="220" bestFit="1" customWidth="1"/>
    <col min="5" max="5" width="56.140625" style="220" customWidth="1"/>
    <col min="6" max="6" width="48" style="220" customWidth="1"/>
    <col min="7" max="7" width="26.5703125" style="220" customWidth="1"/>
    <col min="8" max="8" width="23" style="221" customWidth="1"/>
    <col min="9" max="9" width="30.140625" style="220" bestFit="1" customWidth="1"/>
    <col min="10" max="10" width="58.7109375" style="220" customWidth="1"/>
    <col min="11" max="11" width="139.85546875" style="220" customWidth="1"/>
    <col min="12" max="12" width="28.7109375" style="220" bestFit="1" customWidth="1"/>
    <col min="13" max="13" width="10.7109375" style="213"/>
    <col min="14" max="14" width="26.28515625" style="213" customWidth="1"/>
    <col min="15" max="16" width="10.7109375" style="213"/>
    <col min="17" max="16384" width="10.7109375" style="219"/>
  </cols>
  <sheetData>
    <row r="1" spans="1:16" s="211" customFormat="1" ht="47.25">
      <c r="A1" s="206" t="s">
        <v>5192</v>
      </c>
      <c r="B1" s="207" t="s">
        <v>5193</v>
      </c>
      <c r="C1" s="207" t="s">
        <v>5194</v>
      </c>
      <c r="D1" s="208" t="s">
        <v>5195</v>
      </c>
      <c r="E1" s="208" t="s">
        <v>3139</v>
      </c>
      <c r="F1" s="208" t="s">
        <v>3140</v>
      </c>
      <c r="G1" s="208" t="s">
        <v>6195</v>
      </c>
      <c r="H1" s="207" t="s">
        <v>4</v>
      </c>
      <c r="I1" s="206" t="s">
        <v>6196</v>
      </c>
      <c r="J1" s="206" t="s">
        <v>6197</v>
      </c>
      <c r="K1" s="206" t="s">
        <v>6198</v>
      </c>
      <c r="L1" s="207" t="s">
        <v>6199</v>
      </c>
      <c r="M1" s="209"/>
      <c r="N1" s="5" t="s">
        <v>6200</v>
      </c>
      <c r="O1" s="210">
        <f>COUNTIF(H:H,"#н/д")</f>
        <v>0</v>
      </c>
      <c r="P1" s="209"/>
    </row>
    <row r="2" spans="1:16" s="211" customFormat="1">
      <c r="A2" s="212">
        <v>45780</v>
      </c>
      <c r="B2" s="213" t="s">
        <v>6201</v>
      </c>
      <c r="C2" s="213" t="s">
        <v>6202</v>
      </c>
      <c r="D2" s="213" t="s">
        <v>301</v>
      </c>
      <c r="E2" s="213" t="str">
        <f>VLOOKUP(H2,[1]ОКТМО!B:J,6,0)</f>
        <v>Горный муниципальный район</v>
      </c>
      <c r="F2" s="213" t="str">
        <f>VLOOKUP(H2,[1]ОКТМО!B:J,9,0)</f>
        <v>Шологонский наслег</v>
      </c>
      <c r="G2" s="213" t="str">
        <f>VLOOKUP(H2,[1]ОКТМО!B:M,12,0)</f>
        <v>Ерт</v>
      </c>
      <c r="H2" s="214">
        <v>98620465101</v>
      </c>
      <c r="I2" s="213" t="s">
        <v>6203</v>
      </c>
      <c r="J2" s="213" t="s">
        <v>6204</v>
      </c>
      <c r="K2" s="213" t="s">
        <v>6205</v>
      </c>
      <c r="L2" s="213">
        <v>1022</v>
      </c>
      <c r="M2" s="209"/>
      <c r="N2" s="9" t="s">
        <v>6206</v>
      </c>
      <c r="O2" s="2">
        <f>COUNTIF(H:H,"не н.п.")</f>
        <v>0</v>
      </c>
      <c r="P2" s="209"/>
    </row>
    <row r="3" spans="1:16" s="211" customFormat="1">
      <c r="A3" s="212"/>
      <c r="B3" s="213"/>
      <c r="C3" s="213"/>
      <c r="D3" s="213"/>
      <c r="E3" s="213" t="str">
        <f>VLOOKUP(H3,[1]ОКТМО!B:J,6,0)</f>
        <v>Горный муниципальный район</v>
      </c>
      <c r="F3" s="213" t="str">
        <f>VLOOKUP(H3,[1]ОКТМО!B:J,9,0)</f>
        <v>Шологонский наслег</v>
      </c>
      <c r="G3" s="213" t="str">
        <f>VLOOKUP(H3,[1]ОКТМО!B:M,12,0)</f>
        <v>Ерт</v>
      </c>
      <c r="H3" s="214">
        <v>98620465101</v>
      </c>
      <c r="I3" s="213"/>
      <c r="J3" s="213"/>
      <c r="K3" s="213" t="s">
        <v>6207</v>
      </c>
      <c r="L3" s="213">
        <v>1022</v>
      </c>
      <c r="M3" s="209"/>
      <c r="N3" s="209"/>
      <c r="O3" s="209"/>
      <c r="P3" s="209"/>
    </row>
    <row r="4" spans="1:16" s="211" customFormat="1">
      <c r="A4" s="212">
        <v>45790</v>
      </c>
      <c r="B4" s="213" t="s">
        <v>6208</v>
      </c>
      <c r="C4" s="213" t="s">
        <v>6209</v>
      </c>
      <c r="D4" s="213" t="s">
        <v>6210</v>
      </c>
      <c r="E4" s="213" t="str">
        <f>VLOOKUP(H4,[1]ОКТМО!B:J,6,0)</f>
        <v>Мирнинский муниципальный район</v>
      </c>
      <c r="F4" s="213" t="str">
        <f>VLOOKUP(H4,[1]ОКТМО!B:J,9,0)</f>
        <v>Чуонинский наслег</v>
      </c>
      <c r="G4" s="213" t="str">
        <f>VLOOKUP(H4,[1]ОКТМО!B:M,12,0)</f>
        <v>Арылах</v>
      </c>
      <c r="H4" s="215">
        <v>98631450101</v>
      </c>
      <c r="I4" s="213" t="s">
        <v>6211</v>
      </c>
      <c r="J4" s="213" t="s">
        <v>6212</v>
      </c>
      <c r="K4" s="213" t="s">
        <v>6213</v>
      </c>
      <c r="L4" s="213">
        <v>40</v>
      </c>
      <c r="M4" s="209"/>
      <c r="N4" s="209"/>
      <c r="O4" s="209"/>
      <c r="P4" s="209"/>
    </row>
    <row r="5" spans="1:16" s="211" customFormat="1">
      <c r="A5" s="212"/>
      <c r="B5" s="213"/>
      <c r="C5" s="213"/>
      <c r="D5" s="213"/>
      <c r="E5" s="213" t="str">
        <f>VLOOKUP(H5,[1]ОКТМО!B:J,6,0)</f>
        <v>Мирнинский муниципальный район</v>
      </c>
      <c r="F5" s="213" t="str">
        <f>VLOOKUP(H5,[1]ОКТМО!B:J,9,0)</f>
        <v>Чуонинский наслег</v>
      </c>
      <c r="G5" s="213" t="str">
        <f>VLOOKUP(H5,[1]ОКТМО!B:M,12,0)</f>
        <v>Арылах</v>
      </c>
      <c r="H5" s="215">
        <v>98631450101</v>
      </c>
      <c r="I5" s="213"/>
      <c r="J5" s="213"/>
      <c r="K5" s="213" t="s">
        <v>6214</v>
      </c>
      <c r="L5" s="213">
        <v>40</v>
      </c>
      <c r="M5" s="209"/>
      <c r="N5" s="209"/>
      <c r="O5" s="209"/>
      <c r="P5" s="209"/>
    </row>
    <row r="6" spans="1:16" s="211" customFormat="1">
      <c r="A6" s="212"/>
      <c r="B6" s="213"/>
      <c r="C6" s="213"/>
      <c r="D6" s="213"/>
      <c r="E6" s="213" t="str">
        <f>VLOOKUP(H6,[1]ОКТМО!B:J,6,0)</f>
        <v>Мирнинский муниципальный район</v>
      </c>
      <c r="F6" s="213" t="str">
        <f>VLOOKUP(H6,[1]ОКТМО!B:J,9,0)</f>
        <v>Чуонинский наслег</v>
      </c>
      <c r="G6" s="213" t="str">
        <f>VLOOKUP(H6,[1]ОКТМО!B:M,12,0)</f>
        <v>Арылах</v>
      </c>
      <c r="H6" s="215">
        <v>98631450101</v>
      </c>
      <c r="I6" s="213"/>
      <c r="J6" s="213"/>
      <c r="K6" s="213" t="s">
        <v>6215</v>
      </c>
      <c r="L6" s="213">
        <v>40</v>
      </c>
      <c r="M6" s="209"/>
      <c r="N6" s="209"/>
      <c r="O6" s="209"/>
      <c r="P6" s="209"/>
    </row>
    <row r="7" spans="1:16" s="211" customFormat="1">
      <c r="A7" s="212"/>
      <c r="B7" s="213"/>
      <c r="C7" s="213"/>
      <c r="D7" s="213"/>
      <c r="E7" s="213" t="str">
        <f>VLOOKUP(H7,[1]ОКТМО!B:J,6,0)</f>
        <v>Мирнинский муниципальный район</v>
      </c>
      <c r="F7" s="213" t="str">
        <f>VLOOKUP(H7,[1]ОКТМО!B:J,9,0)</f>
        <v>Чуонинский наслег</v>
      </c>
      <c r="G7" s="213" t="str">
        <f>VLOOKUP(H7,[1]ОКТМО!B:M,12,0)</f>
        <v>Арылах</v>
      </c>
      <c r="H7" s="215">
        <v>98631450101</v>
      </c>
      <c r="I7" s="213"/>
      <c r="J7" s="213"/>
      <c r="K7" s="213" t="s">
        <v>6216</v>
      </c>
      <c r="L7" s="213">
        <v>40</v>
      </c>
      <c r="M7" s="209"/>
      <c r="N7" s="209"/>
      <c r="O7" s="209"/>
      <c r="P7" s="209"/>
    </row>
    <row r="8" spans="1:16" s="211" customFormat="1">
      <c r="A8" s="212"/>
      <c r="B8" s="213"/>
      <c r="C8" s="213"/>
      <c r="D8" s="213"/>
      <c r="E8" s="213" t="str">
        <f>VLOOKUP(H8,[1]ОКТМО!B:J,6,0)</f>
        <v>Мирнинский муниципальный район</v>
      </c>
      <c r="F8" s="213" t="str">
        <f>VLOOKUP(H8,[1]ОКТМО!B:J,9,0)</f>
        <v>Чуонинский наслег</v>
      </c>
      <c r="G8" s="213" t="str">
        <f>VLOOKUP(H8,[1]ОКТМО!B:M,12,0)</f>
        <v>Арылах</v>
      </c>
      <c r="H8" s="215">
        <v>98631450101</v>
      </c>
      <c r="I8" s="213"/>
      <c r="J8" s="213"/>
      <c r="K8" s="213" t="s">
        <v>6217</v>
      </c>
      <c r="L8" s="213">
        <v>40</v>
      </c>
      <c r="M8" s="209"/>
      <c r="N8" s="209"/>
      <c r="O8" s="209"/>
      <c r="P8" s="209"/>
    </row>
    <row r="9" spans="1:16" s="211" customFormat="1">
      <c r="A9" s="212"/>
      <c r="B9" s="213"/>
      <c r="C9" s="213"/>
      <c r="D9" s="213"/>
      <c r="E9" s="213" t="str">
        <f>VLOOKUP(H9,[1]ОКТМО!B:J,6,0)</f>
        <v>Мирнинский муниципальный район</v>
      </c>
      <c r="F9" s="213" t="str">
        <f>VLOOKUP(H9,[1]ОКТМО!B:J,9,0)</f>
        <v>Чуонинский наслег</v>
      </c>
      <c r="G9" s="213" t="str">
        <f>VLOOKUP(H9,[1]ОКТМО!B:M,12,0)</f>
        <v>Арылах</v>
      </c>
      <c r="H9" s="215">
        <v>98631450101</v>
      </c>
      <c r="I9" s="213"/>
      <c r="J9" s="213"/>
      <c r="K9" s="213" t="s">
        <v>6218</v>
      </c>
      <c r="L9" s="213">
        <v>40</v>
      </c>
      <c r="M9" s="209"/>
      <c r="N9" s="209"/>
      <c r="O9" s="209"/>
      <c r="P9" s="209"/>
    </row>
    <row r="10" spans="1:16" s="211" customFormat="1">
      <c r="A10" s="212"/>
      <c r="B10" s="213"/>
      <c r="C10" s="213"/>
      <c r="D10" s="213"/>
      <c r="E10" s="213" t="str">
        <f>VLOOKUP(H10,[1]ОКТМО!B:J,6,0)</f>
        <v>Мирнинский муниципальный район</v>
      </c>
      <c r="F10" s="213" t="str">
        <f>VLOOKUP(H10,[1]ОКТМО!B:J,9,0)</f>
        <v>Чуонинский наслег</v>
      </c>
      <c r="G10" s="213" t="str">
        <f>VLOOKUP(H10,[1]ОКТМО!B:M,12,0)</f>
        <v>Арылах</v>
      </c>
      <c r="H10" s="215">
        <v>98631450101</v>
      </c>
      <c r="I10" s="213"/>
      <c r="J10" s="213"/>
      <c r="K10" s="213" t="s">
        <v>6219</v>
      </c>
      <c r="L10" s="213">
        <v>40</v>
      </c>
      <c r="M10" s="209"/>
      <c r="N10" s="209"/>
      <c r="O10" s="209"/>
      <c r="P10" s="209"/>
    </row>
    <row r="11" spans="1:16" s="211" customFormat="1">
      <c r="A11" s="212"/>
      <c r="B11" s="213"/>
      <c r="C11" s="213"/>
      <c r="D11" s="213"/>
      <c r="E11" s="213" t="str">
        <f>VLOOKUP(H11,[1]ОКТМО!B:J,6,0)</f>
        <v>Мирнинский муниципальный район</v>
      </c>
      <c r="F11" s="213" t="str">
        <f>VLOOKUP(H11,[1]ОКТМО!B:J,9,0)</f>
        <v>Чуонинский наслег</v>
      </c>
      <c r="G11" s="213" t="str">
        <f>VLOOKUP(H11,[1]ОКТМО!B:M,12,0)</f>
        <v>Арылах</v>
      </c>
      <c r="H11" s="215">
        <v>98631450101</v>
      </c>
      <c r="I11" s="213"/>
      <c r="J11" s="213"/>
      <c r="K11" s="213" t="s">
        <v>6220</v>
      </c>
      <c r="L11" s="213">
        <v>40</v>
      </c>
      <c r="M11" s="209"/>
      <c r="N11" s="209"/>
      <c r="O11" s="209"/>
      <c r="P11" s="209"/>
    </row>
    <row r="12" spans="1:16" s="211" customFormat="1" ht="31.5">
      <c r="A12" s="212">
        <v>45797</v>
      </c>
      <c r="B12" s="213" t="s">
        <v>6221</v>
      </c>
      <c r="C12" s="213" t="s">
        <v>6222</v>
      </c>
      <c r="D12" s="213" t="s">
        <v>6223</v>
      </c>
      <c r="E12" s="213" t="str">
        <f>VLOOKUP(H12,[1]ОКТМО!B:J,6,0)</f>
        <v>Вилюйский муниципальный район</v>
      </c>
      <c r="F12" s="213" t="str">
        <f>VLOOKUP(H12,[1]ОКТМО!B:J,9,0)</f>
        <v>Халбакинский наслег</v>
      </c>
      <c r="G12" s="213" t="str">
        <f>VLOOKUP(H12,[1]ОКТМО!B:M,12,0)</f>
        <v>Староватово</v>
      </c>
      <c r="H12" s="214">
        <v>98618462106</v>
      </c>
      <c r="I12" s="213" t="s">
        <v>6224</v>
      </c>
      <c r="J12" s="213"/>
      <c r="K12" s="213"/>
      <c r="L12" s="213"/>
      <c r="M12" s="209"/>
      <c r="N12" s="209"/>
      <c r="O12" s="209"/>
      <c r="P12" s="209"/>
    </row>
    <row r="13" spans="1:16" s="211" customFormat="1">
      <c r="A13" s="212">
        <v>45797</v>
      </c>
      <c r="B13" s="213" t="s">
        <v>6225</v>
      </c>
      <c r="C13" s="213" t="s">
        <v>6226</v>
      </c>
      <c r="D13" s="213" t="s">
        <v>6227</v>
      </c>
      <c r="E13" s="213" t="str">
        <f>VLOOKUP(H13,[1]ОКТМО!B:J,6,0)</f>
        <v>Среднеколымский муниципальный район</v>
      </c>
      <c r="F13" s="213" t="str">
        <f>VLOOKUP(H13,[1]ОКТМО!B:J,9,0)</f>
        <v>город Среднеколымск</v>
      </c>
      <c r="G13" s="213" t="str">
        <f>VLOOKUP(H13,[1]ОКТМО!B:M,12,0)</f>
        <v>Среднеколымск</v>
      </c>
      <c r="H13" s="214">
        <v>98646101001</v>
      </c>
      <c r="I13" s="213" t="s">
        <v>6228</v>
      </c>
      <c r="J13" s="213"/>
      <c r="K13" s="213"/>
      <c r="L13" s="213">
        <v>1270</v>
      </c>
      <c r="M13" s="209"/>
      <c r="N13" s="209"/>
      <c r="O13" s="209"/>
      <c r="P13" s="209"/>
    </row>
    <row r="14" spans="1:16" s="211" customFormat="1">
      <c r="A14" s="212">
        <v>45810</v>
      </c>
      <c r="B14" s="213" t="s">
        <v>6225</v>
      </c>
      <c r="C14" s="213" t="s">
        <v>6229</v>
      </c>
      <c r="D14" s="213" t="s">
        <v>6230</v>
      </c>
      <c r="E14" s="213" t="str">
        <f>VLOOKUP(H14,[1]ОКТМО!B:J,6,0)</f>
        <v>Нижнеколымский муниципальный район</v>
      </c>
      <c r="F14" s="213" t="str">
        <f>VLOOKUP(H14,[1]ОКТМО!B:J,9,0)</f>
        <v>Походский наслег</v>
      </c>
      <c r="G14" s="213" t="str">
        <f>VLOOKUP(H14,[1]ОКТМО!B:M,12,0)</f>
        <v>Походск</v>
      </c>
      <c r="H14" s="214">
        <v>98637424101</v>
      </c>
      <c r="I14" s="213" t="s">
        <v>6231</v>
      </c>
      <c r="J14" s="213" t="s">
        <v>6232</v>
      </c>
      <c r="K14" s="213" t="s">
        <v>6233</v>
      </c>
      <c r="L14" s="213">
        <v>999</v>
      </c>
      <c r="M14" s="209"/>
      <c r="N14" s="209"/>
      <c r="O14" s="209"/>
      <c r="P14" s="209"/>
    </row>
    <row r="15" spans="1:16" s="211" customFormat="1">
      <c r="A15" s="212"/>
      <c r="B15" s="213"/>
      <c r="C15" s="213"/>
      <c r="D15" s="213"/>
      <c r="E15" s="213" t="str">
        <f>VLOOKUP(H15,[1]ОКТМО!B:J,6,0)</f>
        <v>Нижнеколымский муниципальный район</v>
      </c>
      <c r="F15" s="213" t="str">
        <f>VLOOKUP(H15,[1]ОКТМО!B:J,9,0)</f>
        <v>Походский наслег</v>
      </c>
      <c r="G15" s="213" t="str">
        <f>VLOOKUP(H15,[1]ОКТМО!B:M,12,0)</f>
        <v>Походск</v>
      </c>
      <c r="H15" s="214">
        <v>98637424101</v>
      </c>
      <c r="I15" s="213"/>
      <c r="J15" s="213"/>
      <c r="K15" s="213" t="s">
        <v>6234</v>
      </c>
      <c r="L15" s="213"/>
      <c r="M15" s="209"/>
      <c r="N15" s="209"/>
      <c r="O15" s="209"/>
      <c r="P15" s="209"/>
    </row>
    <row r="16" spans="1:16" s="211" customFormat="1" ht="63">
      <c r="A16" s="212">
        <v>45810</v>
      </c>
      <c r="B16" s="213" t="s">
        <v>6235</v>
      </c>
      <c r="C16" s="213" t="s">
        <v>6236</v>
      </c>
      <c r="D16" s="213" t="s">
        <v>314</v>
      </c>
      <c r="E16" s="213" t="str">
        <f>VLOOKUP(H16,[1]ОКТМО!B:J,6,0)</f>
        <v>Алданский муниципальный район</v>
      </c>
      <c r="F16" s="213" t="str">
        <f>VLOOKUP(H16,[1]ОКТМО!B:J,9,0)</f>
        <v>Чагдинский наслег</v>
      </c>
      <c r="G16" s="213" t="str">
        <f>VLOOKUP(H16,[1]ОКТМО!B:M,12,0)</f>
        <v>Чагда</v>
      </c>
      <c r="H16" s="214">
        <v>98603460101</v>
      </c>
      <c r="I16" s="213" t="s">
        <v>6237</v>
      </c>
      <c r="J16" s="213" t="s">
        <v>6238</v>
      </c>
      <c r="K16" s="213"/>
      <c r="L16" s="213">
        <v>1682</v>
      </c>
      <c r="M16" s="209"/>
      <c r="N16" s="209"/>
      <c r="O16" s="209"/>
      <c r="P16" s="209"/>
    </row>
    <row r="17" spans="1:16" s="211" customFormat="1">
      <c r="A17" s="212"/>
      <c r="B17" s="213"/>
      <c r="C17" s="213"/>
      <c r="D17" s="213"/>
      <c r="E17" s="213" t="str">
        <f>VLOOKUP(H17,[1]ОКТМО!B:J,6,0)</f>
        <v>Алданский муниципальный район</v>
      </c>
      <c r="F17" s="213" t="str">
        <f>VLOOKUP(H17,[1]ОКТМО!B:J,9,0)</f>
        <v>Чагдинский наслег</v>
      </c>
      <c r="G17" s="213" t="str">
        <f>VLOOKUP(H17,[1]ОКТМО!B:M,12,0)</f>
        <v>Чагда</v>
      </c>
      <c r="H17" s="214">
        <v>98603460101</v>
      </c>
      <c r="I17" s="213"/>
      <c r="J17" s="213"/>
      <c r="K17" s="213"/>
      <c r="L17" s="213"/>
      <c r="M17" s="209"/>
      <c r="N17" s="209"/>
      <c r="O17" s="209"/>
      <c r="P17" s="209"/>
    </row>
    <row r="18" spans="1:16" s="211" customFormat="1">
      <c r="A18" s="212">
        <v>45810</v>
      </c>
      <c r="B18" s="213" t="s">
        <v>6235</v>
      </c>
      <c r="C18" s="213" t="s">
        <v>6239</v>
      </c>
      <c r="D18" s="213" t="s">
        <v>6240</v>
      </c>
      <c r="E18" s="213" t="str">
        <f>VLOOKUP(H18,[1]ОКТМО!B:J,6,0)</f>
        <v>Усть-Майский муниципальный район</v>
      </c>
      <c r="F18" s="213" t="str">
        <f>VLOOKUP(H18,[1]ОКТМО!B:J,9,0)</f>
        <v>село Белькачи</v>
      </c>
      <c r="G18" s="213" t="str">
        <f>VLOOKUP(H18,[1]ОКТМО!B:M,12,0)</f>
        <v>Белькачи</v>
      </c>
      <c r="H18" s="214">
        <v>98654405101</v>
      </c>
      <c r="I18" s="213" t="s">
        <v>6241</v>
      </c>
      <c r="J18" s="213"/>
      <c r="K18" s="213"/>
      <c r="L18" s="213">
        <v>2316</v>
      </c>
      <c r="M18" s="209"/>
      <c r="N18" s="209"/>
      <c r="O18" s="209"/>
      <c r="P18" s="209"/>
    </row>
    <row r="19" spans="1:16" s="211" customFormat="1">
      <c r="A19" s="212">
        <v>45812</v>
      </c>
      <c r="B19" s="213" t="s">
        <v>6235</v>
      </c>
      <c r="C19" s="213" t="s">
        <v>6239</v>
      </c>
      <c r="D19" s="213" t="s">
        <v>6242</v>
      </c>
      <c r="E19" s="213" t="str">
        <f>VLOOKUP(H19,[1]ОКТМО!B:J,6,0)</f>
        <v>Усть-Майский муниципальный район</v>
      </c>
      <c r="F19" s="213" t="str">
        <f>VLOOKUP(H19,[1]ОКТМО!B:J,9,0)</f>
        <v>село Усть-Миль</v>
      </c>
      <c r="G19" s="213" t="str">
        <f>VLOOKUP(H19,[1]ОКТМО!B:M,12,0)</f>
        <v>Усть-Миль</v>
      </c>
      <c r="H19" s="214">
        <v>98654415101</v>
      </c>
      <c r="I19" s="213" t="s">
        <v>6243</v>
      </c>
      <c r="J19" s="213" t="s">
        <v>6244</v>
      </c>
      <c r="K19" s="213"/>
      <c r="L19" s="213">
        <v>1553</v>
      </c>
      <c r="M19" s="209"/>
      <c r="N19" s="209"/>
      <c r="O19" s="209"/>
      <c r="P19" s="209"/>
    </row>
    <row r="20" spans="1:16" s="211" customFormat="1" ht="63">
      <c r="A20" s="212">
        <v>45812</v>
      </c>
      <c r="B20" s="213" t="s">
        <v>6235</v>
      </c>
      <c r="C20" s="213" t="s">
        <v>6245</v>
      </c>
      <c r="D20" s="213" t="s">
        <v>6246</v>
      </c>
      <c r="E20" s="213" t="str">
        <f>VLOOKUP(H20,[1]ОКТМО!B:J,6,0)</f>
        <v>Усть-Майский муниципальный район</v>
      </c>
      <c r="F20" s="213" t="str">
        <f>VLOOKUP(H20,[1]ОКТМО!B:J,9,0)</f>
        <v>Эжанский национальный наслег</v>
      </c>
      <c r="G20" s="213" t="str">
        <f>VLOOKUP(H20,[1]ОКТМО!B:M,12,0)</f>
        <v>Эжанцы</v>
      </c>
      <c r="H20" s="214">
        <v>98654425101</v>
      </c>
      <c r="I20" s="213" t="s">
        <v>6247</v>
      </c>
      <c r="J20" s="213" t="s">
        <v>6248</v>
      </c>
      <c r="K20" s="213"/>
      <c r="L20" s="213">
        <v>1301</v>
      </c>
      <c r="M20" s="209"/>
      <c r="N20" s="209"/>
      <c r="O20" s="209"/>
      <c r="P20" s="209"/>
    </row>
    <row r="21" spans="1:16" s="211" customFormat="1">
      <c r="A21" s="212">
        <v>45812</v>
      </c>
      <c r="B21" s="213" t="s">
        <v>6235</v>
      </c>
      <c r="C21" s="213" t="s">
        <v>6239</v>
      </c>
      <c r="D21" s="213" t="s">
        <v>6249</v>
      </c>
      <c r="E21" s="213" t="str">
        <f>VLOOKUP(H21,[1]ОКТМО!B:J,6,0)</f>
        <v>Усть-Майский муниципальный район</v>
      </c>
      <c r="F21" s="213" t="str">
        <f>VLOOKUP(H21,[1]ОКТМО!B:J,9,0)</f>
        <v>поселок Эльдикан</v>
      </c>
      <c r="G21" s="213" t="str">
        <f>VLOOKUP(H21,[1]ОКТМО!B:M,12,0)</f>
        <v>Эльдикан</v>
      </c>
      <c r="H21" s="214">
        <v>98654164051</v>
      </c>
      <c r="I21" s="213" t="s">
        <v>6250</v>
      </c>
      <c r="J21" s="213" t="s">
        <v>6251</v>
      </c>
      <c r="K21" s="213"/>
      <c r="L21" s="213">
        <v>1516</v>
      </c>
      <c r="M21" s="209"/>
      <c r="N21" s="209"/>
      <c r="O21" s="209"/>
      <c r="P21" s="209"/>
    </row>
    <row r="22" spans="1:16" s="211" customFormat="1" ht="63">
      <c r="A22" s="212">
        <v>45812</v>
      </c>
      <c r="B22" s="213" t="s">
        <v>6252</v>
      </c>
      <c r="C22" s="213" t="s">
        <v>6253</v>
      </c>
      <c r="D22" s="213" t="s">
        <v>348</v>
      </c>
      <c r="E22" s="213" t="str">
        <f>VLOOKUP(H22,[1]ОКТМО!B:J,6,0)</f>
        <v>Усть-Майский муниципальный район</v>
      </c>
      <c r="F22" s="213" t="str">
        <f>VLOOKUP(H22,[1]ОКТМО!B:J,9,0)</f>
        <v>Кюпский эвенкийский национальный наслег</v>
      </c>
      <c r="G22" s="213" t="str">
        <f>VLOOKUP(H22,[1]ОКТМО!B:M,12,0)</f>
        <v>Кюпцы</v>
      </c>
      <c r="H22" s="214">
        <v>98654410101</v>
      </c>
      <c r="I22" s="213" t="s">
        <v>6254</v>
      </c>
      <c r="J22" s="213" t="s">
        <v>6255</v>
      </c>
      <c r="K22" s="213"/>
      <c r="L22" s="213">
        <v>1319</v>
      </c>
      <c r="M22" s="209"/>
      <c r="N22" s="209"/>
      <c r="O22" s="209"/>
      <c r="P22" s="209"/>
    </row>
    <row r="23" spans="1:16" s="211" customFormat="1">
      <c r="A23" s="212">
        <v>45812</v>
      </c>
      <c r="B23" s="213" t="s">
        <v>6235</v>
      </c>
      <c r="C23" s="213" t="s">
        <v>6239</v>
      </c>
      <c r="D23" s="213" t="s">
        <v>6256</v>
      </c>
      <c r="E23" s="213" t="str">
        <f>VLOOKUP(H23,[1]ОКТМО!B:J,6,0)</f>
        <v>Усть-Майский муниципальный район</v>
      </c>
      <c r="F23" s="213" t="str">
        <f>VLOOKUP(H23,[1]ОКТМО!B:J,9,0)</f>
        <v>поселок Усть-Мая</v>
      </c>
      <c r="G23" s="213" t="str">
        <f>VLOOKUP(H23,[1]ОКТМО!B:M,12,0)</f>
        <v>Усть-Мая</v>
      </c>
      <c r="H23" s="214">
        <v>98654151051</v>
      </c>
      <c r="I23" s="213" t="s">
        <v>6257</v>
      </c>
      <c r="J23" s="213" t="s">
        <v>6258</v>
      </c>
      <c r="K23" s="213"/>
      <c r="L23" s="213"/>
      <c r="M23" s="209"/>
      <c r="N23" s="209"/>
      <c r="O23" s="209"/>
      <c r="P23" s="209"/>
    </row>
    <row r="24" spans="1:16" s="211" customFormat="1">
      <c r="A24" s="212">
        <v>45814</v>
      </c>
      <c r="B24" s="213" t="s">
        <v>6235</v>
      </c>
      <c r="C24" s="213" t="s">
        <v>6259</v>
      </c>
      <c r="D24" s="213" t="s">
        <v>6260</v>
      </c>
      <c r="E24" s="213" t="str">
        <f>VLOOKUP(H24,[1]ОКТМО!B:J,6,0)</f>
        <v>Томпонский муниципальный район</v>
      </c>
      <c r="F24" s="213" t="str">
        <f>VLOOKUP(H24,[1]ОКТМО!B:J,9,0)</f>
        <v>Охот-Перевозовский наслег</v>
      </c>
      <c r="G24" s="213" t="str">
        <f>VLOOKUP(H24,[1]ОКТМО!B:M,12,0)</f>
        <v>Охотский-Перевоз</v>
      </c>
      <c r="H24" s="214">
        <v>98650425101</v>
      </c>
      <c r="I24" s="213" t="s">
        <v>6261</v>
      </c>
      <c r="J24" s="213"/>
      <c r="K24" s="213"/>
      <c r="L24" s="213">
        <v>1214</v>
      </c>
      <c r="M24" s="209"/>
      <c r="N24" s="209"/>
      <c r="O24" s="209"/>
      <c r="P24" s="209"/>
    </row>
    <row r="25" spans="1:16" s="211" customFormat="1">
      <c r="A25" s="212">
        <v>45851</v>
      </c>
      <c r="B25" s="213" t="s">
        <v>3208</v>
      </c>
      <c r="C25" s="213" t="s">
        <v>6262</v>
      </c>
      <c r="D25" s="213" t="s">
        <v>6263</v>
      </c>
      <c r="E25" s="213" t="str">
        <f>VLOOKUP(H25,[1]ОКТМО!B:J,6,0)</f>
        <v>Оймяконский муниципальный район</v>
      </c>
      <c r="F25" s="213" t="str">
        <f>VLOOKUP(H25,[1]ОКТМО!B:J,9,0)</f>
        <v>Сордоннохский национальный наслег</v>
      </c>
      <c r="G25" s="213" t="str">
        <f>VLOOKUP(H25,[1]ОКТМО!B:M,12,0)</f>
        <v>Орто-Балаган</v>
      </c>
      <c r="H25" s="214">
        <v>98639427101</v>
      </c>
      <c r="I25" s="213" t="s">
        <v>6264</v>
      </c>
      <c r="J25" s="213"/>
      <c r="K25" s="213"/>
      <c r="L25" s="213">
        <v>477</v>
      </c>
      <c r="M25" s="209"/>
      <c r="N25" s="209"/>
      <c r="O25" s="209"/>
      <c r="P25" s="209"/>
    </row>
    <row r="26" spans="1:16" s="211" customFormat="1">
      <c r="A26" s="212">
        <v>45853</v>
      </c>
      <c r="B26" s="213" t="s">
        <v>3208</v>
      </c>
      <c r="C26" s="213" t="s">
        <v>6265</v>
      </c>
      <c r="D26" s="213" t="s">
        <v>6266</v>
      </c>
      <c r="E26" s="213" t="str">
        <f>VLOOKUP(H26,[1]ОКТМО!B:J,6,0)</f>
        <v>Оймяконский муниципальный район</v>
      </c>
      <c r="F26" s="213" t="str">
        <f>VLOOKUP(H26,[1]ОКТМО!B:J,9,0)</f>
        <v>Борогонский 2-й наслег</v>
      </c>
      <c r="G26" s="213" t="str">
        <f>VLOOKUP(H26,[1]ОКТМО!B:M,12,0)</f>
        <v>Томтор</v>
      </c>
      <c r="H26" s="215">
        <v>98639410101</v>
      </c>
      <c r="I26" s="213" t="s">
        <v>6267</v>
      </c>
      <c r="J26" s="213"/>
      <c r="K26" s="213"/>
      <c r="L26" s="213">
        <v>477</v>
      </c>
      <c r="M26" s="209"/>
      <c r="N26" s="209"/>
      <c r="O26" s="209"/>
      <c r="P26" s="209"/>
    </row>
    <row r="27" spans="1:16" s="211" customFormat="1">
      <c r="A27" s="212">
        <v>45853</v>
      </c>
      <c r="B27" s="213" t="s">
        <v>3208</v>
      </c>
      <c r="C27" s="213" t="s">
        <v>6268</v>
      </c>
      <c r="D27" s="213" t="s">
        <v>6269</v>
      </c>
      <c r="E27" s="213" t="str">
        <f>VLOOKUP(H27,[1]ОКТМО!B:J,6,0)</f>
        <v>Оймяконский муниципальный район</v>
      </c>
      <c r="F27" s="213" t="str">
        <f>VLOOKUP(H27,[1]ОКТМО!B:J,9,0)</f>
        <v>поселок Усть-Нера</v>
      </c>
      <c r="G27" s="213" t="str">
        <f>VLOOKUP(H27,[1]ОКТМО!B:M,12,0)</f>
        <v>Усть-Нера</v>
      </c>
      <c r="H27" s="214">
        <v>98639151051</v>
      </c>
      <c r="I27" s="213" t="s">
        <v>6270</v>
      </c>
      <c r="J27" s="213"/>
      <c r="K27" s="213"/>
      <c r="L27" s="213">
        <v>477</v>
      </c>
      <c r="M27" s="209"/>
      <c r="N27" s="209"/>
      <c r="O27" s="209"/>
      <c r="P27" s="209"/>
    </row>
    <row r="28" spans="1:16" s="211" customFormat="1">
      <c r="A28" s="212">
        <v>45853</v>
      </c>
      <c r="B28" s="213" t="s">
        <v>3208</v>
      </c>
      <c r="C28" s="213" t="s">
        <v>6271</v>
      </c>
      <c r="D28" s="213" t="s">
        <v>6272</v>
      </c>
      <c r="E28" s="213" t="str">
        <f>VLOOKUP(H28,[1]ОКТМО!B:J,6,0)</f>
        <v>Оймяконский муниципальный район</v>
      </c>
      <c r="F28" s="213" t="str">
        <f>VLOOKUP(H28,[1]ОКТМО!B:J,9,0)</f>
        <v>Оймякон Полюс Холода</v>
      </c>
      <c r="G28" s="213" t="str">
        <f>VLOOKUP(H28,[1]ОКТМО!B:M,12,0)</f>
        <v>Оймякон</v>
      </c>
      <c r="H28" s="214">
        <v>98639405101</v>
      </c>
      <c r="I28" s="213" t="s">
        <v>6273</v>
      </c>
      <c r="J28" s="213"/>
      <c r="K28" s="213"/>
      <c r="L28" s="213">
        <v>477</v>
      </c>
      <c r="M28" s="209"/>
      <c r="N28" s="209"/>
      <c r="O28" s="209"/>
      <c r="P28" s="209"/>
    </row>
    <row r="29" spans="1:16" s="211" customFormat="1">
      <c r="A29" s="212">
        <v>45853</v>
      </c>
      <c r="B29" s="213" t="s">
        <v>3208</v>
      </c>
      <c r="C29" s="213" t="s">
        <v>6271</v>
      </c>
      <c r="D29" s="213" t="s">
        <v>6274</v>
      </c>
      <c r="E29" s="213" t="str">
        <f>VLOOKUP(H29,[1]ОКТМО!B:J,6,0)</f>
        <v>Оймяконский муниципальный район</v>
      </c>
      <c r="F29" s="213" t="str">
        <f>VLOOKUP(H29,[1]ОКТМО!B:J,9,0)</f>
        <v>Оймякон Полюс Холода</v>
      </c>
      <c r="G29" s="213" t="str">
        <f>VLOOKUP(H29,[1]ОКТМО!B:M,12,0)</f>
        <v>Берег-Юрдя</v>
      </c>
      <c r="H29" s="214">
        <v>98639405106</v>
      </c>
      <c r="I29" s="213" t="s">
        <v>6275</v>
      </c>
      <c r="J29" s="213"/>
      <c r="K29" s="213"/>
      <c r="L29" s="213"/>
      <c r="M29" s="209"/>
      <c r="N29" s="209"/>
      <c r="O29" s="209"/>
      <c r="P29" s="209"/>
    </row>
    <row r="30" spans="1:16" s="211" customFormat="1" ht="31.5">
      <c r="A30" s="212">
        <v>45853</v>
      </c>
      <c r="B30" s="213" t="s">
        <v>3208</v>
      </c>
      <c r="C30" s="213" t="s">
        <v>6271</v>
      </c>
      <c r="D30" s="213" t="s">
        <v>6276</v>
      </c>
      <c r="E30" s="213" t="str">
        <f>VLOOKUP(H30,[1]ОКТМО!B:J,6,0)</f>
        <v>Оймяконский муниципальный район</v>
      </c>
      <c r="F30" s="213" t="str">
        <f>VLOOKUP(H30,[1]ОКТМО!B:J,9,0)</f>
        <v>Оймякон Полюс Холода</v>
      </c>
      <c r="G30" s="213" t="str">
        <f>VLOOKUP(H30,[1]ОКТМО!B:M,12,0)</f>
        <v>Хара-Тумул</v>
      </c>
      <c r="H30" s="214">
        <v>98639405111</v>
      </c>
      <c r="I30" s="213" t="s">
        <v>6277</v>
      </c>
      <c r="J30" s="213"/>
      <c r="K30" s="213"/>
      <c r="L30" s="213"/>
      <c r="M30" s="209"/>
      <c r="N30" s="209"/>
      <c r="O30" s="209"/>
      <c r="P30" s="209"/>
    </row>
    <row r="31" spans="1:16" s="211" customFormat="1" ht="31.5">
      <c r="A31" s="216">
        <v>45853</v>
      </c>
      <c r="B31" s="213" t="s">
        <v>3208</v>
      </c>
      <c r="C31" s="213" t="s">
        <v>6278</v>
      </c>
      <c r="D31" s="213" t="s">
        <v>6279</v>
      </c>
      <c r="E31" s="213" t="str">
        <f>VLOOKUP(H31,[1]ОКТМО!B:J,6,0)</f>
        <v>Абыйский муниципальный район</v>
      </c>
      <c r="F31" s="213" t="str">
        <f>VLOOKUP(H31,[1]ОКТМО!B:J,9,0)</f>
        <v>Майорский национальный наслег</v>
      </c>
      <c r="G31" s="213" t="str">
        <f>VLOOKUP(H31,[1]ОКТМО!B:M,12,0)</f>
        <v>Куберганя</v>
      </c>
      <c r="H31" s="214">
        <v>98601409101</v>
      </c>
      <c r="I31" s="213" t="s">
        <v>6280</v>
      </c>
      <c r="J31" s="213"/>
      <c r="K31" s="213"/>
      <c r="L31" s="213">
        <v>1675</v>
      </c>
      <c r="M31" s="209"/>
      <c r="N31" s="209"/>
      <c r="O31" s="209"/>
      <c r="P31" s="209"/>
    </row>
    <row r="32" spans="1:16" s="211" customFormat="1">
      <c r="A32" s="212">
        <v>45856</v>
      </c>
      <c r="B32" s="213" t="s">
        <v>3208</v>
      </c>
      <c r="C32" s="213" t="s">
        <v>6281</v>
      </c>
      <c r="D32" s="213" t="s">
        <v>6282</v>
      </c>
      <c r="E32" s="213" t="str">
        <f>VLOOKUP(H32,[1]ОКТМО!B:J,6,0)</f>
        <v>Оймяконский муниципальный район</v>
      </c>
      <c r="F32" s="213" t="str">
        <f>VLOOKUP(H32,[1]ОКТМО!B:J,9,0)</f>
        <v>Терютский наслег</v>
      </c>
      <c r="G32" s="213" t="str">
        <f>VLOOKUP(H32,[1]ОКТМО!B:M,12,0)</f>
        <v>Терют</v>
      </c>
      <c r="H32" s="214">
        <v>98639432101</v>
      </c>
      <c r="I32" s="213" t="s">
        <v>6261</v>
      </c>
      <c r="J32" s="213"/>
      <c r="K32" s="213"/>
      <c r="L32" s="213"/>
      <c r="M32" s="209"/>
      <c r="N32" s="209"/>
      <c r="O32" s="209"/>
      <c r="P32" s="209"/>
    </row>
    <row r="33" spans="1:16" s="211" customFormat="1" ht="47.25">
      <c r="A33" s="212">
        <v>45856</v>
      </c>
      <c r="B33" s="213" t="s">
        <v>3208</v>
      </c>
      <c r="C33" s="213" t="s">
        <v>6283</v>
      </c>
      <c r="D33" s="213" t="s">
        <v>6284</v>
      </c>
      <c r="E33" s="213" t="str">
        <f>VLOOKUP(H33,[1]ОКТМО!B:J,6,0)</f>
        <v>Момский муниципальный район</v>
      </c>
      <c r="F33" s="213" t="str">
        <f>VLOOKUP(H33,[1]ОКТМО!B:J,9,0)</f>
        <v>Момский национальный наслег</v>
      </c>
      <c r="G33" s="213" t="str">
        <f>VLOOKUP(H33,[1]ОКТМО!B:M,12,0)</f>
        <v>Хонуу</v>
      </c>
      <c r="H33" s="214">
        <v>98633423101</v>
      </c>
      <c r="I33" s="213" t="s">
        <v>6285</v>
      </c>
      <c r="J33" s="213" t="s">
        <v>6286</v>
      </c>
      <c r="K33" s="213"/>
      <c r="L33" s="213">
        <v>477</v>
      </c>
      <c r="M33" s="209"/>
      <c r="N33" s="209"/>
      <c r="O33" s="209"/>
      <c r="P33" s="209"/>
    </row>
    <row r="34" spans="1:16" s="211" customFormat="1">
      <c r="A34" s="212">
        <v>45856</v>
      </c>
      <c r="B34" s="213" t="s">
        <v>3208</v>
      </c>
      <c r="C34" s="213" t="s">
        <v>6287</v>
      </c>
      <c r="D34" s="213" t="s">
        <v>6288</v>
      </c>
      <c r="E34" s="213" t="str">
        <f>VLOOKUP(H34,[1]ОКТМО!B:J,6,0)</f>
        <v>Момский муниципальный район</v>
      </c>
      <c r="F34" s="213" t="str">
        <f>VLOOKUP(H34,[1]ОКТМО!B:J,9,0)</f>
        <v>Индигирский национальный наслег</v>
      </c>
      <c r="G34" s="213" t="str">
        <f>VLOOKUP(H34,[1]ОКТМО!B:M,12,0)</f>
        <v>Буор-Сысы</v>
      </c>
      <c r="H34" s="214">
        <v>98633414101</v>
      </c>
      <c r="I34" s="213" t="s">
        <v>6289</v>
      </c>
      <c r="J34" s="213"/>
      <c r="K34" s="213"/>
      <c r="L34" s="213">
        <v>477</v>
      </c>
      <c r="M34" s="209"/>
      <c r="N34" s="209"/>
      <c r="O34" s="209"/>
      <c r="P34" s="209"/>
    </row>
    <row r="35" spans="1:16" s="211" customFormat="1">
      <c r="A35" s="212">
        <v>45856</v>
      </c>
      <c r="B35" s="213" t="s">
        <v>6290</v>
      </c>
      <c r="C35" s="213" t="s">
        <v>6291</v>
      </c>
      <c r="D35" s="213" t="s">
        <v>6292</v>
      </c>
      <c r="E35" s="213" t="str">
        <f>VLOOKUP(H35,[1]ОКТМО!B:J,6,0)</f>
        <v>Момский муниципальный район</v>
      </c>
      <c r="F35" s="213" t="str">
        <f>VLOOKUP(H35,[1]ОКТМО!B:J,9,0)</f>
        <v>Соболохский национальный наслег</v>
      </c>
      <c r="G35" s="213" t="str">
        <f>VLOOKUP(H35,[1]ОКТМО!B:M,12,0)</f>
        <v>Соболох</v>
      </c>
      <c r="H35" s="214">
        <v>98633428101</v>
      </c>
      <c r="I35" s="213" t="s">
        <v>6293</v>
      </c>
      <c r="J35" s="213" t="s">
        <v>6294</v>
      </c>
      <c r="K35" s="213"/>
      <c r="L35" s="213">
        <v>477</v>
      </c>
      <c r="M35" s="209"/>
      <c r="N35" s="209"/>
      <c r="O35" s="209"/>
      <c r="P35" s="209"/>
    </row>
    <row r="36" spans="1:16" s="211" customFormat="1">
      <c r="A36" s="212">
        <v>45888</v>
      </c>
      <c r="B36" s="213" t="s">
        <v>3208</v>
      </c>
      <c r="C36" s="213" t="s">
        <v>6295</v>
      </c>
      <c r="D36" s="213" t="s">
        <v>6272</v>
      </c>
      <c r="E36" s="213" t="str">
        <f>VLOOKUP(H36,[1]ОКТМО!B:J,6,0)</f>
        <v>Оймяконский муниципальный район</v>
      </c>
      <c r="F36" s="213" t="str">
        <f>VLOOKUP(H36,[1]ОКТМО!B:J,9,0)</f>
        <v>Оймякон Полюс Холода</v>
      </c>
      <c r="G36" s="213" t="str">
        <f>VLOOKUP(H36,[1]ОКТМО!B:M,12,0)</f>
        <v>Оймякон</v>
      </c>
      <c r="H36" s="214">
        <v>98639405101</v>
      </c>
      <c r="I36" s="213" t="s">
        <v>6296</v>
      </c>
      <c r="J36" s="213"/>
      <c r="K36" s="213"/>
      <c r="L36" s="213">
        <v>475</v>
      </c>
      <c r="M36" s="209"/>
      <c r="N36" s="209"/>
      <c r="O36" s="209"/>
      <c r="P36" s="209"/>
    </row>
    <row r="37" spans="1:16" s="211" customFormat="1" ht="47.25">
      <c r="A37" s="212">
        <v>45888</v>
      </c>
      <c r="B37" s="213" t="s">
        <v>3208</v>
      </c>
      <c r="C37" s="213" t="s">
        <v>6297</v>
      </c>
      <c r="D37" s="213" t="s">
        <v>6263</v>
      </c>
      <c r="E37" s="213" t="str">
        <f>VLOOKUP(H37,[1]ОКТМО!B:J,6,0)</f>
        <v>Оймяконский муниципальный район</v>
      </c>
      <c r="F37" s="213" t="str">
        <f>VLOOKUP(H37,[1]ОКТМО!B:J,9,0)</f>
        <v>Сордоннохский национальный наслег</v>
      </c>
      <c r="G37" s="213" t="str">
        <f>VLOOKUP(H37,[1]ОКТМО!B:M,12,0)</f>
        <v>Орто-Балаган</v>
      </c>
      <c r="H37" s="214">
        <v>98639427101</v>
      </c>
      <c r="I37" s="213" t="s">
        <v>6298</v>
      </c>
      <c r="J37" s="213" t="s">
        <v>6299</v>
      </c>
      <c r="K37" s="213"/>
      <c r="L37" s="213">
        <v>46</v>
      </c>
      <c r="M37" s="209"/>
      <c r="N37" s="209"/>
      <c r="O37" s="209"/>
      <c r="P37" s="209"/>
    </row>
    <row r="38" spans="1:16" s="211" customFormat="1">
      <c r="A38" s="212">
        <v>45424</v>
      </c>
      <c r="B38" s="213" t="s">
        <v>6300</v>
      </c>
      <c r="C38" s="213" t="s">
        <v>6301</v>
      </c>
      <c r="D38" s="213" t="s">
        <v>6302</v>
      </c>
      <c r="E38" s="213" t="str">
        <f>VLOOKUP(H38,[1]ОКТМО!B:J,6,0)</f>
        <v>Олекминский муниципальный район</v>
      </c>
      <c r="F38" s="213" t="str">
        <f>VLOOKUP(H38,[1]ОКТМО!B:J,9,0)</f>
        <v>Дельгейский наслег</v>
      </c>
      <c r="G38" s="213" t="str">
        <f>VLOOKUP(H38,[1]ОКТМО!B:M,12,0)</f>
        <v>Иннях</v>
      </c>
      <c r="H38" s="214">
        <v>98641415106</v>
      </c>
      <c r="I38" s="213" t="s">
        <v>6303</v>
      </c>
      <c r="J38" s="213"/>
      <c r="K38" s="213"/>
      <c r="L38" s="213"/>
      <c r="M38" s="209"/>
      <c r="N38" s="209"/>
      <c r="O38" s="209"/>
      <c r="P38" s="209"/>
    </row>
    <row r="39" spans="1:16" s="211" customFormat="1">
      <c r="A39" s="212">
        <v>45424</v>
      </c>
      <c r="B39" s="213" t="s">
        <v>6300</v>
      </c>
      <c r="C39" s="213" t="s">
        <v>6304</v>
      </c>
      <c r="D39" s="213" t="s">
        <v>54</v>
      </c>
      <c r="E39" s="213" t="str">
        <f>VLOOKUP(H39,[1]ОКТМО!B:J,6,0)</f>
        <v>Олекминский муниципальный район</v>
      </c>
      <c r="F39" s="213" t="str">
        <f>VLOOKUP(H39,[1]ОКТМО!B:J,9,0)</f>
        <v>Дельгейский наслег</v>
      </c>
      <c r="G39" s="213" t="str">
        <f>VLOOKUP(H39,[1]ОКТМО!B:M,12,0)</f>
        <v>Дельгей</v>
      </c>
      <c r="H39" s="214">
        <v>98641415101</v>
      </c>
      <c r="I39" s="213" t="s">
        <v>6305</v>
      </c>
      <c r="J39" s="213"/>
      <c r="K39" s="213"/>
      <c r="L39" s="213">
        <v>1120</v>
      </c>
      <c r="M39" s="209"/>
      <c r="N39" s="209"/>
      <c r="O39" s="209"/>
      <c r="P39" s="209"/>
    </row>
    <row r="40" spans="1:16" s="211" customFormat="1">
      <c r="A40" s="212">
        <v>45424</v>
      </c>
      <c r="B40" s="213" t="s">
        <v>6300</v>
      </c>
      <c r="C40" s="213" t="s">
        <v>6306</v>
      </c>
      <c r="D40" s="213" t="s">
        <v>6307</v>
      </c>
      <c r="E40" s="213" t="str">
        <f>VLOOKUP(H40,[1]ОКТМО!B:J,6,0)</f>
        <v>Олекминский муниципальный район</v>
      </c>
      <c r="F40" s="213" t="str">
        <f>VLOOKUP(H40,[1]ОКТМО!B:J,9,0)</f>
        <v>Нерюктяйинский 1-й наслег</v>
      </c>
      <c r="G40" s="213" t="str">
        <f>VLOOKUP(H40,[1]ОКТМО!B:M,12,0)</f>
        <v>Бирюк</v>
      </c>
      <c r="H40" s="214">
        <v>98641445106</v>
      </c>
      <c r="I40" s="213" t="s">
        <v>6308</v>
      </c>
      <c r="J40" s="213"/>
      <c r="K40" s="213"/>
      <c r="L40" s="213"/>
      <c r="M40" s="209"/>
      <c r="N40" s="209"/>
      <c r="O40" s="209"/>
      <c r="P40" s="209"/>
    </row>
    <row r="41" spans="1:16" s="211" customFormat="1">
      <c r="A41" s="212">
        <v>45424</v>
      </c>
      <c r="B41" s="213" t="s">
        <v>6300</v>
      </c>
      <c r="C41" s="213" t="s">
        <v>6306</v>
      </c>
      <c r="D41" s="213" t="s">
        <v>6309</v>
      </c>
      <c r="E41" s="213" t="str">
        <f>VLOOKUP(H41,[1]ОКТМО!B:J,6,0)</f>
        <v>Олекминский муниципальный район</v>
      </c>
      <c r="F41" s="213" t="str">
        <f>VLOOKUP(H41,[1]ОКТМО!B:J,9,0)</f>
        <v>Нерюктяйинский 1-й наслег</v>
      </c>
      <c r="G41" s="213" t="str">
        <f>VLOOKUP(H41,[1]ОКТМО!B:M,12,0)</f>
        <v>Нерюктяйинск 1-й</v>
      </c>
      <c r="H41" s="214">
        <v>98641445101</v>
      </c>
      <c r="I41" s="213" t="s">
        <v>6310</v>
      </c>
      <c r="J41" s="213"/>
      <c r="K41" s="213"/>
      <c r="L41" s="213"/>
      <c r="M41" s="209"/>
      <c r="N41" s="209"/>
      <c r="O41" s="209"/>
      <c r="P41" s="209"/>
    </row>
    <row r="42" spans="1:16" s="211" customFormat="1">
      <c r="A42" s="212">
        <v>45424</v>
      </c>
      <c r="B42" s="213" t="s">
        <v>6300</v>
      </c>
      <c r="C42" s="213" t="s">
        <v>6306</v>
      </c>
      <c r="D42" s="213" t="s">
        <v>6311</v>
      </c>
      <c r="E42" s="213" t="str">
        <f>VLOOKUP(H42,[1]ОКТМО!B:J,6,0)</f>
        <v>Олекминский муниципальный район</v>
      </c>
      <c r="F42" s="213" t="str">
        <f>VLOOKUP(H42,[1]ОКТМО!B:J,9,0)</f>
        <v>Нерюктяйинский 2-й наслег</v>
      </c>
      <c r="G42" s="213" t="str">
        <f>VLOOKUP(H42,[1]ОКТМО!B:M,12,0)</f>
        <v>Нерюктяйинск 2-й</v>
      </c>
      <c r="H42" s="214">
        <v>98641450101</v>
      </c>
      <c r="I42" s="213" t="s">
        <v>6312</v>
      </c>
      <c r="J42" s="213"/>
      <c r="K42" s="213"/>
      <c r="L42" s="213"/>
      <c r="M42" s="209"/>
      <c r="N42" s="209"/>
      <c r="O42" s="209"/>
      <c r="P42" s="209"/>
    </row>
    <row r="43" spans="1:16" s="211" customFormat="1">
      <c r="A43" s="212">
        <v>45424</v>
      </c>
      <c r="B43" s="213" t="s">
        <v>6300</v>
      </c>
      <c r="C43" s="213" t="s">
        <v>6306</v>
      </c>
      <c r="D43" s="213" t="s">
        <v>63</v>
      </c>
      <c r="E43" s="213" t="str">
        <f>VLOOKUP(H43,[1]ОКТМО!B:J,6,0)</f>
        <v>Олекминский муниципальный район</v>
      </c>
      <c r="F43" s="213" t="str">
        <f>VLOOKUP(H43,[1]ОКТМО!B:J,9,0)</f>
        <v>Кыллахский наслег</v>
      </c>
      <c r="G43" s="213" t="str">
        <f>VLOOKUP(H43,[1]ОКТМО!B:M,12,0)</f>
        <v>Кыллах</v>
      </c>
      <c r="H43" s="214">
        <v>98641430101</v>
      </c>
      <c r="I43" s="213" t="s">
        <v>6313</v>
      </c>
      <c r="J43" s="213"/>
      <c r="K43" s="213"/>
      <c r="L43" s="213"/>
      <c r="M43" s="209"/>
      <c r="N43" s="209"/>
      <c r="O43" s="209"/>
      <c r="P43" s="209"/>
    </row>
    <row r="44" spans="1:16" s="211" customFormat="1">
      <c r="A44" s="212">
        <v>45424</v>
      </c>
      <c r="B44" s="213" t="s">
        <v>6300</v>
      </c>
      <c r="C44" s="213" t="s">
        <v>6306</v>
      </c>
      <c r="D44" s="213" t="s">
        <v>72</v>
      </c>
      <c r="E44" s="213" t="str">
        <f>VLOOKUP(H44,[1]ОКТМО!B:J,6,0)</f>
        <v>Олекминский муниципальный район</v>
      </c>
      <c r="F44" s="213" t="str">
        <f>VLOOKUP(H44,[1]ОКТМО!B:J,9,0)</f>
        <v>Хоринский наслег</v>
      </c>
      <c r="G44" s="213" t="str">
        <f>VLOOKUP(H44,[1]ОКТМО!B:M,12,0)</f>
        <v>Хоринцы</v>
      </c>
      <c r="H44" s="214">
        <v>98641485101</v>
      </c>
      <c r="I44" s="213" t="s">
        <v>6314</v>
      </c>
      <c r="J44" s="213"/>
      <c r="K44" s="213"/>
      <c r="L44" s="213"/>
      <c r="M44" s="209"/>
      <c r="N44" s="209"/>
      <c r="O44" s="209"/>
      <c r="P44" s="209"/>
    </row>
    <row r="45" spans="1:16" s="211" customFormat="1">
      <c r="A45" s="212">
        <v>45424</v>
      </c>
      <c r="B45" s="213" t="s">
        <v>6300</v>
      </c>
      <c r="C45" s="213" t="s">
        <v>6306</v>
      </c>
      <c r="D45" s="213" t="s">
        <v>6315</v>
      </c>
      <c r="E45" s="213" t="str">
        <f>VLOOKUP(H45,[1]ОКТМО!B:J,6,0)</f>
        <v>Верхневилюйский муниципальный район</v>
      </c>
      <c r="F45" s="213" t="str">
        <f>VLOOKUP(H45,[1]ОКТМО!B:J,9,0)</f>
        <v>Балаганнахский наслег</v>
      </c>
      <c r="G45" s="213" t="str">
        <f>VLOOKUP(H45,[1]ОКТМО!B:M,12,0)</f>
        <v>Балаганнах</v>
      </c>
      <c r="H45" s="214">
        <v>98614402101</v>
      </c>
      <c r="I45" s="213" t="s">
        <v>6316</v>
      </c>
      <c r="J45" s="213"/>
      <c r="K45" s="213"/>
      <c r="L45" s="213"/>
      <c r="M45" s="209"/>
      <c r="N45" s="209"/>
      <c r="O45" s="209"/>
      <c r="P45" s="209"/>
    </row>
    <row r="46" spans="1:16" s="211" customFormat="1">
      <c r="A46" s="212">
        <v>45425</v>
      </c>
      <c r="B46" s="213" t="s">
        <v>6221</v>
      </c>
      <c r="C46" s="213" t="s">
        <v>6317</v>
      </c>
      <c r="D46" s="213" t="s">
        <v>6318</v>
      </c>
      <c r="E46" s="213" t="str">
        <f>VLOOKUP(H46,[1]ОКТМО!B:J,6,0)</f>
        <v>Нюрбинский муниципальный район</v>
      </c>
      <c r="F46" s="213" t="str">
        <f>VLOOKUP(H46,[1]ОКТМО!B:J,9,0)</f>
        <v>Жарханский наслег</v>
      </c>
      <c r="G46" s="213" t="str">
        <f>VLOOKUP(H46,[1]ОКТМО!B:M,12,0)</f>
        <v>Жархан</v>
      </c>
      <c r="H46" s="214">
        <v>98626415101</v>
      </c>
      <c r="I46" s="213" t="s">
        <v>6319</v>
      </c>
      <c r="J46" s="213"/>
      <c r="K46" s="213"/>
      <c r="L46" s="213"/>
      <c r="M46" s="209"/>
      <c r="N46" s="209"/>
      <c r="O46" s="209"/>
      <c r="P46" s="209"/>
    </row>
    <row r="47" spans="1:16" s="211" customFormat="1">
      <c r="A47" s="212">
        <v>45425</v>
      </c>
      <c r="B47" s="213" t="s">
        <v>6221</v>
      </c>
      <c r="C47" s="213" t="s">
        <v>6317</v>
      </c>
      <c r="D47" s="213" t="s">
        <v>6320</v>
      </c>
      <c r="E47" s="213" t="str">
        <f>VLOOKUP(H47,[1]ОКТМО!B:J,6,0)</f>
        <v>Нюрбинский муниципальный район</v>
      </c>
      <c r="F47" s="213" t="str">
        <f>VLOOKUP(H47,[1]ОКТМО!B:J,9,0)</f>
        <v>город Нюрба</v>
      </c>
      <c r="G47" s="213" t="str">
        <f>VLOOKUP(H47,[1]ОКТМО!B:M,12,0)</f>
        <v>Нюрба</v>
      </c>
      <c r="H47" s="214">
        <v>98626101001</v>
      </c>
      <c r="I47" s="213" t="s">
        <v>6321</v>
      </c>
      <c r="J47" s="213"/>
      <c r="K47" s="213"/>
      <c r="L47" s="213"/>
      <c r="M47" s="209"/>
      <c r="N47" s="209"/>
      <c r="O47" s="209"/>
      <c r="P47" s="209"/>
    </row>
    <row r="48" spans="1:16" s="211" customFormat="1" ht="31.5">
      <c r="A48" s="212">
        <v>45430</v>
      </c>
      <c r="B48" s="213" t="s">
        <v>6300</v>
      </c>
      <c r="C48" s="213" t="s">
        <v>6322</v>
      </c>
      <c r="D48" s="213" t="s">
        <v>170</v>
      </c>
      <c r="E48" s="213" t="str">
        <f>VLOOKUP(H48,[1]ОКТМО!B:J,6,0)</f>
        <v>Намский муниципальный район</v>
      </c>
      <c r="F48" s="213" t="str">
        <f>VLOOKUP(H48,[1]ОКТМО!B:J,9,0)</f>
        <v>Хомустахский 2-й наслег</v>
      </c>
      <c r="G48" s="213" t="str">
        <f>VLOOKUP(H48,[1]ОКТМО!B:M,12,0)</f>
        <v>Хатас</v>
      </c>
      <c r="H48" s="214">
        <v>98635466101</v>
      </c>
      <c r="I48" s="213" t="s">
        <v>6323</v>
      </c>
      <c r="J48" s="213"/>
      <c r="K48" s="213"/>
      <c r="L48" s="213"/>
      <c r="M48" s="209"/>
      <c r="N48" s="209"/>
      <c r="O48" s="209"/>
      <c r="P48" s="209"/>
    </row>
    <row r="49" spans="1:16" s="211" customFormat="1">
      <c r="A49" s="212">
        <v>45430</v>
      </c>
      <c r="B49" s="213" t="s">
        <v>6300</v>
      </c>
      <c r="C49" s="213" t="s">
        <v>6324</v>
      </c>
      <c r="D49" s="213" t="s">
        <v>173</v>
      </c>
      <c r="E49" s="213" t="str">
        <f>VLOOKUP(H49,[1]ОКТМО!B:J,6,0)</f>
        <v>Намский муниципальный район</v>
      </c>
      <c r="F49" s="213" t="str">
        <f>VLOOKUP(H49,[1]ОКТМО!B:J,9,0)</f>
        <v>Ленский наслег</v>
      </c>
      <c r="G49" s="213" t="str">
        <f>VLOOKUP(H49,[1]ОКТМО!B:M,12,0)</f>
        <v>Намцы</v>
      </c>
      <c r="H49" s="214">
        <v>98635425101</v>
      </c>
      <c r="I49" s="213" t="s">
        <v>6325</v>
      </c>
      <c r="J49" s="213"/>
      <c r="K49" s="213"/>
      <c r="L49" s="213"/>
      <c r="M49" s="209"/>
      <c r="N49" s="209"/>
      <c r="O49" s="209"/>
      <c r="P49" s="209"/>
    </row>
    <row r="50" spans="1:16" s="211" customFormat="1" ht="31.5">
      <c r="A50" s="212">
        <v>45430</v>
      </c>
      <c r="B50" s="213" t="s">
        <v>6300</v>
      </c>
      <c r="C50" s="213" t="s">
        <v>6326</v>
      </c>
      <c r="D50" s="213" t="s">
        <v>162</v>
      </c>
      <c r="E50" s="213" t="str">
        <f>VLOOKUP(H50,[1]ОКТМО!B:J,6,0)</f>
        <v>Намский муниципальный район</v>
      </c>
      <c r="F50" s="213" t="str">
        <f>VLOOKUP(H50,[1]ОКТМО!B:J,9,0)</f>
        <v>Партизанский наслег</v>
      </c>
      <c r="G50" s="213" t="str">
        <f>VLOOKUP(H50,[1]ОКТМО!B:M,12,0)</f>
        <v>Партизан</v>
      </c>
      <c r="H50" s="214">
        <v>98635435101</v>
      </c>
      <c r="I50" s="213" t="s">
        <v>6327</v>
      </c>
      <c r="J50" s="213"/>
      <c r="K50" s="213"/>
      <c r="L50" s="213"/>
      <c r="M50" s="209"/>
      <c r="N50" s="209"/>
      <c r="O50" s="209"/>
      <c r="P50" s="209"/>
    </row>
    <row r="51" spans="1:16" s="211" customFormat="1" ht="47.25">
      <c r="A51" s="212">
        <v>45430</v>
      </c>
      <c r="B51" s="213" t="s">
        <v>6300</v>
      </c>
      <c r="C51" s="213" t="s">
        <v>6328</v>
      </c>
      <c r="D51" s="213" t="s">
        <v>168</v>
      </c>
      <c r="E51" s="213" t="str">
        <f>VLOOKUP(H51,[1]ОКТМО!B:J,6,0)</f>
        <v>Намский муниципальный район</v>
      </c>
      <c r="F51" s="213" t="str">
        <f>VLOOKUP(H51,[1]ОКТМО!B:J,9,0)</f>
        <v>Хамагаттинский наслег</v>
      </c>
      <c r="G51" s="213" t="str">
        <f>VLOOKUP(H51,[1]ОКТМО!B:M,12,0)</f>
        <v>Крест-Кытыл</v>
      </c>
      <c r="H51" s="214">
        <v>98635450101</v>
      </c>
      <c r="I51" s="213" t="s">
        <v>6329</v>
      </c>
      <c r="J51" s="213"/>
      <c r="K51" s="213"/>
      <c r="L51" s="213"/>
      <c r="M51" s="209"/>
      <c r="N51" s="209"/>
      <c r="O51" s="209"/>
      <c r="P51" s="209"/>
    </row>
    <row r="52" spans="1:16" s="211" customFormat="1" ht="31.5">
      <c r="A52" s="212">
        <v>45430</v>
      </c>
      <c r="B52" s="213" t="s">
        <v>6300</v>
      </c>
      <c r="C52" s="213" t="s">
        <v>6330</v>
      </c>
      <c r="D52" s="213" t="s">
        <v>6331</v>
      </c>
      <c r="E52" s="213" t="str">
        <f>VLOOKUP(H52,[1]ОКТМО!B:J,6,0)</f>
        <v>Намский муниципальный район</v>
      </c>
      <c r="F52" s="213" t="str">
        <f>VLOOKUP(H52,[1]ОКТМО!B:J,9,0)</f>
        <v>Хатын-Арынский наслег</v>
      </c>
      <c r="G52" s="213" t="str">
        <f>VLOOKUP(H52,[1]ОКТМО!B:M,12,0)</f>
        <v>Графский Берег</v>
      </c>
      <c r="H52" s="214">
        <v>98635455106</v>
      </c>
      <c r="I52" s="213" t="s">
        <v>6332</v>
      </c>
      <c r="J52" s="213"/>
      <c r="K52" s="213"/>
      <c r="L52" s="213"/>
      <c r="M52" s="209"/>
      <c r="N52" s="209"/>
      <c r="O52" s="209"/>
      <c r="P52" s="209"/>
    </row>
    <row r="53" spans="1:16" s="211" customFormat="1" ht="31.5">
      <c r="A53" s="212">
        <v>45430</v>
      </c>
      <c r="B53" s="213" t="s">
        <v>6300</v>
      </c>
      <c r="C53" s="213" t="s">
        <v>6330</v>
      </c>
      <c r="D53" s="213" t="s">
        <v>179</v>
      </c>
      <c r="E53" s="213" t="str">
        <f>VLOOKUP(H53,[1]ОКТМО!B:J,6,0)</f>
        <v>Намский муниципальный район</v>
      </c>
      <c r="F53" s="213" t="str">
        <f>VLOOKUP(H53,[1]ОКТМО!B:J,9,0)</f>
        <v>Хатын-Арынский наслег</v>
      </c>
      <c r="G53" s="213" t="str">
        <f>VLOOKUP(H53,[1]ОКТМО!B:M,12,0)</f>
        <v>Кысыл-Деревня</v>
      </c>
      <c r="H53" s="214">
        <v>98635455111</v>
      </c>
      <c r="I53" s="213" t="s">
        <v>6333</v>
      </c>
      <c r="J53" s="213"/>
      <c r="K53" s="213"/>
      <c r="L53" s="213"/>
      <c r="M53" s="209"/>
      <c r="N53" s="209"/>
      <c r="O53" s="209"/>
      <c r="P53" s="209"/>
    </row>
    <row r="54" spans="1:16" s="211" customFormat="1">
      <c r="A54" s="212">
        <v>45430</v>
      </c>
      <c r="B54" s="213" t="s">
        <v>6300</v>
      </c>
      <c r="C54" s="213" t="s">
        <v>6334</v>
      </c>
      <c r="D54" s="213" t="s">
        <v>6335</v>
      </c>
      <c r="E54" s="213" t="str">
        <f>VLOOKUP(H54,[1]ОКТМО!B:J,6,0)</f>
        <v>Намский муниципальный район</v>
      </c>
      <c r="F54" s="213" t="str">
        <f>VLOOKUP(H54,[1]ОКТМО!B:J,9,0)</f>
        <v>Бетюнский наслег</v>
      </c>
      <c r="G54" s="213" t="str">
        <f>VLOOKUP(H54,[1]ОКТМО!B:M,12,0)</f>
        <v>Бютяй-Юрдя</v>
      </c>
      <c r="H54" s="214">
        <v>98635410101</v>
      </c>
      <c r="I54" s="213" t="s">
        <v>6336</v>
      </c>
      <c r="J54" s="213"/>
      <c r="K54" s="213"/>
      <c r="L54" s="213" t="s">
        <v>6337</v>
      </c>
      <c r="M54" s="209"/>
      <c r="N54" s="209"/>
      <c r="O54" s="209"/>
      <c r="P54" s="209"/>
    </row>
    <row r="55" spans="1:16" s="211" customFormat="1" ht="31.5">
      <c r="A55" s="212">
        <v>45430</v>
      </c>
      <c r="B55" s="213" t="s">
        <v>6300</v>
      </c>
      <c r="C55" s="213" t="s">
        <v>6338</v>
      </c>
      <c r="D55" s="213" t="s">
        <v>185</v>
      </c>
      <c r="E55" s="213" t="str">
        <f>VLOOKUP(H55,[1]ОКТМО!B:J,6,0)</f>
        <v>Намский муниципальный район</v>
      </c>
      <c r="F55" s="213" t="str">
        <f>VLOOKUP(H55,[1]ОКТМО!B:J,9,0)</f>
        <v>Модутский наслег</v>
      </c>
      <c r="G55" s="213" t="str">
        <f>VLOOKUP(H55,[1]ОКТМО!B:M,12,0)</f>
        <v>Тумул</v>
      </c>
      <c r="H55" s="215">
        <v>98635430101</v>
      </c>
      <c r="I55" s="213" t="s">
        <v>6339</v>
      </c>
      <c r="J55" s="213"/>
      <c r="K55" s="213"/>
      <c r="L55" s="213"/>
      <c r="M55" s="209"/>
      <c r="N55" s="209"/>
      <c r="O55" s="209"/>
      <c r="P55" s="209"/>
    </row>
    <row r="56" spans="1:16" s="211" customFormat="1" ht="47.25">
      <c r="A56" s="212">
        <v>45430</v>
      </c>
      <c r="B56" s="213" t="s">
        <v>6300</v>
      </c>
      <c r="C56" s="213" t="s">
        <v>6340</v>
      </c>
      <c r="D56" s="213" t="s">
        <v>203</v>
      </c>
      <c r="E56" s="213" t="str">
        <f>VLOOKUP(H56,[1]ОКТМО!B:J,6,0)</f>
        <v>Намский муниципальный район</v>
      </c>
      <c r="F56" s="213" t="str">
        <f>VLOOKUP(H56,[1]ОКТМО!B:J,9,0)</f>
        <v>Арбынский наслег</v>
      </c>
      <c r="G56" s="213" t="str">
        <f>VLOOKUP(H56,[1]ОКТМО!B:M,12,0)</f>
        <v>Сыгыннах</v>
      </c>
      <c r="H56" s="214">
        <v>98635405101</v>
      </c>
      <c r="I56" s="213" t="s">
        <v>6341</v>
      </c>
      <c r="J56" s="213"/>
      <c r="K56" s="213"/>
      <c r="L56" s="213"/>
      <c r="M56" s="209"/>
      <c r="N56" s="209"/>
      <c r="O56" s="209"/>
      <c r="P56" s="209"/>
    </row>
    <row r="57" spans="1:16" s="211" customFormat="1" ht="31.5">
      <c r="A57" s="212">
        <v>45430</v>
      </c>
      <c r="B57" s="213" t="s">
        <v>6300</v>
      </c>
      <c r="C57" s="213" t="s">
        <v>6342</v>
      </c>
      <c r="D57" s="213" t="s">
        <v>6343</v>
      </c>
      <c r="E57" s="213" t="str">
        <f>VLOOKUP(H57,[1]ОКТМО!B:J,6,0)</f>
        <v>Намский муниципальный район</v>
      </c>
      <c r="F57" s="213" t="str">
        <f>VLOOKUP(H57,[1]ОКТМО!B:J,9,0)</f>
        <v>Хатырыкский наслег</v>
      </c>
      <c r="G57" s="213" t="str">
        <f>VLOOKUP(H57,[1]ОКТМО!B:M,12,0)</f>
        <v>Столбы</v>
      </c>
      <c r="H57" s="215">
        <v>98635460101</v>
      </c>
      <c r="I57" s="213" t="s">
        <v>6344</v>
      </c>
      <c r="J57" s="213"/>
      <c r="K57" s="213"/>
      <c r="L57" s="213" t="s">
        <v>6345</v>
      </c>
      <c r="M57" s="209"/>
      <c r="N57" s="209"/>
      <c r="O57" s="209"/>
      <c r="P57" s="209"/>
    </row>
    <row r="58" spans="1:16" s="211" customFormat="1">
      <c r="A58" s="212">
        <v>45430</v>
      </c>
      <c r="B58" s="213" t="s">
        <v>6300</v>
      </c>
      <c r="C58" s="213" t="s">
        <v>6346</v>
      </c>
      <c r="D58" s="213" t="s">
        <v>6347</v>
      </c>
      <c r="E58" s="213" t="str">
        <f>VLOOKUP(H58,[1]ОКТМО!B:J,6,0)</f>
        <v>Намский муниципальный район</v>
      </c>
      <c r="F58" s="213" t="str">
        <f>VLOOKUP(H58,[1]ОКТМО!B:J,9,0)</f>
        <v>Маймагинский наслег</v>
      </c>
      <c r="G58" s="213" t="str">
        <f>VLOOKUP(H58,[1]ОКТМО!B:M,12,0)</f>
        <v>Маймага</v>
      </c>
      <c r="H58" s="214">
        <v>98635470101</v>
      </c>
      <c r="I58" s="213" t="s">
        <v>6348</v>
      </c>
      <c r="J58" s="213"/>
      <c r="K58" s="213"/>
      <c r="L58" s="213"/>
      <c r="M58" s="209"/>
      <c r="N58" s="209"/>
      <c r="O58" s="209"/>
      <c r="P58" s="209"/>
    </row>
    <row r="59" spans="1:16" s="211" customFormat="1">
      <c r="A59" s="212">
        <v>45430</v>
      </c>
      <c r="B59" s="213" t="s">
        <v>6300</v>
      </c>
      <c r="C59" s="213" t="s">
        <v>6349</v>
      </c>
      <c r="D59" s="213" t="s">
        <v>6350</v>
      </c>
      <c r="E59" s="213" t="str">
        <f>VLOOKUP(H59,[1]ОКТМО!B:J,6,0)</f>
        <v>Намский муниципальный район</v>
      </c>
      <c r="F59" s="213" t="str">
        <f>VLOOKUP(H59,[1]ОКТМО!B:J,9,0)</f>
        <v>Кебекенский наслег</v>
      </c>
      <c r="G59" s="213" t="str">
        <f>VLOOKUP(H59,[1]ОКТМО!B:M,12,0)</f>
        <v>Харыялах</v>
      </c>
      <c r="H59" s="215">
        <v>98635420101</v>
      </c>
      <c r="I59" s="213" t="s">
        <v>6351</v>
      </c>
      <c r="J59" s="213"/>
      <c r="K59" s="213"/>
      <c r="L59" s="213"/>
      <c r="M59" s="209"/>
      <c r="N59" s="209"/>
      <c r="O59" s="209"/>
      <c r="P59" s="209"/>
    </row>
    <row r="60" spans="1:16" s="211" customFormat="1">
      <c r="A60" s="212">
        <v>45431</v>
      </c>
      <c r="B60" s="213" t="s">
        <v>6300</v>
      </c>
      <c r="C60" s="213" t="s">
        <v>6352</v>
      </c>
      <c r="D60" s="213" t="s">
        <v>6353</v>
      </c>
      <c r="E60" s="213" t="str">
        <f>VLOOKUP(H60,[1]ОКТМО!B:J,6,0)</f>
        <v>Намский муниципальный район</v>
      </c>
      <c r="F60" s="213" t="str">
        <f>VLOOKUP(H60,[1]ОКТМО!B:J,9,0)</f>
        <v>Едейский наслег</v>
      </c>
      <c r="G60" s="213" t="str">
        <f>VLOOKUP(H60,[1]ОКТМО!B:M,12,0)</f>
        <v>Ымыяхтах</v>
      </c>
      <c r="H60" s="214">
        <v>98635415101</v>
      </c>
      <c r="I60" s="213" t="s">
        <v>6354</v>
      </c>
      <c r="J60" s="213"/>
      <c r="K60" s="213"/>
      <c r="L60" s="213"/>
      <c r="M60" s="209"/>
      <c r="N60" s="209"/>
      <c r="O60" s="209"/>
      <c r="P60" s="209"/>
    </row>
    <row r="61" spans="1:16" s="211" customFormat="1">
      <c r="A61" s="212">
        <v>45431</v>
      </c>
      <c r="B61" s="213" t="s">
        <v>6355</v>
      </c>
      <c r="C61" s="213" t="s">
        <v>6356</v>
      </c>
      <c r="D61" s="213" t="s">
        <v>165</v>
      </c>
      <c r="E61" s="213" t="str">
        <f>VLOOKUP(H61,[1]ОКТМО!B:J,6,0)</f>
        <v>Намский муниципальный район</v>
      </c>
      <c r="F61" s="213" t="str">
        <f>VLOOKUP(H61,[1]ОКТМО!B:J,9,0)</f>
        <v>Никольский наслег</v>
      </c>
      <c r="G61" s="213" t="str">
        <f>VLOOKUP(H61,[1]ОКТМО!B:M,12,0)</f>
        <v>Никольский</v>
      </c>
      <c r="H61" s="214">
        <v>98635432101</v>
      </c>
      <c r="I61" s="213" t="s">
        <v>6261</v>
      </c>
      <c r="J61" s="213"/>
      <c r="K61" s="213"/>
      <c r="L61" s="213"/>
      <c r="M61" s="209"/>
      <c r="N61" s="209"/>
      <c r="O61" s="209"/>
      <c r="P61" s="209"/>
    </row>
    <row r="62" spans="1:16" s="211" customFormat="1" ht="31.5">
      <c r="A62" s="212">
        <v>45431</v>
      </c>
      <c r="B62" s="213" t="s">
        <v>6300</v>
      </c>
      <c r="C62" s="213" t="s">
        <v>6330</v>
      </c>
      <c r="D62" s="213" t="s">
        <v>176</v>
      </c>
      <c r="E62" s="213" t="str">
        <f>VLOOKUP(H62,[1]ОКТМО!B:J,6,0)</f>
        <v>Намский муниципальный район</v>
      </c>
      <c r="F62" s="213" t="str">
        <f>VLOOKUP(H62,[1]ОКТМО!B:J,9,0)</f>
        <v>Хатын-Арынский наслег</v>
      </c>
      <c r="G62" s="213" t="str">
        <f>VLOOKUP(H62,[1]ОКТМО!B:M,12,0)</f>
        <v>Аппаны</v>
      </c>
      <c r="H62" s="214">
        <v>98635455101</v>
      </c>
      <c r="I62" s="213" t="s">
        <v>6357</v>
      </c>
      <c r="J62" s="213"/>
      <c r="K62" s="213"/>
      <c r="L62" s="213"/>
      <c r="M62" s="209"/>
      <c r="N62" s="209"/>
      <c r="O62" s="209"/>
      <c r="P62" s="209"/>
    </row>
    <row r="63" spans="1:16" s="211" customFormat="1">
      <c r="A63" s="212">
        <v>45431</v>
      </c>
      <c r="B63" s="213" t="s">
        <v>6300</v>
      </c>
      <c r="C63" s="213" t="s">
        <v>6358</v>
      </c>
      <c r="D63" s="213" t="s">
        <v>6359</v>
      </c>
      <c r="E63" s="213" t="str">
        <f>VLOOKUP(H63,[1]ОКТМО!B:J,6,0)</f>
        <v>Намский муниципальный район</v>
      </c>
      <c r="F63" s="213" t="str">
        <f>VLOOKUP(H63,[1]ОКТМО!B:J,9,0)</f>
        <v>Фрунзенский наслег</v>
      </c>
      <c r="G63" s="213" t="str">
        <f>VLOOKUP(H63,[1]ОКТМО!B:M,12,0)</f>
        <v>Фрунзе</v>
      </c>
      <c r="H63" s="214">
        <v>98635447101</v>
      </c>
      <c r="I63" s="213" t="s">
        <v>6360</v>
      </c>
      <c r="J63" s="213"/>
      <c r="K63" s="213"/>
      <c r="L63" s="213"/>
      <c r="M63" s="209"/>
      <c r="N63" s="209"/>
      <c r="O63" s="209"/>
      <c r="P63" s="209"/>
    </row>
    <row r="64" spans="1:16" s="211" customFormat="1" ht="47.25">
      <c r="A64" s="212">
        <v>45442</v>
      </c>
      <c r="B64" s="213" t="s">
        <v>6361</v>
      </c>
      <c r="C64" s="213" t="s">
        <v>6362</v>
      </c>
      <c r="D64" s="213" t="s">
        <v>6363</v>
      </c>
      <c r="E64" s="213" t="str">
        <f>VLOOKUP(H64,[1]ОКТМО!B:J,6,0)</f>
        <v>Анабарский национальный (долгано-эвенкийский) муниципальный район</v>
      </c>
      <c r="F64" s="213" t="str">
        <f>VLOOKUP(H64,[1]ОКТМО!B:J,9,0)</f>
        <v>Саскылахский национальный (эвенкийский) наслег</v>
      </c>
      <c r="G64" s="213" t="str">
        <f>VLOOKUP(H64,[1]ОКТМО!B:M,12,0)</f>
        <v>Саскылах</v>
      </c>
      <c r="H64" s="214">
        <v>98610411101</v>
      </c>
      <c r="I64" s="213" t="s">
        <v>6364</v>
      </c>
      <c r="J64" s="213" t="s">
        <v>6365</v>
      </c>
      <c r="K64" s="213"/>
      <c r="L64" s="213">
        <v>1093</v>
      </c>
      <c r="M64" s="209"/>
      <c r="N64" s="209"/>
      <c r="O64" s="209"/>
      <c r="P64" s="209"/>
    </row>
    <row r="65" spans="1:16" s="211" customFormat="1" ht="31.5">
      <c r="A65" s="212">
        <v>45540</v>
      </c>
      <c r="B65" s="213" t="s">
        <v>3208</v>
      </c>
      <c r="C65" s="213" t="s">
        <v>6366</v>
      </c>
      <c r="D65" s="213" t="s">
        <v>6367</v>
      </c>
      <c r="E65" s="213" t="str">
        <f>VLOOKUP(H65,[1]ОКТМО!B:J,6,0)</f>
        <v>Оймяконский муниципальный район</v>
      </c>
      <c r="F65" s="213" t="str">
        <f>VLOOKUP(H65,[1]ОКТМО!B:J,9,0)</f>
        <v>Сордоннохский национальный наслег</v>
      </c>
      <c r="G65" s="213" t="str">
        <f>VLOOKUP(H65,[1]ОКТМО!B:M,12,0)</f>
        <v>Орто-Балаган</v>
      </c>
      <c r="H65" s="214">
        <v>98639427101</v>
      </c>
      <c r="I65" s="213" t="s">
        <v>6368</v>
      </c>
      <c r="J65" s="213" t="s">
        <v>6369</v>
      </c>
      <c r="K65" s="213"/>
      <c r="L65" s="213"/>
      <c r="M65" s="209"/>
      <c r="N65" s="209"/>
      <c r="O65" s="209"/>
      <c r="P65" s="209"/>
    </row>
    <row r="66" spans="1:16" s="211" customFormat="1" ht="31.5">
      <c r="A66" s="212">
        <v>45540</v>
      </c>
      <c r="B66" s="213" t="s">
        <v>3208</v>
      </c>
      <c r="C66" s="213" t="s">
        <v>6370</v>
      </c>
      <c r="D66" s="213" t="s">
        <v>6272</v>
      </c>
      <c r="E66" s="213" t="str">
        <f>VLOOKUP(H66,[1]ОКТМО!B:J,6,0)</f>
        <v>Оймяконский муниципальный район</v>
      </c>
      <c r="F66" s="213" t="str">
        <f>VLOOKUP(H66,[1]ОКТМО!B:J,9,0)</f>
        <v>Оймякон Полюс Холода</v>
      </c>
      <c r="G66" s="213" t="str">
        <f>VLOOKUP(H66,[1]ОКТМО!B:M,12,0)</f>
        <v>Оймякон</v>
      </c>
      <c r="H66" s="214">
        <v>98639405101</v>
      </c>
      <c r="I66" s="213" t="s">
        <v>6371</v>
      </c>
      <c r="J66" s="213" t="s">
        <v>6372</v>
      </c>
      <c r="K66" s="213"/>
      <c r="L66" s="213"/>
      <c r="M66" s="209"/>
      <c r="N66" s="209"/>
      <c r="O66" s="209"/>
      <c r="P66" s="209"/>
    </row>
    <row r="67" spans="1:16" s="211" customFormat="1" ht="31.5">
      <c r="A67" s="212">
        <v>45051</v>
      </c>
      <c r="B67" s="213" t="s">
        <v>6373</v>
      </c>
      <c r="C67" s="213" t="s">
        <v>6202</v>
      </c>
      <c r="D67" s="213" t="s">
        <v>301</v>
      </c>
      <c r="E67" s="213" t="str">
        <f>VLOOKUP(H67,[1]ОКТМО!B:J,6,0)</f>
        <v>Горный муниципальный район</v>
      </c>
      <c r="F67" s="213" t="str">
        <f>VLOOKUP(H67,[1]ОКТМО!B:J,9,0)</f>
        <v>Шологонский наслег</v>
      </c>
      <c r="G67" s="213" t="str">
        <f>VLOOKUP(H67,[1]ОКТМО!B:M,12,0)</f>
        <v>Ерт</v>
      </c>
      <c r="H67" s="214">
        <v>98620465101</v>
      </c>
      <c r="I67" s="213" t="s">
        <v>6374</v>
      </c>
      <c r="J67" s="213" t="s">
        <v>6375</v>
      </c>
      <c r="K67" s="213"/>
      <c r="L67" s="213"/>
      <c r="M67" s="209"/>
      <c r="N67" s="209"/>
      <c r="O67" s="209"/>
      <c r="P67" s="209"/>
    </row>
    <row r="68" spans="1:16" s="211" customFormat="1">
      <c r="A68" s="212">
        <v>45052</v>
      </c>
      <c r="B68" s="213"/>
      <c r="C68" s="213" t="s">
        <v>6376</v>
      </c>
      <c r="D68" s="213" t="s">
        <v>290</v>
      </c>
      <c r="E68" s="213" t="str">
        <f>VLOOKUP(H68,[1]ОКТМО!B:J,6,0)</f>
        <v>Горный муниципальный район</v>
      </c>
      <c r="F68" s="213" t="str">
        <f>VLOOKUP(H68,[1]ОКТМО!B:J,9,0)</f>
        <v>Одунунский наслег</v>
      </c>
      <c r="G68" s="213" t="str">
        <f>VLOOKUP(H68,[1]ОКТМО!B:M,12,0)</f>
        <v>Магарас</v>
      </c>
      <c r="H68" s="214">
        <v>98620449101</v>
      </c>
      <c r="I68" s="213" t="s">
        <v>6377</v>
      </c>
      <c r="J68" s="213" t="s">
        <v>6378</v>
      </c>
      <c r="K68" s="213"/>
      <c r="L68" s="213"/>
      <c r="M68" s="209"/>
      <c r="N68" s="209"/>
      <c r="O68" s="209"/>
      <c r="P68" s="209"/>
    </row>
    <row r="69" spans="1:16" s="211" customFormat="1" ht="31.5">
      <c r="A69" s="212">
        <v>45052</v>
      </c>
      <c r="B69" s="213" t="s">
        <v>6379</v>
      </c>
      <c r="C69" s="213" t="s">
        <v>6380</v>
      </c>
      <c r="D69" s="213" t="s">
        <v>6381</v>
      </c>
      <c r="E69" s="213" t="str">
        <f>VLOOKUP(H69,[1]ОКТМО!B:J,6,0)</f>
        <v>Горный муниципальный район</v>
      </c>
      <c r="F69" s="213" t="str">
        <f>VLOOKUP(H69,[1]ОКТМО!B:J,9,0)</f>
        <v>Атамайский наслег</v>
      </c>
      <c r="G69" s="213" t="str">
        <f>VLOOKUP(H69,[1]ОКТМО!B:M,12,0)</f>
        <v>Бясь-Кюель</v>
      </c>
      <c r="H69" s="214">
        <v>98620405101</v>
      </c>
      <c r="I69" s="213" t="s">
        <v>6382</v>
      </c>
      <c r="J69" s="213" t="s">
        <v>6383</v>
      </c>
      <c r="K69" s="213"/>
      <c r="L69" s="213"/>
      <c r="M69" s="209"/>
      <c r="N69" s="209"/>
      <c r="O69" s="209"/>
      <c r="P69" s="209"/>
    </row>
    <row r="70" spans="1:16" s="211" customFormat="1" ht="65.25" customHeight="1">
      <c r="A70" s="212">
        <v>45053</v>
      </c>
      <c r="B70" s="213" t="s">
        <v>6384</v>
      </c>
      <c r="C70" s="213" t="s">
        <v>6385</v>
      </c>
      <c r="D70" s="213" t="s">
        <v>6386</v>
      </c>
      <c r="E70" s="213" t="str">
        <f>VLOOKUP(H70,[1]ОКТМО!B:J,6,0)</f>
        <v>Мегино-Кангаласский муниципальный район</v>
      </c>
      <c r="F70" s="213" t="str">
        <f>VLOOKUP(H70,[1]ОКТМО!B:J,9,0)</f>
        <v>Батаринский 1-й наслег</v>
      </c>
      <c r="G70" s="213" t="str">
        <f>VLOOKUP(H70,[1]ОКТМО!B:M,12,0)</f>
        <v>Бедемё</v>
      </c>
      <c r="H70" s="214">
        <v>98629406101</v>
      </c>
      <c r="I70" s="213" t="s">
        <v>6387</v>
      </c>
      <c r="J70" s="213" t="s">
        <v>6388</v>
      </c>
      <c r="K70" s="213"/>
      <c r="L70" s="213"/>
      <c r="M70" s="209"/>
      <c r="N70" s="209"/>
      <c r="O70" s="209"/>
      <c r="P70" s="209"/>
    </row>
    <row r="71" spans="1:16" s="211" customFormat="1" ht="31.5">
      <c r="A71" s="212">
        <v>45053</v>
      </c>
      <c r="B71" s="213" t="s">
        <v>6389</v>
      </c>
      <c r="C71" s="213" t="s">
        <v>6390</v>
      </c>
      <c r="D71" s="213" t="s">
        <v>6391</v>
      </c>
      <c r="E71" s="213" t="str">
        <f>VLOOKUP(H71,[1]ОКТМО!B:J,6,0)</f>
        <v>Мегино-Кангаласский муниципальный район</v>
      </c>
      <c r="F71" s="213" t="str">
        <f>VLOOKUP(H71,[1]ОКТМО!B:J,9,0)</f>
        <v>Хоробутский наслег</v>
      </c>
      <c r="G71" s="213" t="str">
        <f>VLOOKUP(H71,[1]ОКТМО!B:M,12,0)</f>
        <v>Хоробут</v>
      </c>
      <c r="H71" s="214">
        <v>98629430101</v>
      </c>
      <c r="I71" s="213" t="s">
        <v>6392</v>
      </c>
      <c r="J71" s="213" t="s">
        <v>6393</v>
      </c>
      <c r="K71" s="213"/>
      <c r="L71" s="213"/>
      <c r="M71" s="209"/>
      <c r="N71" s="209"/>
      <c r="O71" s="209"/>
      <c r="P71" s="209"/>
    </row>
    <row r="72" spans="1:16" s="211" customFormat="1" ht="47.25">
      <c r="A72" s="212">
        <v>45055</v>
      </c>
      <c r="B72" s="213" t="s">
        <v>6394</v>
      </c>
      <c r="C72" s="213" t="s">
        <v>6395</v>
      </c>
      <c r="D72" s="213" t="s">
        <v>6396</v>
      </c>
      <c r="E72" s="213" t="str">
        <f>VLOOKUP(H72,[1]ОКТМО!B:J,6,0)</f>
        <v>Мегино-Кангаласский муниципальный район</v>
      </c>
      <c r="F72" s="213" t="str">
        <f>VLOOKUP(H72,[1]ОКТМО!B:J,9,0)</f>
        <v>Нахаринский 2-й наслег</v>
      </c>
      <c r="G72" s="213" t="str">
        <f>VLOOKUP(H72,[1]ОКТМО!B:M,12,0)</f>
        <v>Хочо</v>
      </c>
      <c r="H72" s="214">
        <v>98629440101</v>
      </c>
      <c r="I72" s="213" t="s">
        <v>6397</v>
      </c>
      <c r="J72" s="213" t="s">
        <v>6398</v>
      </c>
      <c r="K72" s="213"/>
      <c r="L72" s="213"/>
      <c r="M72" s="209"/>
      <c r="N72" s="209"/>
      <c r="O72" s="209"/>
      <c r="P72" s="209"/>
    </row>
    <row r="73" spans="1:16" s="211" customFormat="1">
      <c r="A73" s="212">
        <v>45055</v>
      </c>
      <c r="B73" s="213" t="s">
        <v>6399</v>
      </c>
      <c r="C73" s="213" t="s">
        <v>6400</v>
      </c>
      <c r="D73" s="213" t="s">
        <v>6401</v>
      </c>
      <c r="E73" s="213" t="str">
        <f>VLOOKUP(H73,[1]ОКТМО!B:J,6,0)</f>
        <v>Мегино-Кангаласский муниципальный район</v>
      </c>
      <c r="F73" s="213" t="str">
        <f>VLOOKUP(H73,[1]ОКТМО!B:J,9,0)</f>
        <v>Ходоринский наслег</v>
      </c>
      <c r="G73" s="213" t="str">
        <f>VLOOKUP(H73,[1]ОКТМО!B:M,12,0)</f>
        <v>Чюйя</v>
      </c>
      <c r="H73" s="214">
        <v>98629463101</v>
      </c>
      <c r="I73" s="213" t="s">
        <v>6402</v>
      </c>
      <c r="J73" s="213" t="s">
        <v>6403</v>
      </c>
      <c r="K73" s="213" t="s">
        <v>6404</v>
      </c>
      <c r="L73" s="213"/>
      <c r="M73" s="209"/>
      <c r="N73" s="209"/>
      <c r="O73" s="209"/>
      <c r="P73" s="209"/>
    </row>
    <row r="74" spans="1:16" s="211" customFormat="1">
      <c r="A74" s="212"/>
      <c r="B74" s="213"/>
      <c r="C74" s="213"/>
      <c r="D74" s="213"/>
      <c r="E74" s="213" t="str">
        <f>VLOOKUP(H74,[1]ОКТМО!B:J,6,0)</f>
        <v>Мегино-Кангаласский муниципальный район</v>
      </c>
      <c r="F74" s="213" t="str">
        <f>VLOOKUP(H74,[1]ОКТМО!B:J,9,0)</f>
        <v>Ходоринский наслег</v>
      </c>
      <c r="G74" s="213" t="str">
        <f>VLOOKUP(H74,[1]ОКТМО!B:M,12,0)</f>
        <v>Чюйя</v>
      </c>
      <c r="H74" s="214">
        <v>98629463101</v>
      </c>
      <c r="I74" s="213"/>
      <c r="J74" s="213"/>
      <c r="K74" s="213" t="s">
        <v>6405</v>
      </c>
      <c r="L74" s="213"/>
      <c r="M74" s="209"/>
      <c r="N74" s="209"/>
      <c r="O74" s="209"/>
      <c r="P74" s="209"/>
    </row>
    <row r="75" spans="1:16" s="211" customFormat="1">
      <c r="A75" s="212"/>
      <c r="B75" s="213"/>
      <c r="C75" s="213"/>
      <c r="D75" s="213"/>
      <c r="E75" s="213" t="str">
        <f>VLOOKUP(H75,[1]ОКТМО!B:J,6,0)</f>
        <v>Мегино-Кангаласский муниципальный район</v>
      </c>
      <c r="F75" s="213" t="str">
        <f>VLOOKUP(H75,[1]ОКТМО!B:J,9,0)</f>
        <v>Ходоринский наслег</v>
      </c>
      <c r="G75" s="213" t="str">
        <f>VLOOKUP(H75,[1]ОКТМО!B:M,12,0)</f>
        <v>Чюйя</v>
      </c>
      <c r="H75" s="214">
        <v>98629463101</v>
      </c>
      <c r="I75" s="213"/>
      <c r="J75" s="213"/>
      <c r="K75" s="213" t="s">
        <v>6406</v>
      </c>
      <c r="L75" s="213"/>
      <c r="M75" s="209"/>
      <c r="N75" s="209"/>
      <c r="O75" s="209"/>
      <c r="P75" s="209"/>
    </row>
    <row r="76" spans="1:16" s="211" customFormat="1">
      <c r="A76" s="212"/>
      <c r="B76" s="213"/>
      <c r="C76" s="213"/>
      <c r="D76" s="213"/>
      <c r="E76" s="213" t="str">
        <f>VLOOKUP(H76,[1]ОКТМО!B:J,6,0)</f>
        <v>Мегино-Кангаласский муниципальный район</v>
      </c>
      <c r="F76" s="213" t="str">
        <f>VLOOKUP(H76,[1]ОКТМО!B:J,9,0)</f>
        <v>Ходоринский наслег</v>
      </c>
      <c r="G76" s="213" t="str">
        <f>VLOOKUP(H76,[1]ОКТМО!B:M,12,0)</f>
        <v>Чюйя</v>
      </c>
      <c r="H76" s="214">
        <v>98629463101</v>
      </c>
      <c r="I76" s="213"/>
      <c r="J76" s="213"/>
      <c r="K76" s="213" t="s">
        <v>6407</v>
      </c>
      <c r="L76" s="213"/>
      <c r="M76" s="209"/>
      <c r="N76" s="209"/>
      <c r="O76" s="209"/>
      <c r="P76" s="209"/>
    </row>
    <row r="77" spans="1:16" s="211" customFormat="1">
      <c r="A77" s="212"/>
      <c r="B77" s="213"/>
      <c r="C77" s="213"/>
      <c r="D77" s="213"/>
      <c r="E77" s="213" t="str">
        <f>VLOOKUP(H77,[1]ОКТМО!B:J,6,0)</f>
        <v>Мегино-Кангаласский муниципальный район</v>
      </c>
      <c r="F77" s="213" t="str">
        <f>VLOOKUP(H77,[1]ОКТМО!B:J,9,0)</f>
        <v>Ходоринский наслег</v>
      </c>
      <c r="G77" s="213" t="str">
        <f>VLOOKUP(H77,[1]ОКТМО!B:M,12,0)</f>
        <v>Чюйя</v>
      </c>
      <c r="H77" s="214">
        <v>98629463101</v>
      </c>
      <c r="I77" s="213"/>
      <c r="J77" s="213"/>
      <c r="K77" s="213" t="s">
        <v>6408</v>
      </c>
      <c r="L77" s="213"/>
      <c r="M77" s="209"/>
      <c r="N77" s="209"/>
      <c r="O77" s="209"/>
      <c r="P77" s="209"/>
    </row>
    <row r="78" spans="1:16" s="211" customFormat="1">
      <c r="A78" s="212"/>
      <c r="B78" s="213"/>
      <c r="C78" s="213"/>
      <c r="D78" s="213"/>
      <c r="E78" s="213" t="str">
        <f>VLOOKUP(H78,[1]ОКТМО!B:J,6,0)</f>
        <v>Мегино-Кангаласский муниципальный район</v>
      </c>
      <c r="F78" s="213" t="str">
        <f>VLOOKUP(H78,[1]ОКТМО!B:J,9,0)</f>
        <v>Ходоринский наслег</v>
      </c>
      <c r="G78" s="213" t="str">
        <f>VLOOKUP(H78,[1]ОКТМО!B:M,12,0)</f>
        <v>Чюйя</v>
      </c>
      <c r="H78" s="214">
        <v>98629463101</v>
      </c>
      <c r="I78" s="213"/>
      <c r="J78" s="213"/>
      <c r="K78" s="213" t="s">
        <v>6409</v>
      </c>
      <c r="L78" s="213"/>
      <c r="M78" s="209"/>
      <c r="N78" s="209"/>
      <c r="O78" s="209"/>
      <c r="P78" s="209"/>
    </row>
    <row r="79" spans="1:16" s="211" customFormat="1">
      <c r="A79" s="212">
        <v>45056</v>
      </c>
      <c r="B79" s="213" t="s">
        <v>6221</v>
      </c>
      <c r="C79" s="213" t="s">
        <v>6410</v>
      </c>
      <c r="D79" s="213" t="s">
        <v>6411</v>
      </c>
      <c r="E79" s="213" t="str">
        <f>VLOOKUP(H79,[1]ОКТМО!B:J,6,0)</f>
        <v>Вилюйский муниципальный район</v>
      </c>
      <c r="F79" s="213" t="str">
        <f>VLOOKUP(H79,[1]ОКТМО!B:J,9,0)</f>
        <v>Борогонский наслег</v>
      </c>
      <c r="G79" s="213" t="str">
        <f>VLOOKUP(H79,[1]ОКТМО!B:M,12,0)</f>
        <v>Чай</v>
      </c>
      <c r="H79" s="214">
        <v>98618416101</v>
      </c>
      <c r="I79" s="213" t="s">
        <v>6412</v>
      </c>
      <c r="J79" s="213"/>
      <c r="K79" s="213"/>
      <c r="L79" s="213"/>
      <c r="M79" s="209"/>
      <c r="N79" s="209"/>
      <c r="O79" s="209"/>
      <c r="P79" s="209"/>
    </row>
    <row r="80" spans="1:16" s="211" customFormat="1">
      <c r="A80" s="212">
        <v>45058</v>
      </c>
      <c r="B80" s="213" t="s">
        <v>6413</v>
      </c>
      <c r="C80" s="213" t="s">
        <v>6414</v>
      </c>
      <c r="D80" s="213" t="s">
        <v>294</v>
      </c>
      <c r="E80" s="213" t="str">
        <f>VLOOKUP(H80,[1]ОКТМО!B:J,6,0)</f>
        <v>Горный муниципальный район</v>
      </c>
      <c r="F80" s="213" t="str">
        <f>VLOOKUP(H80,[1]ОКТМО!B:J,9,0)</f>
        <v>Бердигестяхский наслег</v>
      </c>
      <c r="G80" s="213" t="str">
        <f>VLOOKUP(H80,[1]ОКТМО!B:M,12,0)</f>
        <v>Бердигестях</v>
      </c>
      <c r="H80" s="214">
        <v>98620410101</v>
      </c>
      <c r="I80" s="213" t="s">
        <v>6261</v>
      </c>
      <c r="J80" s="213"/>
      <c r="K80" s="213"/>
      <c r="L80" s="213"/>
      <c r="M80" s="209"/>
      <c r="N80" s="209"/>
      <c r="O80" s="209"/>
      <c r="P80" s="209"/>
    </row>
    <row r="81" spans="1:16" s="211" customFormat="1" ht="31.5">
      <c r="A81" s="212">
        <v>45063</v>
      </c>
      <c r="B81" s="213" t="s">
        <v>6300</v>
      </c>
      <c r="C81" s="213" t="s">
        <v>6415</v>
      </c>
      <c r="D81" s="213" t="s">
        <v>81</v>
      </c>
      <c r="E81" s="213" t="str">
        <f>VLOOKUP(H81,[1]ОКТМО!B:J,6,0)</f>
        <v>Хангаласский муниципальный район</v>
      </c>
      <c r="F81" s="213" t="str">
        <f>VLOOKUP(H81,[1]ОКТМО!B:J,9,0)</f>
        <v>Мальжагарский 5-й наслег</v>
      </c>
      <c r="G81" s="213" t="str">
        <f>VLOOKUP(H81,[1]ОКТМО!B:M,12,0)</f>
        <v>Кытыл-Дюра</v>
      </c>
      <c r="H81" s="214">
        <v>98644428101</v>
      </c>
      <c r="I81" s="213" t="s">
        <v>6305</v>
      </c>
      <c r="J81" s="213" t="s">
        <v>6416</v>
      </c>
      <c r="K81" s="213"/>
      <c r="L81" s="213"/>
      <c r="M81" s="209"/>
      <c r="N81" s="209"/>
      <c r="O81" s="209"/>
      <c r="P81" s="209"/>
    </row>
    <row r="82" spans="1:16" s="211" customFormat="1">
      <c r="A82" s="212">
        <v>45066</v>
      </c>
      <c r="B82" s="213" t="s">
        <v>6300</v>
      </c>
      <c r="C82" s="213" t="s">
        <v>6417</v>
      </c>
      <c r="D82" s="213" t="s">
        <v>6418</v>
      </c>
      <c r="E82" s="213" t="str">
        <f>VLOOKUP(H82,[1]ОКТМО!B:J,6,0)</f>
        <v>Намский муниципальный район</v>
      </c>
      <c r="F82" s="213" t="str">
        <f>VLOOKUP(H82,[1]ОКТМО!B:J,9,0)</f>
        <v>Арбынский наслег</v>
      </c>
      <c r="G82" s="213" t="str">
        <f>VLOOKUP(H82,[1]ОКТМО!B:M,12,0)</f>
        <v>Сыгыннах</v>
      </c>
      <c r="H82" s="214">
        <v>98635405101</v>
      </c>
      <c r="I82" s="213" t="s">
        <v>6419</v>
      </c>
      <c r="J82" s="213" t="s">
        <v>6420</v>
      </c>
      <c r="K82" s="213"/>
      <c r="L82" s="213"/>
      <c r="M82" s="209"/>
      <c r="N82" s="209"/>
      <c r="O82" s="209"/>
      <c r="P82" s="209"/>
    </row>
    <row r="83" spans="1:16" s="211" customFormat="1">
      <c r="A83" s="212">
        <v>45066</v>
      </c>
      <c r="B83" s="213" t="s">
        <v>6300</v>
      </c>
      <c r="C83" s="213" t="s">
        <v>6421</v>
      </c>
      <c r="D83" s="213" t="s">
        <v>6422</v>
      </c>
      <c r="E83" s="213" t="str">
        <f>VLOOKUP(H83,[1]ОКТМО!B:J,6,0)</f>
        <v>Намский муниципальный район</v>
      </c>
      <c r="F83" s="213" t="str">
        <f>VLOOKUP(H83,[1]ОКТМО!B:J,9,0)</f>
        <v>Салбанский наслег</v>
      </c>
      <c r="G83" s="213" t="str">
        <f>VLOOKUP(H83,[1]ОКТМО!B:M,12,0)</f>
        <v>Хонгор-Бие</v>
      </c>
      <c r="H83" s="214">
        <v>98635440101</v>
      </c>
      <c r="I83" s="213" t="s">
        <v>6423</v>
      </c>
      <c r="J83" s="213"/>
      <c r="K83" s="213"/>
      <c r="L83" s="213"/>
      <c r="M83" s="209"/>
      <c r="N83" s="209"/>
      <c r="O83" s="209"/>
      <c r="P83" s="209"/>
    </row>
    <row r="84" spans="1:16" s="211" customFormat="1">
      <c r="A84" s="212">
        <v>45066</v>
      </c>
      <c r="B84" s="213" t="s">
        <v>6424</v>
      </c>
      <c r="C84" s="213" t="s">
        <v>6425</v>
      </c>
      <c r="D84" s="213" t="s">
        <v>6426</v>
      </c>
      <c r="E84" s="213" t="str">
        <f>VLOOKUP(H84,[1]ОКТМО!B:J,6,0)</f>
        <v>Амгинский муниципальный район</v>
      </c>
      <c r="F84" s="213" t="str">
        <f>VLOOKUP(H84,[1]ОКТМО!B:J,9,0)</f>
        <v>Амгинский наслег</v>
      </c>
      <c r="G84" s="213" t="str">
        <f>VLOOKUP(H84,[1]ОКТМО!B:M,12,0)</f>
        <v>Амга</v>
      </c>
      <c r="H84" s="214">
        <v>98608432101</v>
      </c>
      <c r="I84" s="213" t="s">
        <v>6427</v>
      </c>
      <c r="J84" s="213"/>
      <c r="K84" s="213"/>
      <c r="L84" s="213"/>
      <c r="M84" s="209"/>
      <c r="N84" s="209"/>
      <c r="O84" s="209"/>
      <c r="P84" s="209"/>
    </row>
    <row r="85" spans="1:16" s="211" customFormat="1">
      <c r="A85" s="212">
        <v>45066</v>
      </c>
      <c r="B85" s="213" t="s">
        <v>6424</v>
      </c>
      <c r="C85" s="213" t="s">
        <v>6428</v>
      </c>
      <c r="D85" s="213" t="s">
        <v>6429</v>
      </c>
      <c r="E85" s="213" t="str">
        <f>VLOOKUP(H85,[1]ОКТМО!B:J,6,0)</f>
        <v>Амгинский муниципальный район</v>
      </c>
      <c r="F85" s="213" t="str">
        <f>VLOOKUP(H85,[1]ОКТМО!B:J,9,0)</f>
        <v>Чапчылганский наслег</v>
      </c>
      <c r="G85" s="213" t="str">
        <f>VLOOKUP(H85,[1]ОКТМО!B:M,12,0)</f>
        <v>Чапчылган</v>
      </c>
      <c r="H85" s="214">
        <v>98608472101</v>
      </c>
      <c r="I85" s="213" t="s">
        <v>6430</v>
      </c>
      <c r="J85" s="213"/>
      <c r="K85" s="213"/>
      <c r="L85" s="213"/>
      <c r="M85" s="209"/>
      <c r="N85" s="209"/>
      <c r="O85" s="209"/>
      <c r="P85" s="209"/>
    </row>
    <row r="86" spans="1:16" s="211" customFormat="1">
      <c r="A86" s="212">
        <v>45067</v>
      </c>
      <c r="B86" s="213" t="s">
        <v>6431</v>
      </c>
      <c r="C86" s="213" t="s">
        <v>6432</v>
      </c>
      <c r="D86" s="213" t="s">
        <v>6433</v>
      </c>
      <c r="E86" s="213" t="str">
        <f>VLOOKUP(H86,[1]ОКТМО!B:J,6,0)</f>
        <v>Таттинский муниципальный район</v>
      </c>
      <c r="F86" s="213" t="str">
        <f>VLOOKUP(H86,[1]ОКТМО!B:J,9,0)</f>
        <v>Таттинский наслег</v>
      </c>
      <c r="G86" s="213" t="str">
        <f>VLOOKUP(H86,[1]ОКТМО!B:M,12,0)</f>
        <v>Ытык-Кюёль</v>
      </c>
      <c r="H86" s="214">
        <v>98604445101</v>
      </c>
      <c r="I86" s="213" t="s">
        <v>6434</v>
      </c>
      <c r="J86" s="213" t="s">
        <v>6435</v>
      </c>
      <c r="K86" s="213"/>
      <c r="L86" s="213"/>
      <c r="M86" s="209"/>
      <c r="N86" s="209"/>
      <c r="O86" s="209"/>
      <c r="P86" s="209"/>
    </row>
    <row r="87" spans="1:16" s="211" customFormat="1">
      <c r="A87" s="212">
        <v>45068</v>
      </c>
      <c r="B87" s="213" t="s">
        <v>6424</v>
      </c>
      <c r="C87" s="213" t="s">
        <v>6436</v>
      </c>
      <c r="D87" s="213" t="s">
        <v>6437</v>
      </c>
      <c r="E87" s="213" t="str">
        <f>VLOOKUP(H87,[1]ОКТМО!B:J,6,0)</f>
        <v>Таттинский муниципальный район</v>
      </c>
      <c r="F87" s="213" t="str">
        <f>VLOOKUP(H87,[1]ОКТМО!B:J,9,0)</f>
        <v>Жулейский наслег</v>
      </c>
      <c r="G87" s="213" t="str">
        <f>VLOOKUP(H87,[1]ОКТМО!B:M,12,0)</f>
        <v>Туора-Кюёль</v>
      </c>
      <c r="H87" s="214">
        <v>98604425101</v>
      </c>
      <c r="I87" s="213" t="s">
        <v>6293</v>
      </c>
      <c r="J87" s="213"/>
      <c r="K87" s="213"/>
      <c r="L87" s="213"/>
      <c r="M87" s="209"/>
      <c r="N87" s="209"/>
      <c r="O87" s="209"/>
      <c r="P87" s="209"/>
    </row>
    <row r="88" spans="1:16" s="211" customFormat="1">
      <c r="A88" s="212">
        <v>45069</v>
      </c>
      <c r="B88" s="213" t="s">
        <v>6438</v>
      </c>
      <c r="C88" s="213" t="s">
        <v>6439</v>
      </c>
      <c r="D88" s="213" t="s">
        <v>467</v>
      </c>
      <c r="E88" s="213" t="str">
        <f>VLOOKUP(H88,[1]ОКТМО!B:J,6,0)</f>
        <v>Амгинский муниципальный район</v>
      </c>
      <c r="F88" s="213" t="str">
        <f>VLOOKUP(H88,[1]ОКТМО!B:J,9,0)</f>
        <v>Мяндигинский наслег</v>
      </c>
      <c r="G88" s="213" t="str">
        <f>VLOOKUP(H88,[1]ОКТМО!B:M,12,0)</f>
        <v>Мяндиги</v>
      </c>
      <c r="H88" s="214">
        <v>98608455101</v>
      </c>
      <c r="I88" s="213" t="s">
        <v>6261</v>
      </c>
      <c r="J88" s="213"/>
      <c r="K88" s="213"/>
      <c r="L88" s="213"/>
      <c r="M88" s="209"/>
      <c r="N88" s="209"/>
      <c r="O88" s="209"/>
      <c r="P88" s="209"/>
    </row>
    <row r="89" spans="1:16" s="211" customFormat="1">
      <c r="A89" s="212">
        <v>45069</v>
      </c>
      <c r="B89" s="213" t="s">
        <v>6440</v>
      </c>
      <c r="C89" s="213" t="s">
        <v>6441</v>
      </c>
      <c r="D89" s="213" t="s">
        <v>314</v>
      </c>
      <c r="E89" s="213" t="str">
        <f>VLOOKUP(H89,[1]ОКТМО!B:J,6,0)</f>
        <v>Алданский муниципальный район</v>
      </c>
      <c r="F89" s="213" t="str">
        <f>VLOOKUP(H89,[1]ОКТМО!B:J,9,0)</f>
        <v>Чагдинский наслег</v>
      </c>
      <c r="G89" s="213" t="str">
        <f>VLOOKUP(H89,[1]ОКТМО!B:M,12,0)</f>
        <v>Чагда</v>
      </c>
      <c r="H89" s="214">
        <v>98603460101</v>
      </c>
      <c r="I89" s="213" t="s">
        <v>6442</v>
      </c>
      <c r="J89" s="213" t="s">
        <v>6443</v>
      </c>
      <c r="K89" s="213"/>
      <c r="L89" s="213">
        <v>30</v>
      </c>
      <c r="M89" s="209"/>
      <c r="N89" s="209"/>
      <c r="O89" s="209"/>
      <c r="P89" s="209"/>
    </row>
    <row r="90" spans="1:16" s="211" customFormat="1">
      <c r="A90" s="212">
        <v>45069</v>
      </c>
      <c r="B90" s="213" t="s">
        <v>6444</v>
      </c>
      <c r="C90" s="213" t="s">
        <v>6445</v>
      </c>
      <c r="D90" s="213" t="s">
        <v>206</v>
      </c>
      <c r="E90" s="213" t="str">
        <f>VLOOKUP(H90,[1]ОКТМО!B:J,6,0)</f>
        <v>Кобяйский муниципальный район</v>
      </c>
      <c r="F90" s="213" t="str">
        <f>VLOOKUP(H90,[1]ОКТМО!B:J,9,0)</f>
        <v>Ситтинский наслег</v>
      </c>
      <c r="G90" s="213" t="str">
        <f>VLOOKUP(H90,[1]ОКТМО!B:M,12,0)</f>
        <v>Ситте</v>
      </c>
      <c r="H90" s="214">
        <v>98624450101</v>
      </c>
      <c r="I90" s="213" t="s">
        <v>6446</v>
      </c>
      <c r="J90" s="213"/>
      <c r="K90" s="213"/>
      <c r="L90" s="213">
        <v>205</v>
      </c>
      <c r="M90" s="209"/>
      <c r="N90" s="209"/>
      <c r="O90" s="209"/>
      <c r="P90" s="209"/>
    </row>
    <row r="91" spans="1:16" s="211" customFormat="1">
      <c r="A91" s="212">
        <v>45069</v>
      </c>
      <c r="B91" s="213" t="s">
        <v>6447</v>
      </c>
      <c r="C91" s="213" t="s">
        <v>6448</v>
      </c>
      <c r="D91" s="213" t="s">
        <v>213</v>
      </c>
      <c r="E91" s="213" t="str">
        <f>VLOOKUP(H91,[1]ОКТМО!B:J,6,0)</f>
        <v>Кобяйский муниципальный район</v>
      </c>
      <c r="F91" s="213" t="str">
        <f>VLOOKUP(H91,[1]ОКТМО!B:J,9,0)</f>
        <v>Куокуйский наслег</v>
      </c>
      <c r="G91" s="213" t="str">
        <f>VLOOKUP(H91,[1]ОКТМО!B:M,12,0)</f>
        <v>Аргас</v>
      </c>
      <c r="H91" s="214">
        <v>98624424101</v>
      </c>
      <c r="I91" s="213" t="s">
        <v>6241</v>
      </c>
      <c r="J91" s="213" t="s">
        <v>6449</v>
      </c>
      <c r="K91" s="213" t="s">
        <v>6450</v>
      </c>
      <c r="L91" s="213">
        <v>724</v>
      </c>
      <c r="M91" s="209"/>
      <c r="N91" s="209"/>
      <c r="O91" s="209"/>
      <c r="P91" s="209"/>
    </row>
    <row r="92" spans="1:16" s="211" customFormat="1">
      <c r="A92" s="212"/>
      <c r="B92" s="213"/>
      <c r="C92" s="213"/>
      <c r="D92" s="213"/>
      <c r="E92" s="213" t="str">
        <f>VLOOKUP(H92,[1]ОКТМО!B:J,6,0)</f>
        <v>Кобяйский муниципальный район</v>
      </c>
      <c r="F92" s="213" t="str">
        <f>VLOOKUP(H92,[1]ОКТМО!B:J,9,0)</f>
        <v>Куокуйский наслег</v>
      </c>
      <c r="G92" s="213" t="str">
        <f>VLOOKUP(H92,[1]ОКТМО!B:M,12,0)</f>
        <v>Аргас</v>
      </c>
      <c r="H92" s="214">
        <v>98624424101</v>
      </c>
      <c r="I92" s="213"/>
      <c r="J92" s="213"/>
      <c r="K92" s="213" t="s">
        <v>6451</v>
      </c>
      <c r="L92" s="213">
        <v>724</v>
      </c>
      <c r="M92" s="209"/>
      <c r="N92" s="209"/>
      <c r="O92" s="209"/>
      <c r="P92" s="209"/>
    </row>
    <row r="93" spans="1:16" s="211" customFormat="1">
      <c r="A93" s="212"/>
      <c r="B93" s="213"/>
      <c r="C93" s="213"/>
      <c r="D93" s="213"/>
      <c r="E93" s="213" t="str">
        <f>VLOOKUP(H93,[1]ОКТМО!B:J,6,0)</f>
        <v>Кобяйский муниципальный район</v>
      </c>
      <c r="F93" s="213" t="str">
        <f>VLOOKUP(H93,[1]ОКТМО!B:J,9,0)</f>
        <v>Куокуйский наслег</v>
      </c>
      <c r="G93" s="213" t="str">
        <f>VLOOKUP(H93,[1]ОКТМО!B:M,12,0)</f>
        <v>Аргас</v>
      </c>
      <c r="H93" s="214">
        <v>98624424101</v>
      </c>
      <c r="I93" s="213"/>
      <c r="J93" s="213"/>
      <c r="K93" s="213" t="s">
        <v>6452</v>
      </c>
      <c r="L93" s="213">
        <v>724</v>
      </c>
      <c r="M93" s="209"/>
      <c r="N93" s="209"/>
      <c r="O93" s="209"/>
      <c r="P93" s="209"/>
    </row>
    <row r="94" spans="1:16" s="211" customFormat="1">
      <c r="A94" s="212"/>
      <c r="B94" s="213"/>
      <c r="C94" s="213"/>
      <c r="D94" s="213"/>
      <c r="E94" s="213" t="str">
        <f>VLOOKUP(H94,[1]ОКТМО!B:J,6,0)</f>
        <v>Кобяйский муниципальный район</v>
      </c>
      <c r="F94" s="213" t="str">
        <f>VLOOKUP(H94,[1]ОКТМО!B:J,9,0)</f>
        <v>Куокуйский наслег</v>
      </c>
      <c r="G94" s="213" t="str">
        <f>VLOOKUP(H94,[1]ОКТМО!B:M,12,0)</f>
        <v>Аргас</v>
      </c>
      <c r="H94" s="214">
        <v>98624424101</v>
      </c>
      <c r="I94" s="213"/>
      <c r="J94" s="213"/>
      <c r="K94" s="213" t="s">
        <v>6453</v>
      </c>
      <c r="L94" s="213">
        <v>724</v>
      </c>
      <c r="M94" s="209"/>
      <c r="N94" s="209"/>
      <c r="O94" s="209"/>
      <c r="P94" s="209"/>
    </row>
    <row r="95" spans="1:16" s="211" customFormat="1">
      <c r="A95" s="212"/>
      <c r="B95" s="213"/>
      <c r="C95" s="213"/>
      <c r="D95" s="213"/>
      <c r="E95" s="213" t="str">
        <f>VLOOKUP(H95,[1]ОКТМО!B:J,6,0)</f>
        <v>Кобяйский муниципальный район</v>
      </c>
      <c r="F95" s="213" t="str">
        <f>VLOOKUP(H95,[1]ОКТМО!B:J,9,0)</f>
        <v>Куокуйский наслег</v>
      </c>
      <c r="G95" s="213" t="str">
        <f>VLOOKUP(H95,[1]ОКТМО!B:M,12,0)</f>
        <v>Аргас</v>
      </c>
      <c r="H95" s="214">
        <v>98624424101</v>
      </c>
      <c r="I95" s="213"/>
      <c r="J95" s="213"/>
      <c r="K95" s="213" t="s">
        <v>6454</v>
      </c>
      <c r="L95" s="213">
        <v>724</v>
      </c>
      <c r="M95" s="209"/>
      <c r="N95" s="209"/>
      <c r="O95" s="209"/>
      <c r="P95" s="209"/>
    </row>
    <row r="96" spans="1:16" s="211" customFormat="1">
      <c r="A96" s="212"/>
      <c r="B96" s="213"/>
      <c r="C96" s="213"/>
      <c r="D96" s="213"/>
      <c r="E96" s="213" t="str">
        <f>VLOOKUP(H96,[1]ОКТМО!B:J,6,0)</f>
        <v>Кобяйский муниципальный район</v>
      </c>
      <c r="F96" s="213" t="str">
        <f>VLOOKUP(H96,[1]ОКТМО!B:J,9,0)</f>
        <v>Куокуйский наслег</v>
      </c>
      <c r="G96" s="213" t="str">
        <f>VLOOKUP(H96,[1]ОКТМО!B:M,12,0)</f>
        <v>Аргас</v>
      </c>
      <c r="H96" s="214">
        <v>98624424101</v>
      </c>
      <c r="I96" s="213"/>
      <c r="J96" s="213"/>
      <c r="K96" s="213" t="s">
        <v>6455</v>
      </c>
      <c r="L96" s="213">
        <v>724</v>
      </c>
      <c r="M96" s="209"/>
      <c r="N96" s="209"/>
      <c r="O96" s="209"/>
      <c r="P96" s="209"/>
    </row>
    <row r="97" spans="1:16" s="211" customFormat="1">
      <c r="A97" s="212"/>
      <c r="B97" s="213"/>
      <c r="C97" s="213"/>
      <c r="D97" s="213"/>
      <c r="E97" s="213" t="str">
        <f>VLOOKUP(H97,[1]ОКТМО!B:J,6,0)</f>
        <v>Кобяйский муниципальный район</v>
      </c>
      <c r="F97" s="213" t="str">
        <f>VLOOKUP(H97,[1]ОКТМО!B:J,9,0)</f>
        <v>Куокуйский наслег</v>
      </c>
      <c r="G97" s="213" t="str">
        <f>VLOOKUP(H97,[1]ОКТМО!B:M,12,0)</f>
        <v>Аргас</v>
      </c>
      <c r="H97" s="214">
        <v>98624424101</v>
      </c>
      <c r="I97" s="213"/>
      <c r="J97" s="213"/>
      <c r="K97" s="213" t="s">
        <v>6456</v>
      </c>
      <c r="L97" s="213">
        <v>724</v>
      </c>
      <c r="M97" s="209"/>
      <c r="N97" s="209"/>
      <c r="O97" s="209"/>
      <c r="P97" s="209"/>
    </row>
    <row r="98" spans="1:16" s="211" customFormat="1">
      <c r="A98" s="212">
        <v>45070</v>
      </c>
      <c r="B98" s="213" t="s">
        <v>6424</v>
      </c>
      <c r="C98" s="213" t="s">
        <v>6457</v>
      </c>
      <c r="D98" s="213" t="s">
        <v>6458</v>
      </c>
      <c r="E98" s="213" t="str">
        <f>VLOOKUP(H98,[1]ОКТМО!B:J,6,0)</f>
        <v>Таттинский муниципальный район</v>
      </c>
      <c r="F98" s="213" t="str">
        <f>VLOOKUP(H98,[1]ОКТМО!B:J,9,0)</f>
        <v>Усть-Амгинский наслег</v>
      </c>
      <c r="G98" s="213" t="str">
        <f>VLOOKUP(H98,[1]ОКТМО!B:M,12,0)</f>
        <v>Чымнайи</v>
      </c>
      <c r="H98" s="214">
        <v>98604460101</v>
      </c>
      <c r="I98" s="213" t="s">
        <v>6459</v>
      </c>
      <c r="J98" s="213"/>
      <c r="K98" s="213"/>
      <c r="L98" s="213">
        <v>1223</v>
      </c>
      <c r="M98" s="209"/>
      <c r="N98" s="209"/>
      <c r="O98" s="209"/>
      <c r="P98" s="209"/>
    </row>
    <row r="99" spans="1:16" s="211" customFormat="1">
      <c r="A99" s="212">
        <v>45071</v>
      </c>
      <c r="B99" s="213" t="s">
        <v>6424</v>
      </c>
      <c r="C99" s="213" t="s">
        <v>6460</v>
      </c>
      <c r="D99" s="213" t="s">
        <v>6461</v>
      </c>
      <c r="E99" s="213" t="str">
        <f>VLOOKUP(H99,[1]ОКТМО!B:J,6,0)</f>
        <v>Таттинский муниципальный район</v>
      </c>
      <c r="F99" s="213" t="str">
        <f>VLOOKUP(H99,[1]ОКТМО!B:J,9,0)</f>
        <v>Средне-Амгинский наслег</v>
      </c>
      <c r="G99" s="213" t="str">
        <f>VLOOKUP(H99,[1]ОКТМО!B:M,12,0)</f>
        <v>Харбалах</v>
      </c>
      <c r="H99" s="214">
        <v>98604440101</v>
      </c>
      <c r="I99" s="213" t="s">
        <v>6247</v>
      </c>
      <c r="J99" s="213"/>
      <c r="K99" s="213"/>
      <c r="L99" s="213"/>
      <c r="M99" s="209"/>
      <c r="N99" s="209"/>
      <c r="O99" s="209"/>
      <c r="P99" s="209"/>
    </row>
    <row r="100" spans="1:16" s="211" customFormat="1">
      <c r="A100" s="212">
        <v>45073</v>
      </c>
      <c r="B100" s="213" t="s">
        <v>6424</v>
      </c>
      <c r="C100" s="213" t="s">
        <v>6462</v>
      </c>
      <c r="D100" s="213" t="s">
        <v>6463</v>
      </c>
      <c r="E100" s="213" t="str">
        <f>VLOOKUP(H100,[1]ОКТМО!B:J,6,0)</f>
        <v>Чурапчинский муниципальный район</v>
      </c>
      <c r="F100" s="213" t="str">
        <f>VLOOKUP(H100,[1]ОКТМО!B:J,9,0)</f>
        <v>Болтогинский наслег</v>
      </c>
      <c r="G100" s="213" t="str">
        <f>VLOOKUP(H100,[1]ОКТМО!B:M,12,0)</f>
        <v>Харбала 2-я</v>
      </c>
      <c r="H100" s="214">
        <v>98658410101</v>
      </c>
      <c r="I100" s="213" t="s">
        <v>6464</v>
      </c>
      <c r="J100" s="213"/>
      <c r="K100" s="213"/>
      <c r="L100" s="213"/>
      <c r="M100" s="209"/>
      <c r="N100" s="209"/>
      <c r="O100" s="209"/>
      <c r="P100" s="209"/>
    </row>
    <row r="101" spans="1:16" s="211" customFormat="1">
      <c r="A101" s="212">
        <v>45075</v>
      </c>
      <c r="B101" s="213" t="s">
        <v>6424</v>
      </c>
      <c r="C101" s="213" t="s">
        <v>6465</v>
      </c>
      <c r="D101" s="213" t="s">
        <v>452</v>
      </c>
      <c r="E101" s="213" t="str">
        <f>VLOOKUP(H101,[1]ОКТМО!B:J,6,0)</f>
        <v>Таттинский муниципальный район</v>
      </c>
      <c r="F101" s="213" t="str">
        <f>VLOOKUP(H101,[1]ОКТМО!B:J,9,0)</f>
        <v>Октябрьский наслег</v>
      </c>
      <c r="G101" s="213" t="str">
        <f>VLOOKUP(H101,[1]ОКТМО!B:M,12,0)</f>
        <v>Черкёх</v>
      </c>
      <c r="H101" s="214">
        <v>98604435101</v>
      </c>
      <c r="I101" s="213" t="s">
        <v>6466</v>
      </c>
      <c r="J101" s="213"/>
      <c r="K101" s="213"/>
      <c r="L101" s="213"/>
      <c r="M101" s="209"/>
      <c r="N101" s="209"/>
      <c r="O101" s="209"/>
      <c r="P101" s="209"/>
    </row>
    <row r="102" spans="1:16" s="211" customFormat="1">
      <c r="A102" s="212">
        <v>45077</v>
      </c>
      <c r="B102" s="213" t="s">
        <v>6424</v>
      </c>
      <c r="C102" s="213" t="s">
        <v>6467</v>
      </c>
      <c r="D102" s="213" t="s">
        <v>455</v>
      </c>
      <c r="E102" s="213" t="str">
        <f>VLOOKUP(H102,[1]ОКТМО!B:J,6,0)</f>
        <v>Таттинский муниципальный район</v>
      </c>
      <c r="F102" s="213" t="str">
        <f>VLOOKUP(H102,[1]ОКТМО!B:J,9,0)</f>
        <v>Жохсогонский наслег</v>
      </c>
      <c r="G102" s="213" t="str">
        <f>VLOOKUP(H102,[1]ОКТМО!B:M,12,0)</f>
        <v>Боробул</v>
      </c>
      <c r="H102" s="214">
        <v>98604420101</v>
      </c>
      <c r="I102" s="213" t="s">
        <v>6468</v>
      </c>
      <c r="J102" s="213"/>
      <c r="K102" s="213"/>
      <c r="L102" s="213"/>
      <c r="M102" s="209"/>
      <c r="N102" s="209"/>
      <c r="O102" s="209"/>
      <c r="P102" s="209"/>
    </row>
    <row r="103" spans="1:16" s="211" customFormat="1" ht="31.5">
      <c r="A103" s="212">
        <v>45077</v>
      </c>
      <c r="B103" s="213" t="s">
        <v>6361</v>
      </c>
      <c r="C103" s="213" t="s">
        <v>6469</v>
      </c>
      <c r="D103" s="213" t="s">
        <v>6470</v>
      </c>
      <c r="E103" s="213" t="str">
        <f>VLOOKUP(H103,[1]ОКТМО!B:J,6,0)</f>
        <v>Анабарский национальный (долгано-эвенкийский) муниципальный район</v>
      </c>
      <c r="F103" s="213" t="str">
        <f>VLOOKUP(H103,[1]ОКТМО!B:J,9,0)</f>
        <v>Саскылахский национальный (эвенкийский) наслег</v>
      </c>
      <c r="G103" s="213" t="str">
        <f>VLOOKUP(H103,[1]ОКТМО!B:M,12,0)</f>
        <v>Саскылах</v>
      </c>
      <c r="H103" s="214">
        <v>98610411101</v>
      </c>
      <c r="I103" s="213" t="s">
        <v>6471</v>
      </c>
      <c r="J103" s="213"/>
      <c r="K103" s="213"/>
      <c r="L103" s="213"/>
      <c r="M103" s="209"/>
      <c r="N103" s="209"/>
      <c r="O103" s="209"/>
      <c r="P103" s="209"/>
    </row>
    <row r="104" spans="1:16" s="211" customFormat="1">
      <c r="A104" s="212">
        <v>45119</v>
      </c>
      <c r="B104" s="213" t="s">
        <v>3208</v>
      </c>
      <c r="C104" s="213" t="s">
        <v>6366</v>
      </c>
      <c r="D104" s="213" t="s">
        <v>6367</v>
      </c>
      <c r="E104" s="213" t="str">
        <f>VLOOKUP(H104,[1]ОКТМО!B:J,6,0)</f>
        <v>Оймяконский муниципальный район</v>
      </c>
      <c r="F104" s="213" t="str">
        <f>VLOOKUP(H104,[1]ОКТМО!B:J,9,0)</f>
        <v>Сордоннохский национальный наслег</v>
      </c>
      <c r="G104" s="213" t="str">
        <f>VLOOKUP(H104,[1]ОКТМО!B:M,12,0)</f>
        <v>Орто-Балаган</v>
      </c>
      <c r="H104" s="214">
        <v>98639427101</v>
      </c>
      <c r="I104" s="213" t="s">
        <v>6472</v>
      </c>
      <c r="J104" s="213"/>
      <c r="K104" s="213"/>
      <c r="L104" s="213"/>
      <c r="M104" s="209"/>
      <c r="N104" s="209"/>
      <c r="O104" s="209"/>
      <c r="P104" s="209"/>
    </row>
    <row r="105" spans="1:16" s="211" customFormat="1">
      <c r="A105" s="212">
        <v>45119</v>
      </c>
      <c r="B105" s="213" t="s">
        <v>6473</v>
      </c>
      <c r="C105" s="213" t="s">
        <v>6474</v>
      </c>
      <c r="D105" s="213" t="s">
        <v>6475</v>
      </c>
      <c r="E105" s="213" t="str">
        <f>VLOOKUP(H105,[1]ОКТМО!B:J,6,0)</f>
        <v>Оймяконский муниципальный район</v>
      </c>
      <c r="F105" s="213" t="str">
        <f>VLOOKUP(H105,[1]ОКТМО!B:J,9,0)</f>
        <v>Борогонский 2-й наслег</v>
      </c>
      <c r="G105" s="213" t="str">
        <f>VLOOKUP(H105,[1]ОКТМО!B:M,12,0)</f>
        <v>Томтор</v>
      </c>
      <c r="H105" s="215">
        <v>98639410101</v>
      </c>
      <c r="I105" s="213" t="s">
        <v>6476</v>
      </c>
      <c r="J105" s="213"/>
      <c r="K105" s="213"/>
      <c r="L105" s="213"/>
      <c r="M105" s="209"/>
      <c r="N105" s="209"/>
      <c r="O105" s="209"/>
      <c r="P105" s="209"/>
    </row>
    <row r="106" spans="1:16" s="211" customFormat="1">
      <c r="A106" s="212">
        <v>45119</v>
      </c>
      <c r="B106" s="213" t="s">
        <v>3208</v>
      </c>
      <c r="C106" s="213" t="s">
        <v>6271</v>
      </c>
      <c r="D106" s="213" t="s">
        <v>6477</v>
      </c>
      <c r="E106" s="213" t="str">
        <f>VLOOKUP(H106,[1]ОКТМО!B:J,6,0)</f>
        <v>Оймяконский муниципальный район</v>
      </c>
      <c r="F106" s="213" t="str">
        <f>VLOOKUP(H106,[1]ОКТМО!B:J,9,0)</f>
        <v>Оймякон Полюс Холода</v>
      </c>
      <c r="G106" s="213" t="str">
        <f>VLOOKUP(H106,[1]ОКТМО!B:M,12,0)</f>
        <v>Оймякон</v>
      </c>
      <c r="H106" s="214">
        <v>98639405101</v>
      </c>
      <c r="I106" s="213" t="s">
        <v>6434</v>
      </c>
      <c r="J106" s="213"/>
      <c r="K106" s="213"/>
      <c r="L106" s="213"/>
      <c r="M106" s="209"/>
      <c r="N106" s="209"/>
      <c r="O106" s="209"/>
      <c r="P106" s="209"/>
    </row>
    <row r="107" spans="1:16" s="211" customFormat="1" ht="31.5">
      <c r="A107" s="212">
        <v>45166</v>
      </c>
      <c r="B107" s="213" t="s">
        <v>3208</v>
      </c>
      <c r="C107" s="213" t="s">
        <v>6366</v>
      </c>
      <c r="D107" s="213" t="s">
        <v>6367</v>
      </c>
      <c r="E107" s="213" t="str">
        <f>VLOOKUP(H107,[1]ОКТМО!B:J,6,0)</f>
        <v>Оймяконский муниципальный район</v>
      </c>
      <c r="F107" s="213" t="str">
        <f>VLOOKUP(H107,[1]ОКТМО!B:J,9,0)</f>
        <v>Сордоннохский национальный наслег</v>
      </c>
      <c r="G107" s="213" t="str">
        <f>VLOOKUP(H107,[1]ОКТМО!B:M,12,0)</f>
        <v>Орто-Балаган</v>
      </c>
      <c r="H107" s="214">
        <v>98639427101</v>
      </c>
      <c r="I107" s="213" t="s">
        <v>6478</v>
      </c>
      <c r="J107" s="213" t="s">
        <v>6479</v>
      </c>
      <c r="K107" s="213"/>
      <c r="L107" s="213"/>
      <c r="M107" s="209"/>
      <c r="N107" s="209"/>
      <c r="O107" s="209"/>
      <c r="P107" s="209"/>
    </row>
    <row r="108" spans="1:16" s="211" customFormat="1" ht="31.5">
      <c r="A108" s="212">
        <v>45166</v>
      </c>
      <c r="B108" s="213" t="s">
        <v>3208</v>
      </c>
      <c r="C108" s="213" t="s">
        <v>6370</v>
      </c>
      <c r="D108" s="213" t="s">
        <v>6272</v>
      </c>
      <c r="E108" s="213" t="str">
        <f>VLOOKUP(H108,[1]ОКТМО!B:J,6,0)</f>
        <v>Оймяконский муниципальный район</v>
      </c>
      <c r="F108" s="213" t="str">
        <f>VLOOKUP(H108,[1]ОКТМО!B:J,9,0)</f>
        <v>Оймякон Полюс Холода</v>
      </c>
      <c r="G108" s="213" t="str">
        <f>VLOOKUP(H108,[1]ОКТМО!B:M,12,0)</f>
        <v>Оймякон</v>
      </c>
      <c r="H108" s="214">
        <v>98639405101</v>
      </c>
      <c r="I108" s="213" t="s">
        <v>6480</v>
      </c>
      <c r="J108" s="213"/>
      <c r="K108" s="213"/>
      <c r="L108" s="213"/>
      <c r="M108" s="209"/>
      <c r="N108" s="209"/>
      <c r="O108" s="209"/>
      <c r="P108" s="209"/>
    </row>
    <row r="109" spans="1:16" s="211" customFormat="1" ht="31.5">
      <c r="A109" s="212">
        <v>44695</v>
      </c>
      <c r="B109" s="213" t="s">
        <v>6379</v>
      </c>
      <c r="C109" s="213" t="s">
        <v>6481</v>
      </c>
      <c r="D109" s="213" t="s">
        <v>301</v>
      </c>
      <c r="E109" s="213" t="str">
        <f>VLOOKUP(H109,[1]ОКТМО!B:J,6,0)</f>
        <v>Горный муниципальный район</v>
      </c>
      <c r="F109" s="213" t="str">
        <f>VLOOKUP(H109,[1]ОКТМО!B:J,9,0)</f>
        <v>Шологонский наслег</v>
      </c>
      <c r="G109" s="213" t="str">
        <f>VLOOKUP(H109,[1]ОКТМО!B:M,12,0)</f>
        <v>Ерт</v>
      </c>
      <c r="H109" s="214">
        <v>98620465101</v>
      </c>
      <c r="I109" s="213" t="s">
        <v>6482</v>
      </c>
      <c r="J109" s="213"/>
      <c r="K109" s="213"/>
      <c r="L109" s="213"/>
      <c r="M109" s="209"/>
      <c r="N109" s="209"/>
      <c r="O109" s="209"/>
      <c r="P109" s="209"/>
    </row>
    <row r="110" spans="1:16" s="211" customFormat="1">
      <c r="A110" s="212">
        <v>44699</v>
      </c>
      <c r="B110" s="213" t="s">
        <v>6440</v>
      </c>
      <c r="C110" s="213" t="s">
        <v>6483</v>
      </c>
      <c r="D110" s="213" t="s">
        <v>6484</v>
      </c>
      <c r="E110" s="213" t="str">
        <f>VLOOKUP(H110,[1]ОКТМО!B:J,6,0)</f>
        <v>Алданский муниципальный район</v>
      </c>
      <c r="F110" s="213" t="str">
        <f>VLOOKUP(H110,[1]ОКТМО!B:J,9,0)</f>
        <v>Чагдинский наслег</v>
      </c>
      <c r="G110" s="213" t="str">
        <f>VLOOKUP(H110,[1]ОКТМО!B:M,12,0)</f>
        <v>Чагда</v>
      </c>
      <c r="H110" s="214">
        <v>98603460101</v>
      </c>
      <c r="I110" s="213" t="s">
        <v>6485</v>
      </c>
      <c r="J110" s="213"/>
      <c r="K110" s="213"/>
      <c r="L110" s="213"/>
      <c r="M110" s="209"/>
      <c r="N110" s="209"/>
      <c r="O110" s="209"/>
      <c r="P110" s="209"/>
    </row>
    <row r="111" spans="1:16" s="211" customFormat="1">
      <c r="A111" s="212">
        <v>44700</v>
      </c>
      <c r="B111" s="213" t="s">
        <v>6300</v>
      </c>
      <c r="C111" s="213" t="s">
        <v>6306</v>
      </c>
      <c r="D111" s="213" t="s">
        <v>72</v>
      </c>
      <c r="E111" s="213" t="str">
        <f>VLOOKUP(H111,[1]ОКТМО!B:J,6,0)</f>
        <v>Олекминский муниципальный район</v>
      </c>
      <c r="F111" s="213" t="str">
        <f>VLOOKUP(H111,[1]ОКТМО!B:J,9,0)</f>
        <v>Хоринский наслег</v>
      </c>
      <c r="G111" s="213" t="str">
        <f>VLOOKUP(H111,[1]ОКТМО!B:M,12,0)</f>
        <v>Хоринцы</v>
      </c>
      <c r="H111" s="214">
        <v>98641485101</v>
      </c>
      <c r="I111" s="213" t="s">
        <v>6486</v>
      </c>
      <c r="J111" s="213"/>
      <c r="K111" s="213"/>
      <c r="L111" s="213"/>
      <c r="M111" s="209"/>
      <c r="N111" s="209"/>
      <c r="O111" s="209"/>
      <c r="P111" s="209"/>
    </row>
    <row r="112" spans="1:16" s="211" customFormat="1">
      <c r="A112" s="212">
        <v>44701</v>
      </c>
      <c r="B112" s="213" t="s">
        <v>6300</v>
      </c>
      <c r="C112" s="213" t="s">
        <v>6487</v>
      </c>
      <c r="D112" s="213" t="s">
        <v>6488</v>
      </c>
      <c r="E112" s="213" t="str">
        <f>VLOOKUP(H112,[1]ОКТМО!B:J,6,0)</f>
        <v>Городской округ Город Якутск</v>
      </c>
      <c r="F112" s="213" t="str">
        <f>VLOOKUP(H112,[1]ОКТМО!B:J,9,0)</f>
        <v>город Якутск</v>
      </c>
      <c r="G112" s="213" t="str">
        <f>VLOOKUP(H112,[1]ОКТМО!B:M,12,0)</f>
        <v>Якутск</v>
      </c>
      <c r="H112" s="214">
        <v>98701000001</v>
      </c>
      <c r="I112" s="213" t="s">
        <v>6489</v>
      </c>
      <c r="J112" s="213"/>
      <c r="K112" s="213"/>
      <c r="L112" s="213"/>
      <c r="M112" s="209"/>
      <c r="N112" s="209"/>
      <c r="O112" s="209"/>
      <c r="P112" s="209"/>
    </row>
    <row r="113" spans="1:16" s="211" customFormat="1">
      <c r="A113" s="212">
        <v>44704</v>
      </c>
      <c r="B113" s="213" t="s">
        <v>6300</v>
      </c>
      <c r="C113" s="213" t="s">
        <v>6487</v>
      </c>
      <c r="D113" s="213" t="s">
        <v>138</v>
      </c>
      <c r="E113" s="213" t="str">
        <f>VLOOKUP(H113,[1]ОКТМО!B:J,6,0)</f>
        <v>Городской округ Город Якутск</v>
      </c>
      <c r="F113" s="213" t="str">
        <f>VLOOKUP(H113,[1]ОКТМО!B:J,9,0)</f>
        <v>город Якутск</v>
      </c>
      <c r="G113" s="213" t="str">
        <f>VLOOKUP(H113,[1]ОКТМО!B:M,12,0)</f>
        <v>Тулагино</v>
      </c>
      <c r="H113" s="214">
        <v>98701000121</v>
      </c>
      <c r="I113" s="213" t="s">
        <v>6490</v>
      </c>
      <c r="J113" s="213"/>
      <c r="K113" s="213"/>
      <c r="L113" s="213"/>
      <c r="M113" s="209"/>
      <c r="N113" s="209"/>
      <c r="O113" s="209"/>
      <c r="P113" s="209"/>
    </row>
    <row r="114" spans="1:16" s="211" customFormat="1">
      <c r="A114" s="212">
        <v>44704</v>
      </c>
      <c r="B114" s="213" t="s">
        <v>6300</v>
      </c>
      <c r="C114" s="213" t="s">
        <v>6487</v>
      </c>
      <c r="D114" s="213" t="s">
        <v>6491</v>
      </c>
      <c r="E114" s="213" t="str">
        <f>VLOOKUP(H114,[1]ОКТМО!B:J,6,0)</f>
        <v>Городской округ Город Якутск</v>
      </c>
      <c r="F114" s="213" t="str">
        <f>VLOOKUP(H114,[1]ОКТМО!B:J,9,0)</f>
        <v>город Якутск</v>
      </c>
      <c r="G114" s="213" t="str">
        <f>VLOOKUP(H114,[1]ОКТМО!B:M,12,0)</f>
        <v>Якутск</v>
      </c>
      <c r="H114" s="214">
        <v>98701000001</v>
      </c>
      <c r="I114" s="213" t="s">
        <v>6492</v>
      </c>
      <c r="J114" s="213"/>
      <c r="K114" s="213"/>
      <c r="L114" s="213"/>
      <c r="M114" s="209"/>
      <c r="N114" s="209"/>
      <c r="O114" s="209"/>
      <c r="P114" s="209"/>
    </row>
    <row r="115" spans="1:16" s="211" customFormat="1" ht="31.5">
      <c r="A115" s="212">
        <v>44704</v>
      </c>
      <c r="B115" s="213" t="s">
        <v>6300</v>
      </c>
      <c r="C115" s="213" t="s">
        <v>6493</v>
      </c>
      <c r="D115" s="213" t="s">
        <v>6353</v>
      </c>
      <c r="E115" s="213" t="str">
        <f>VLOOKUP(H115,[1]ОКТМО!B:J,6,0)</f>
        <v>Намский муниципальный район</v>
      </c>
      <c r="F115" s="213" t="str">
        <f>VLOOKUP(H115,[1]ОКТМО!B:J,9,0)</f>
        <v>Едейский наслег</v>
      </c>
      <c r="G115" s="213" t="str">
        <f>VLOOKUP(H115,[1]ОКТМО!B:M,12,0)</f>
        <v>Ымыяхтах</v>
      </c>
      <c r="H115" s="214">
        <v>98635415101</v>
      </c>
      <c r="I115" s="213" t="s">
        <v>6494</v>
      </c>
      <c r="J115" s="213"/>
      <c r="K115" s="213"/>
      <c r="L115" s="213"/>
      <c r="M115" s="209"/>
      <c r="N115" s="209"/>
      <c r="O115" s="209"/>
      <c r="P115" s="209"/>
    </row>
    <row r="116" spans="1:16" s="211" customFormat="1">
      <c r="A116" s="212">
        <v>44704</v>
      </c>
      <c r="B116" s="213" t="s">
        <v>6300</v>
      </c>
      <c r="C116" s="213" t="s">
        <v>6495</v>
      </c>
      <c r="D116" s="213" t="s">
        <v>168</v>
      </c>
      <c r="E116" s="213" t="str">
        <f>VLOOKUP(H116,[1]ОКТМО!B:J,6,0)</f>
        <v>Намский муниципальный район</v>
      </c>
      <c r="F116" s="213" t="str">
        <f>VLOOKUP(H116,[1]ОКТМО!B:J,9,0)</f>
        <v>Хамагаттинский наслег</v>
      </c>
      <c r="G116" s="213" t="str">
        <f>VLOOKUP(H116,[1]ОКТМО!B:M,12,0)</f>
        <v>Крест-Кытыл</v>
      </c>
      <c r="H116" s="214">
        <v>98635450101</v>
      </c>
      <c r="I116" s="213" t="s">
        <v>6496</v>
      </c>
      <c r="J116" s="213"/>
      <c r="K116" s="213"/>
      <c r="L116" s="213"/>
      <c r="M116" s="209"/>
      <c r="N116" s="209"/>
      <c r="O116" s="209"/>
      <c r="P116" s="209"/>
    </row>
    <row r="117" spans="1:16" s="211" customFormat="1">
      <c r="A117" s="212">
        <v>44704</v>
      </c>
      <c r="B117" s="213" t="s">
        <v>6300</v>
      </c>
      <c r="C117" s="213" t="s">
        <v>6497</v>
      </c>
      <c r="D117" s="213" t="s">
        <v>162</v>
      </c>
      <c r="E117" s="213" t="str">
        <f>VLOOKUP(H117,[1]ОКТМО!B:J,6,0)</f>
        <v>Намский муниципальный район</v>
      </c>
      <c r="F117" s="213" t="str">
        <f>VLOOKUP(H117,[1]ОКТМО!B:J,9,0)</f>
        <v>Партизанский наслег</v>
      </c>
      <c r="G117" s="213" t="str">
        <f>VLOOKUP(H117,[1]ОКТМО!B:M,12,0)</f>
        <v>Партизан</v>
      </c>
      <c r="H117" s="214">
        <v>98635435101</v>
      </c>
      <c r="I117" s="213" t="s">
        <v>6498</v>
      </c>
      <c r="J117" s="213"/>
      <c r="K117" s="213"/>
      <c r="L117" s="213"/>
      <c r="M117" s="209"/>
      <c r="N117" s="209"/>
      <c r="O117" s="209"/>
      <c r="P117" s="209"/>
    </row>
    <row r="118" spans="1:16" s="211" customFormat="1">
      <c r="A118" s="212">
        <v>44704</v>
      </c>
      <c r="B118" s="213" t="s">
        <v>6300</v>
      </c>
      <c r="C118" s="213" t="s">
        <v>6499</v>
      </c>
      <c r="D118" s="213" t="s">
        <v>179</v>
      </c>
      <c r="E118" s="213" t="str">
        <f>VLOOKUP(H118,[1]ОКТМО!B:J,6,0)</f>
        <v>Намский муниципальный район</v>
      </c>
      <c r="F118" s="213" t="str">
        <f>VLOOKUP(H118,[1]ОКТМО!B:J,9,0)</f>
        <v>Хатын-Арынский наслег</v>
      </c>
      <c r="G118" s="213" t="str">
        <f>VLOOKUP(H118,[1]ОКТМО!B:M,12,0)</f>
        <v>Кысыл-Деревня</v>
      </c>
      <c r="H118" s="214">
        <v>98635455111</v>
      </c>
      <c r="I118" s="213" t="s">
        <v>6500</v>
      </c>
      <c r="J118" s="213"/>
      <c r="K118" s="213"/>
      <c r="L118" s="213"/>
      <c r="M118" s="209"/>
      <c r="N118" s="209"/>
      <c r="O118" s="209"/>
      <c r="P118" s="209"/>
    </row>
    <row r="119" spans="1:16" s="211" customFormat="1" ht="31.5">
      <c r="A119" s="212">
        <v>44704</v>
      </c>
      <c r="B119" s="213" t="s">
        <v>6300</v>
      </c>
      <c r="C119" s="213" t="s">
        <v>6499</v>
      </c>
      <c r="D119" s="213" t="s">
        <v>6331</v>
      </c>
      <c r="E119" s="213" t="str">
        <f>VLOOKUP(H119,[1]ОКТМО!B:J,6,0)</f>
        <v>Намский муниципальный район</v>
      </c>
      <c r="F119" s="213" t="str">
        <f>VLOOKUP(H119,[1]ОКТМО!B:J,9,0)</f>
        <v>Хатын-Арынский наслег</v>
      </c>
      <c r="G119" s="213" t="str">
        <f>VLOOKUP(H119,[1]ОКТМО!B:M,12,0)</f>
        <v>Графский Берег</v>
      </c>
      <c r="H119" s="214">
        <v>98635455106</v>
      </c>
      <c r="I119" s="213" t="s">
        <v>6501</v>
      </c>
      <c r="J119" s="213"/>
      <c r="K119" s="213"/>
      <c r="L119" s="213"/>
      <c r="M119" s="209"/>
      <c r="N119" s="209"/>
      <c r="O119" s="209"/>
      <c r="P119" s="209"/>
    </row>
    <row r="120" spans="1:16" s="211" customFormat="1">
      <c r="A120" s="212">
        <v>44704</v>
      </c>
      <c r="B120" s="213" t="s">
        <v>6300</v>
      </c>
      <c r="C120" s="213" t="s">
        <v>6502</v>
      </c>
      <c r="D120" s="213" t="s">
        <v>170</v>
      </c>
      <c r="E120" s="213" t="str">
        <f>VLOOKUP(H120,[1]ОКТМО!B:J,6,0)</f>
        <v>Намский муниципальный район</v>
      </c>
      <c r="F120" s="213" t="str">
        <f>VLOOKUP(H120,[1]ОКТМО!B:J,9,0)</f>
        <v>Хомустахский 2-й наслег</v>
      </c>
      <c r="G120" s="213" t="str">
        <f>VLOOKUP(H120,[1]ОКТМО!B:M,12,0)</f>
        <v>Хатас</v>
      </c>
      <c r="H120" s="214">
        <v>98635466101</v>
      </c>
      <c r="I120" s="213" t="s">
        <v>6503</v>
      </c>
      <c r="J120" s="213"/>
      <c r="K120" s="213"/>
      <c r="L120" s="213"/>
      <c r="M120" s="209"/>
      <c r="N120" s="209"/>
      <c r="O120" s="209"/>
      <c r="P120" s="209"/>
    </row>
    <row r="121" spans="1:16" s="211" customFormat="1">
      <c r="A121" s="212">
        <v>44704</v>
      </c>
      <c r="B121" s="213" t="s">
        <v>6300</v>
      </c>
      <c r="C121" s="213" t="s">
        <v>6504</v>
      </c>
      <c r="D121" s="213" t="s">
        <v>6335</v>
      </c>
      <c r="E121" s="213" t="str">
        <f>VLOOKUP(H121,[1]ОКТМО!B:J,6,0)</f>
        <v>Намский муниципальный район</v>
      </c>
      <c r="F121" s="213" t="str">
        <f>VLOOKUP(H121,[1]ОКТМО!B:J,9,0)</f>
        <v>Бетюнский наслег</v>
      </c>
      <c r="G121" s="213" t="str">
        <f>VLOOKUP(H121,[1]ОКТМО!B:M,12,0)</f>
        <v>Бютяй-Юрдя</v>
      </c>
      <c r="H121" s="214">
        <v>98635410101</v>
      </c>
      <c r="I121" s="213" t="s">
        <v>6505</v>
      </c>
      <c r="J121" s="213"/>
      <c r="K121" s="213"/>
      <c r="L121" s="213"/>
      <c r="M121" s="209"/>
      <c r="N121" s="209"/>
      <c r="O121" s="209"/>
      <c r="P121" s="209"/>
    </row>
    <row r="122" spans="1:16" s="211" customFormat="1">
      <c r="A122" s="212">
        <v>44704</v>
      </c>
      <c r="B122" s="213" t="s">
        <v>6300</v>
      </c>
      <c r="C122" s="213" t="s">
        <v>6506</v>
      </c>
      <c r="D122" s="213" t="s">
        <v>185</v>
      </c>
      <c r="E122" s="213" t="str">
        <f>VLOOKUP(H122,[1]ОКТМО!B:J,6,0)</f>
        <v>Намский муниципальный район</v>
      </c>
      <c r="F122" s="213" t="str">
        <f>VLOOKUP(H122,[1]ОКТМО!B:J,9,0)</f>
        <v>Модутский наслег</v>
      </c>
      <c r="G122" s="213" t="str">
        <f>VLOOKUP(H122,[1]ОКТМО!B:M,12,0)</f>
        <v>Тумул</v>
      </c>
      <c r="H122" s="215">
        <v>98635430101</v>
      </c>
      <c r="I122" s="213" t="s">
        <v>6507</v>
      </c>
      <c r="J122" s="213"/>
      <c r="K122" s="213"/>
      <c r="L122" s="213"/>
      <c r="M122" s="209"/>
      <c r="N122" s="209"/>
      <c r="O122" s="209"/>
      <c r="P122" s="209"/>
    </row>
    <row r="123" spans="1:16" s="211" customFormat="1">
      <c r="A123" s="212">
        <v>44704</v>
      </c>
      <c r="B123" s="213" t="s">
        <v>6300</v>
      </c>
      <c r="C123" s="213" t="s">
        <v>6508</v>
      </c>
      <c r="D123" s="213" t="s">
        <v>147</v>
      </c>
      <c r="E123" s="213" t="str">
        <f>VLOOKUP(H123,[1]ОКТМО!B:J,6,0)</f>
        <v>Усть-Алданский муниципальный район</v>
      </c>
      <c r="F123" s="213" t="str">
        <f>VLOOKUP(H123,[1]ОКТМО!B:J,9,0)</f>
        <v>Суоттунский наслег</v>
      </c>
      <c r="G123" s="213" t="str">
        <f>VLOOKUP(H123,[1]ОКТМО!B:M,12,0)</f>
        <v>Огородтах</v>
      </c>
      <c r="H123" s="214">
        <v>98652470101</v>
      </c>
      <c r="I123" s="213" t="s">
        <v>6509</v>
      </c>
      <c r="J123" s="213"/>
      <c r="K123" s="213"/>
      <c r="L123" s="213"/>
      <c r="M123" s="209"/>
      <c r="N123" s="209"/>
      <c r="O123" s="209"/>
      <c r="P123" s="209"/>
    </row>
    <row r="124" spans="1:16" s="211" customFormat="1">
      <c r="A124" s="212">
        <v>44704</v>
      </c>
      <c r="B124" s="213" t="s">
        <v>6300</v>
      </c>
      <c r="C124" s="213" t="s">
        <v>6510</v>
      </c>
      <c r="D124" s="213" t="s">
        <v>150</v>
      </c>
      <c r="E124" s="213" t="str">
        <f>VLOOKUP(H124,[1]ОКТМО!B:J,6,0)</f>
        <v>Усть-Алданский муниципальный район</v>
      </c>
      <c r="F124" s="213" t="str">
        <f>VLOOKUP(H124,[1]ОКТМО!B:J,9,0)</f>
        <v>Суоттунский наслег</v>
      </c>
      <c r="G124" s="213" t="str">
        <f>VLOOKUP(H124,[1]ОКТМО!B:M,12,0)</f>
        <v>Хоногор</v>
      </c>
      <c r="H124" s="214">
        <v>98652470111</v>
      </c>
      <c r="I124" s="213" t="s">
        <v>6511</v>
      </c>
      <c r="J124" s="213"/>
      <c r="K124" s="213"/>
      <c r="L124" s="213"/>
      <c r="M124" s="209"/>
      <c r="N124" s="209"/>
      <c r="O124" s="209"/>
      <c r="P124" s="209"/>
    </row>
    <row r="125" spans="1:16" s="211" customFormat="1">
      <c r="A125" s="212">
        <v>44716</v>
      </c>
      <c r="B125" s="213" t="s">
        <v>6300</v>
      </c>
      <c r="C125" s="213" t="s">
        <v>6512</v>
      </c>
      <c r="D125" s="213" t="s">
        <v>203</v>
      </c>
      <c r="E125" s="213" t="str">
        <f>VLOOKUP(H125,[1]ОКТМО!B:J,6,0)</f>
        <v>Намский муниципальный район</v>
      </c>
      <c r="F125" s="213" t="str">
        <f>VLOOKUP(H125,[1]ОКТМО!B:J,9,0)</f>
        <v>Арбынский наслег</v>
      </c>
      <c r="G125" s="213" t="str">
        <f>VLOOKUP(H125,[1]ОКТМО!B:M,12,0)</f>
        <v>Сыгыннах</v>
      </c>
      <c r="H125" s="214">
        <v>98635405101</v>
      </c>
      <c r="I125" s="213" t="s">
        <v>6513</v>
      </c>
      <c r="J125" s="213"/>
      <c r="K125" s="213"/>
      <c r="L125" s="213"/>
      <c r="M125" s="209"/>
      <c r="N125" s="209"/>
      <c r="O125" s="209"/>
      <c r="P125" s="209"/>
    </row>
    <row r="126" spans="1:16" s="211" customFormat="1" ht="47.25">
      <c r="A126" s="212">
        <v>44750</v>
      </c>
      <c r="B126" s="213" t="s">
        <v>6514</v>
      </c>
      <c r="C126" s="213" t="s">
        <v>6515</v>
      </c>
      <c r="D126" s="213" t="s">
        <v>6516</v>
      </c>
      <c r="E126" s="213" t="str">
        <f>VLOOKUP(H126,[1]ОКТМО!B:J,6,0)</f>
        <v>Кобяйский муниципальный район</v>
      </c>
      <c r="F126" s="213" t="str">
        <f>VLOOKUP(H126,[1]ОКТМО!B:J,9,0)</f>
        <v>Ламынхинский эвенский национальный наслег</v>
      </c>
      <c r="G126" s="213" t="str">
        <f>VLOOKUP(H126,[1]ОКТМО!B:M,12,0)</f>
        <v>Себян-Кюёль</v>
      </c>
      <c r="H126" s="214">
        <v>98624429101</v>
      </c>
      <c r="I126" s="213" t="s">
        <v>6517</v>
      </c>
      <c r="J126" s="213" t="s">
        <v>6518</v>
      </c>
      <c r="K126" s="213"/>
      <c r="L126" s="213"/>
      <c r="M126" s="209"/>
      <c r="N126" s="209"/>
      <c r="O126" s="209"/>
      <c r="P126" s="209"/>
    </row>
    <row r="127" spans="1:16" s="211" customFormat="1">
      <c r="A127" s="212">
        <v>44751</v>
      </c>
      <c r="B127" s="213" t="s">
        <v>6519</v>
      </c>
      <c r="C127" s="213" t="s">
        <v>6520</v>
      </c>
      <c r="D127" s="213" t="s">
        <v>6521</v>
      </c>
      <c r="E127" s="213" t="str">
        <f>VLOOKUP(H127,[1]ОКТМО!B:J,6,0)</f>
        <v>Верхоянский муниципальный район</v>
      </c>
      <c r="F127" s="213" t="str">
        <f>VLOOKUP(H127,[1]ОКТМО!B:J,9,0)</f>
        <v>Адычинский наслег</v>
      </c>
      <c r="G127" s="213" t="str">
        <f>VLOOKUP(H127,[1]ОКТМО!B:M,12,0)</f>
        <v>Бетенкёс</v>
      </c>
      <c r="H127" s="214">
        <v>98616404101</v>
      </c>
      <c r="I127" s="213" t="s">
        <v>6522</v>
      </c>
      <c r="J127" s="213"/>
      <c r="K127" s="213"/>
      <c r="L127" s="213"/>
      <c r="M127" s="209"/>
      <c r="N127" s="209"/>
      <c r="O127" s="209"/>
      <c r="P127" s="209"/>
    </row>
    <row r="128" spans="1:16" s="211" customFormat="1">
      <c r="A128" s="212">
        <v>44751</v>
      </c>
      <c r="B128" s="213" t="s">
        <v>6523</v>
      </c>
      <c r="C128" s="213" t="s">
        <v>6524</v>
      </c>
      <c r="D128" s="213" t="s">
        <v>6266</v>
      </c>
      <c r="E128" s="213" t="str">
        <f>VLOOKUP(H128,[1]ОКТМО!B:J,6,0)</f>
        <v>Верхоянский муниципальный район</v>
      </c>
      <c r="F128" s="213" t="str">
        <f>VLOOKUP(H128,[1]ОКТМО!B:J,9,0)</f>
        <v>Дулгалахский наслег</v>
      </c>
      <c r="G128" s="213" t="str">
        <f>VLOOKUP(H128,[1]ОКТМО!B:M,12,0)</f>
        <v>Томтор</v>
      </c>
      <c r="H128" s="215">
        <v>98616425101</v>
      </c>
      <c r="I128" s="213" t="s">
        <v>6525</v>
      </c>
      <c r="J128" s="213"/>
      <c r="K128" s="213"/>
      <c r="L128" s="213"/>
      <c r="M128" s="209"/>
      <c r="N128" s="209"/>
      <c r="O128" s="209"/>
      <c r="P128" s="209"/>
    </row>
    <row r="129" spans="1:16" s="211" customFormat="1">
      <c r="A129" s="212">
        <v>44751</v>
      </c>
      <c r="B129" s="213" t="s">
        <v>6526</v>
      </c>
      <c r="C129" s="213" t="s">
        <v>6527</v>
      </c>
      <c r="D129" s="213" t="s">
        <v>6528</v>
      </c>
      <c r="E129" s="213" t="str">
        <f>VLOOKUP(H129,[1]ОКТМО!B:J,6,0)</f>
        <v>Верхоянский муниципальный район</v>
      </c>
      <c r="F129" s="213" t="str">
        <f>VLOOKUP(H129,[1]ОКТМО!B:J,9,0)</f>
        <v>Борулахский наслег</v>
      </c>
      <c r="G129" s="213" t="str">
        <f>VLOOKUP(H129,[1]ОКТМО!B:M,12,0)</f>
        <v>Токума</v>
      </c>
      <c r="H129" s="214">
        <v>98616414106</v>
      </c>
      <c r="I129" s="213" t="s">
        <v>6529</v>
      </c>
      <c r="J129" s="213"/>
      <c r="K129" s="213"/>
      <c r="L129" s="213"/>
      <c r="M129" s="209"/>
      <c r="N129" s="209"/>
      <c r="O129" s="209"/>
      <c r="P129" s="209"/>
    </row>
    <row r="130" spans="1:16" s="211" customFormat="1" ht="31.5">
      <c r="A130" s="212">
        <v>44751</v>
      </c>
      <c r="B130" s="213" t="s">
        <v>6530</v>
      </c>
      <c r="C130" s="213" t="s">
        <v>6531</v>
      </c>
      <c r="D130" s="213" t="s">
        <v>6532</v>
      </c>
      <c r="E130" s="213" t="str">
        <f>VLOOKUP(H130,[1]ОКТМО!B:J,6,0)</f>
        <v>Верхоянский муниципальный район</v>
      </c>
      <c r="F130" s="213" t="str">
        <f>VLOOKUP(H130,[1]ОКТМО!B:J,9,0)</f>
        <v>Бабушкинский наслег</v>
      </c>
      <c r="G130" s="213" t="str">
        <f>VLOOKUP(H130,[1]ОКТМО!B:M,12,0)</f>
        <v>Боронук</v>
      </c>
      <c r="H130" s="214">
        <v>98616477101</v>
      </c>
      <c r="I130" s="213" t="s">
        <v>6533</v>
      </c>
      <c r="J130" s="213"/>
      <c r="K130" s="213"/>
      <c r="L130" s="213"/>
      <c r="M130" s="209"/>
      <c r="N130" s="209"/>
      <c r="O130" s="209"/>
      <c r="P130" s="209"/>
    </row>
    <row r="131" spans="1:16" s="211" customFormat="1">
      <c r="A131" s="212">
        <v>44751</v>
      </c>
      <c r="B131" s="213" t="s">
        <v>6530</v>
      </c>
      <c r="C131" s="213" t="s">
        <v>6534</v>
      </c>
      <c r="D131" s="213" t="s">
        <v>6535</v>
      </c>
      <c r="E131" s="213" t="str">
        <f>VLOOKUP(H131,[1]ОКТМО!B:J,6,0)</f>
        <v>Верхоянский муниципальный район</v>
      </c>
      <c r="F131" s="213" t="str">
        <f>VLOOKUP(H131,[1]ОКТМО!B:J,9,0)</f>
        <v>город Верхоянск</v>
      </c>
      <c r="G131" s="213" t="str">
        <f>VLOOKUP(H131,[1]ОКТМО!B:M,12,0)</f>
        <v>Верхоянск</v>
      </c>
      <c r="H131" s="214">
        <v>98616103001</v>
      </c>
      <c r="I131" s="213" t="s">
        <v>6536</v>
      </c>
      <c r="J131" s="213"/>
      <c r="K131" s="213"/>
      <c r="L131" s="213"/>
      <c r="M131" s="209"/>
      <c r="N131" s="209"/>
      <c r="O131" s="209"/>
      <c r="P131" s="209"/>
    </row>
    <row r="132" spans="1:16" s="211" customFormat="1">
      <c r="A132" s="212">
        <v>44751</v>
      </c>
      <c r="B132" s="213" t="s">
        <v>6530</v>
      </c>
      <c r="C132" s="213" t="s">
        <v>6537</v>
      </c>
      <c r="D132" s="213" t="s">
        <v>6538</v>
      </c>
      <c r="E132" s="213" t="str">
        <f>VLOOKUP(H132,[1]ОКТМО!B:J,6,0)</f>
        <v>Верхоянский муниципальный район</v>
      </c>
      <c r="F132" s="213" t="str">
        <f>VLOOKUP(H132,[1]ОКТМО!B:J,9,0)</f>
        <v>Эльгесский наслег</v>
      </c>
      <c r="G132" s="213" t="str">
        <f>VLOOKUP(H132,[1]ОКТМО!B:M,12,0)</f>
        <v>Хайысардах</v>
      </c>
      <c r="H132" s="214">
        <v>98616470101</v>
      </c>
      <c r="I132" s="213" t="s">
        <v>6539</v>
      </c>
      <c r="J132" s="213"/>
      <c r="K132" s="213"/>
      <c r="L132" s="213"/>
      <c r="M132" s="209"/>
      <c r="N132" s="209"/>
      <c r="O132" s="209"/>
      <c r="P132" s="209"/>
    </row>
    <row r="133" spans="1:16" s="211" customFormat="1">
      <c r="A133" s="212">
        <v>44751</v>
      </c>
      <c r="B133" s="213" t="s">
        <v>6526</v>
      </c>
      <c r="C133" s="213" t="s">
        <v>6527</v>
      </c>
      <c r="D133" s="213" t="s">
        <v>6266</v>
      </c>
      <c r="E133" s="213" t="str">
        <f>VLOOKUP(H133,[1]ОКТМО!B:J,6,0)</f>
        <v>Верхоянский муниципальный район</v>
      </c>
      <c r="F133" s="213" t="str">
        <f>VLOOKUP(H133,[1]ОКТМО!B:J,9,0)</f>
        <v>Борулахский наслег</v>
      </c>
      <c r="G133" s="213" t="str">
        <f>VLOOKUP(H133,[1]ОКТМО!B:M,12,0)</f>
        <v>Томтор</v>
      </c>
      <c r="H133" s="215">
        <v>98616414101</v>
      </c>
      <c r="I133" s="213" t="s">
        <v>6540</v>
      </c>
      <c r="J133" s="213"/>
      <c r="K133" s="213"/>
      <c r="L133" s="213"/>
      <c r="M133" s="209"/>
      <c r="N133" s="209"/>
      <c r="O133" s="209"/>
      <c r="P133" s="209"/>
    </row>
    <row r="134" spans="1:16" s="211" customFormat="1">
      <c r="A134" s="212">
        <v>44751</v>
      </c>
      <c r="B134" s="213" t="s">
        <v>6530</v>
      </c>
      <c r="C134" s="213" t="s">
        <v>6541</v>
      </c>
      <c r="D134" s="213" t="s">
        <v>6542</v>
      </c>
      <c r="E134" s="213" t="str">
        <f>VLOOKUP(H134,[1]ОКТМО!B:J,6,0)</f>
        <v>Верхоянский муниципальный район</v>
      </c>
      <c r="F134" s="213" t="str">
        <f>VLOOKUP(H134,[1]ОКТМО!B:J,9,0)</f>
        <v>Суордахский наслег</v>
      </c>
      <c r="G134" s="213" t="str">
        <f>VLOOKUP(H134,[1]ОКТМО!B:M,12,0)</f>
        <v>Суордах</v>
      </c>
      <c r="H134" s="214">
        <v>98616448101</v>
      </c>
      <c r="I134" s="213" t="s">
        <v>6543</v>
      </c>
      <c r="J134" s="213"/>
      <c r="K134" s="213"/>
      <c r="L134" s="213"/>
      <c r="M134" s="209"/>
      <c r="N134" s="209"/>
      <c r="O134" s="209"/>
      <c r="P134" s="209"/>
    </row>
    <row r="135" spans="1:16" s="211" customFormat="1">
      <c r="A135" s="212">
        <v>44751</v>
      </c>
      <c r="B135" s="213" t="s">
        <v>6530</v>
      </c>
      <c r="C135" s="213" t="s">
        <v>6544</v>
      </c>
      <c r="D135" s="213" t="s">
        <v>6545</v>
      </c>
      <c r="E135" s="213" t="str">
        <f>VLOOKUP(H135,[1]ОКТМО!B:J,6,0)</f>
        <v>Верхоянский муниципальный район</v>
      </c>
      <c r="F135" s="213" t="str">
        <f>VLOOKUP(H135,[1]ОКТМО!B:J,9,0)</f>
        <v>Сартанский наслег</v>
      </c>
      <c r="G135" s="213" t="str">
        <f>VLOOKUP(H135,[1]ОКТМО!B:M,12,0)</f>
        <v>Юнкюр</v>
      </c>
      <c r="H135" s="214">
        <v>98616442101</v>
      </c>
      <c r="I135" s="213" t="s">
        <v>6241</v>
      </c>
      <c r="J135" s="213"/>
      <c r="K135" s="213"/>
      <c r="L135" s="213"/>
      <c r="M135" s="209"/>
      <c r="N135" s="209"/>
      <c r="O135" s="209"/>
      <c r="P135" s="209"/>
    </row>
    <row r="136" spans="1:16" s="211" customFormat="1">
      <c r="A136" s="212">
        <v>44751</v>
      </c>
      <c r="B136" s="213" t="s">
        <v>6546</v>
      </c>
      <c r="C136" s="213" t="s">
        <v>6544</v>
      </c>
      <c r="D136" s="213" t="s">
        <v>6547</v>
      </c>
      <c r="E136" s="213" t="str">
        <f>VLOOKUP(H136,[1]ОКТМО!B:J,6,0)</f>
        <v>Верхоянский муниципальный район</v>
      </c>
      <c r="F136" s="213" t="str">
        <f>VLOOKUP(H136,[1]ОКТМО!B:J,9,0)</f>
        <v>Сартанский наслег</v>
      </c>
      <c r="G136" s="213" t="str">
        <f>VLOOKUP(H136,[1]ОКТМО!B:M,12,0)</f>
        <v>Сысы-Мейите</v>
      </c>
      <c r="H136" s="214">
        <v>98616442106</v>
      </c>
      <c r="I136" s="213" t="s">
        <v>6548</v>
      </c>
      <c r="J136" s="213"/>
      <c r="K136" s="213"/>
      <c r="L136" s="213"/>
      <c r="M136" s="209"/>
      <c r="N136" s="209"/>
      <c r="O136" s="209"/>
      <c r="P136" s="209"/>
    </row>
    <row r="137" spans="1:16" s="211" customFormat="1">
      <c r="A137" s="212">
        <v>44333</v>
      </c>
      <c r="B137" s="213" t="s">
        <v>6424</v>
      </c>
      <c r="C137" s="213" t="s">
        <v>6549</v>
      </c>
      <c r="D137" s="213" t="s">
        <v>6458</v>
      </c>
      <c r="E137" s="213" t="str">
        <f>VLOOKUP(H137,[1]ОКТМО!B:J,6,0)</f>
        <v>Таттинский муниципальный район</v>
      </c>
      <c r="F137" s="213" t="str">
        <f>VLOOKUP(H137,[1]ОКТМО!B:J,9,0)</f>
        <v>Усть-Амгинский наслег</v>
      </c>
      <c r="G137" s="213" t="str">
        <f>VLOOKUP(H137,[1]ОКТМО!B:M,12,0)</f>
        <v>Чымнайи</v>
      </c>
      <c r="H137" s="214">
        <v>98604460101</v>
      </c>
      <c r="I137" s="213" t="s">
        <v>6434</v>
      </c>
      <c r="J137" s="213"/>
      <c r="K137" s="213"/>
      <c r="L137" s="213"/>
      <c r="M137" s="209"/>
      <c r="N137" s="209"/>
      <c r="O137" s="209"/>
      <c r="P137" s="209"/>
    </row>
    <row r="138" spans="1:16" s="211" customFormat="1">
      <c r="A138" s="212">
        <v>44335</v>
      </c>
      <c r="B138" s="213" t="s">
        <v>6424</v>
      </c>
      <c r="C138" s="213" t="s">
        <v>6550</v>
      </c>
      <c r="D138" s="213" t="s">
        <v>6461</v>
      </c>
      <c r="E138" s="213" t="str">
        <f>VLOOKUP(H138,[1]ОКТМО!B:J,6,0)</f>
        <v>Таттинский муниципальный район</v>
      </c>
      <c r="F138" s="213" t="str">
        <f>VLOOKUP(H138,[1]ОКТМО!B:J,9,0)</f>
        <v>Средне-Амгинский наслег</v>
      </c>
      <c r="G138" s="213" t="str">
        <f>VLOOKUP(H138,[1]ОКТМО!B:M,12,0)</f>
        <v>Харбалах</v>
      </c>
      <c r="H138" s="214">
        <v>98604440101</v>
      </c>
      <c r="I138" s="213" t="s">
        <v>6402</v>
      </c>
      <c r="J138" s="213"/>
      <c r="K138" s="213"/>
      <c r="L138" s="213"/>
      <c r="M138" s="209"/>
      <c r="N138" s="209"/>
      <c r="O138" s="209"/>
      <c r="P138" s="209"/>
    </row>
    <row r="139" spans="1:16" s="211" customFormat="1">
      <c r="A139" s="212">
        <v>44338</v>
      </c>
      <c r="B139" s="213" t="s">
        <v>6300</v>
      </c>
      <c r="C139" s="213" t="s">
        <v>6551</v>
      </c>
      <c r="D139" s="213" t="s">
        <v>6552</v>
      </c>
      <c r="E139" s="213" t="str">
        <f>VLOOKUP(H139,[1]ОКТМО!B:J,6,0)</f>
        <v>Намский муниципальный район</v>
      </c>
      <c r="F139" s="213" t="str">
        <f>VLOOKUP(H139,[1]ОКТМО!B:J,9,0)</f>
        <v>Арбынский наслег</v>
      </c>
      <c r="G139" s="213" t="str">
        <f>VLOOKUP(H139,[1]ОКТМО!B:M,12,0)</f>
        <v>Сыгыннах</v>
      </c>
      <c r="H139" s="214">
        <v>98635405101</v>
      </c>
      <c r="I139" s="213" t="s">
        <v>6553</v>
      </c>
      <c r="J139" s="213"/>
      <c r="K139" s="213"/>
      <c r="L139" s="213"/>
      <c r="M139" s="209"/>
      <c r="N139" s="209"/>
      <c r="O139" s="209"/>
      <c r="P139" s="209"/>
    </row>
    <row r="140" spans="1:16" s="211" customFormat="1">
      <c r="A140" s="212">
        <v>44359</v>
      </c>
      <c r="B140" s="213" t="s">
        <v>6554</v>
      </c>
      <c r="C140" s="213" t="s">
        <v>6555</v>
      </c>
      <c r="D140" s="213" t="s">
        <v>6528</v>
      </c>
      <c r="E140" s="213" t="str">
        <f>VLOOKUP(H140,[1]ОКТМО!B:J,6,0)</f>
        <v>Верхоянский муниципальный район</v>
      </c>
      <c r="F140" s="213" t="str">
        <f>VLOOKUP(H140,[1]ОКТМО!B:J,9,0)</f>
        <v>Борулахский наслег</v>
      </c>
      <c r="G140" s="213" t="str">
        <f>VLOOKUP(H140,[1]ОКТМО!B:M,12,0)</f>
        <v>Токума</v>
      </c>
      <c r="H140" s="214">
        <v>98616414106</v>
      </c>
      <c r="I140" s="213" t="s">
        <v>6261</v>
      </c>
      <c r="J140" s="213"/>
      <c r="K140" s="213"/>
      <c r="L140" s="213"/>
      <c r="M140" s="209"/>
      <c r="N140" s="209"/>
      <c r="O140" s="209"/>
      <c r="P140" s="209"/>
    </row>
    <row r="141" spans="1:16" s="211" customFormat="1" ht="31.5">
      <c r="A141" s="212">
        <v>44359</v>
      </c>
      <c r="B141" s="213" t="s">
        <v>6554</v>
      </c>
      <c r="C141" s="213" t="s">
        <v>6555</v>
      </c>
      <c r="D141" s="213" t="s">
        <v>6266</v>
      </c>
      <c r="E141" s="213" t="str">
        <f>VLOOKUP(H141,[1]ОКТМО!B:J,6,0)</f>
        <v>Верхоянский муниципальный район</v>
      </c>
      <c r="F141" s="213" t="str">
        <f>VLOOKUP(H141,[1]ОКТМО!B:J,9,0)</f>
        <v>Борулахский наслег</v>
      </c>
      <c r="G141" s="213" t="str">
        <f>VLOOKUP(H141,[1]ОКТМО!B:M,12,0)</f>
        <v>Томтор</v>
      </c>
      <c r="H141" s="215">
        <v>98616414101</v>
      </c>
      <c r="I141" s="213" t="s">
        <v>6556</v>
      </c>
      <c r="J141" s="213"/>
      <c r="K141" s="213"/>
      <c r="L141" s="213"/>
      <c r="M141" s="209"/>
      <c r="N141" s="209"/>
      <c r="O141" s="209"/>
      <c r="P141" s="209"/>
    </row>
    <row r="142" spans="1:16" s="211" customFormat="1">
      <c r="A142" s="212">
        <v>44403</v>
      </c>
      <c r="B142" s="213" t="s">
        <v>3208</v>
      </c>
      <c r="C142" s="213" t="s">
        <v>6557</v>
      </c>
      <c r="D142" s="213" t="s">
        <v>6288</v>
      </c>
      <c r="E142" s="213" t="str">
        <f>VLOOKUP(H142,[1]ОКТМО!B:J,6,0)</f>
        <v>Момский муниципальный район</v>
      </c>
      <c r="F142" s="213" t="str">
        <f>VLOOKUP(H142,[1]ОКТМО!B:J,9,0)</f>
        <v>Индигирский национальный наслег</v>
      </c>
      <c r="G142" s="213" t="str">
        <f>VLOOKUP(H142,[1]ОКТМО!B:M,12,0)</f>
        <v>Буор-Сысы</v>
      </c>
      <c r="H142" s="214">
        <v>98633414101</v>
      </c>
      <c r="I142" s="213" t="s">
        <v>6305</v>
      </c>
      <c r="J142" s="213"/>
      <c r="K142" s="213"/>
      <c r="L142" s="213"/>
      <c r="M142" s="209"/>
      <c r="N142" s="209"/>
      <c r="O142" s="209"/>
      <c r="P142" s="209"/>
    </row>
    <row r="143" spans="1:16" s="211" customFormat="1">
      <c r="A143" s="212">
        <v>43954</v>
      </c>
      <c r="B143" s="213" t="s">
        <v>6373</v>
      </c>
      <c r="C143" s="213" t="s">
        <v>6202</v>
      </c>
      <c r="D143" s="213" t="s">
        <v>301</v>
      </c>
      <c r="E143" s="213" t="str">
        <f>VLOOKUP(H143,[1]ОКТМО!B:J,6,0)</f>
        <v>Горный муниципальный район</v>
      </c>
      <c r="F143" s="213" t="str">
        <f>VLOOKUP(H143,[1]ОКТМО!B:J,9,0)</f>
        <v>Шологонский наслег</v>
      </c>
      <c r="G143" s="213" t="str">
        <f>VLOOKUP(H143,[1]ОКТМО!B:M,12,0)</f>
        <v>Ерт</v>
      </c>
      <c r="H143" s="214">
        <v>98620465101</v>
      </c>
      <c r="I143" s="213" t="s">
        <v>6558</v>
      </c>
      <c r="J143" s="213"/>
      <c r="K143" s="213"/>
      <c r="L143" s="213"/>
      <c r="M143" s="209"/>
      <c r="N143" s="209"/>
      <c r="O143" s="209"/>
      <c r="P143" s="209"/>
    </row>
    <row r="144" spans="1:16" s="211" customFormat="1">
      <c r="A144" s="212">
        <v>43960</v>
      </c>
      <c r="B144" s="213" t="s">
        <v>6221</v>
      </c>
      <c r="C144" s="213" t="s">
        <v>6559</v>
      </c>
      <c r="D144" s="213" t="s">
        <v>6320</v>
      </c>
      <c r="E144" s="213" t="str">
        <f>VLOOKUP(H144,[1]ОКТМО!B:J,6,0)</f>
        <v>Нюрбинский муниципальный район</v>
      </c>
      <c r="F144" s="213" t="str">
        <f>VLOOKUP(H144,[1]ОКТМО!B:J,9,0)</f>
        <v>город Нюрба</v>
      </c>
      <c r="G144" s="213" t="str">
        <f>VLOOKUP(H144,[1]ОКТМО!B:M,12,0)</f>
        <v>Нюрба</v>
      </c>
      <c r="H144" s="214">
        <v>98626101001</v>
      </c>
      <c r="I144" s="213" t="s">
        <v>6303</v>
      </c>
      <c r="J144" s="213" t="s">
        <v>6560</v>
      </c>
      <c r="K144" s="213"/>
      <c r="L144" s="213">
        <v>927</v>
      </c>
      <c r="M144" s="209"/>
      <c r="N144" s="209"/>
      <c r="O144" s="209"/>
      <c r="P144" s="209"/>
    </row>
    <row r="145" spans="1:16" s="211" customFormat="1">
      <c r="A145" s="212">
        <v>43962</v>
      </c>
      <c r="B145" s="213" t="s">
        <v>6300</v>
      </c>
      <c r="C145" s="213" t="s">
        <v>6415</v>
      </c>
      <c r="D145" s="213" t="s">
        <v>81</v>
      </c>
      <c r="E145" s="213" t="str">
        <f>VLOOKUP(H145,[1]ОКТМО!B:J,6,0)</f>
        <v>Хангаласский муниципальный район</v>
      </c>
      <c r="F145" s="213" t="str">
        <f>VLOOKUP(H145,[1]ОКТМО!B:J,9,0)</f>
        <v>Мальжагарский 5-й наслег</v>
      </c>
      <c r="G145" s="213" t="str">
        <f>VLOOKUP(H145,[1]ОКТМО!B:M,12,0)</f>
        <v>Кытыл-Дюра</v>
      </c>
      <c r="H145" s="214">
        <v>98644428101</v>
      </c>
      <c r="I145" s="213" t="s">
        <v>6485</v>
      </c>
      <c r="J145" s="213"/>
      <c r="K145" s="213"/>
      <c r="L145" s="213"/>
      <c r="M145" s="209"/>
      <c r="N145" s="209"/>
      <c r="O145" s="209"/>
      <c r="P145" s="209"/>
    </row>
    <row r="146" spans="1:16" s="211" customFormat="1">
      <c r="A146" s="212">
        <v>43964</v>
      </c>
      <c r="B146" s="213" t="s">
        <v>6355</v>
      </c>
      <c r="C146" s="213" t="s">
        <v>6561</v>
      </c>
      <c r="D146" s="213" t="s">
        <v>123</v>
      </c>
      <c r="E146" s="213" t="str">
        <f>VLOOKUP(H146,[1]ОКТМО!B:J,6,0)</f>
        <v>Мегино-Кангаласский муниципальный район</v>
      </c>
      <c r="F146" s="213" t="str">
        <f>VLOOKUP(H146,[1]ОКТМО!B:J,9,0)</f>
        <v>поселок Нижний Бестях</v>
      </c>
      <c r="G146" s="213" t="str">
        <f>VLOOKUP(H146,[1]ОКТМО!B:M,12,0)</f>
        <v>Нижний Бестях</v>
      </c>
      <c r="H146" s="214">
        <v>98629155051</v>
      </c>
      <c r="I146" s="213" t="s">
        <v>6303</v>
      </c>
      <c r="J146" s="213"/>
      <c r="K146" s="213"/>
      <c r="L146" s="213"/>
      <c r="M146" s="209"/>
      <c r="N146" s="209"/>
      <c r="O146" s="209"/>
      <c r="P146" s="209"/>
    </row>
    <row r="147" spans="1:16" s="211" customFormat="1">
      <c r="A147" s="212">
        <v>43964</v>
      </c>
      <c r="B147" s="213" t="s">
        <v>6300</v>
      </c>
      <c r="C147" s="213" t="s">
        <v>6562</v>
      </c>
      <c r="D147" s="213" t="s">
        <v>135</v>
      </c>
      <c r="E147" s="213" t="str">
        <f>VLOOKUP(H147,[1]ОКТМО!B:J,6,0)</f>
        <v>Городской округ поселок Жатай</v>
      </c>
      <c r="F147" s="213" t="str">
        <f>VLOOKUP(H147,[1]ОКТМО!B:J,9,0)</f>
        <v>Жатай</v>
      </c>
      <c r="G147" s="213" t="str">
        <f>VLOOKUP(H147,[1]ОКТМО!B:M,12,0)</f>
        <v>Жатай</v>
      </c>
      <c r="H147" s="214">
        <v>98702000051</v>
      </c>
      <c r="I147" s="213" t="s">
        <v>6563</v>
      </c>
      <c r="J147" s="213"/>
      <c r="K147" s="213"/>
      <c r="L147" s="213"/>
      <c r="M147" s="209"/>
      <c r="N147" s="209"/>
      <c r="O147" s="209"/>
      <c r="P147" s="209"/>
    </row>
    <row r="148" spans="1:16" s="211" customFormat="1">
      <c r="A148" s="212">
        <v>43964</v>
      </c>
      <c r="B148" s="213" t="s">
        <v>6300</v>
      </c>
      <c r="C148" s="213" t="s">
        <v>6487</v>
      </c>
      <c r="D148" s="213" t="s">
        <v>6564</v>
      </c>
      <c r="E148" s="213" t="str">
        <f>VLOOKUP(H148,[1]ОКТМО!B:J,6,0)</f>
        <v>Городской округ Город Якутск</v>
      </c>
      <c r="F148" s="213" t="str">
        <f>VLOOKUP(H148,[1]ОКТМО!B:J,9,0)</f>
        <v>город Якутск</v>
      </c>
      <c r="G148" s="213" t="str">
        <f>VLOOKUP(H148,[1]ОКТМО!B:M,12,0)</f>
        <v>Табага</v>
      </c>
      <c r="H148" s="214">
        <v>98701000116</v>
      </c>
      <c r="I148" s="213" t="s">
        <v>6293</v>
      </c>
      <c r="J148" s="213"/>
      <c r="K148" s="213"/>
      <c r="L148" s="213"/>
      <c r="M148" s="209"/>
      <c r="N148" s="209"/>
      <c r="O148" s="209"/>
      <c r="P148" s="209"/>
    </row>
    <row r="149" spans="1:16" s="211" customFormat="1" ht="31.5">
      <c r="A149" s="212">
        <v>43964</v>
      </c>
      <c r="B149" s="213" t="s">
        <v>6300</v>
      </c>
      <c r="C149" s="213" t="s">
        <v>6487</v>
      </c>
      <c r="D149" s="213" t="s">
        <v>117</v>
      </c>
      <c r="E149" s="213" t="str">
        <f>VLOOKUP(H149,[1]ОКТМО!B:J,6,0)</f>
        <v>Городской округ Город Якутск</v>
      </c>
      <c r="F149" s="213" t="str">
        <f>VLOOKUP(H149,[1]ОКТМО!B:J,9,0)</f>
        <v>город Якутск</v>
      </c>
      <c r="G149" s="213" t="str">
        <f>VLOOKUP(H149,[1]ОКТМО!B:M,12,0)</f>
        <v>Хатассы</v>
      </c>
      <c r="H149" s="214">
        <v>98701000141</v>
      </c>
      <c r="I149" s="213" t="s">
        <v>6565</v>
      </c>
      <c r="J149" s="213" t="s">
        <v>6566</v>
      </c>
      <c r="K149" s="213"/>
      <c r="L149" s="213"/>
      <c r="M149" s="209"/>
      <c r="N149" s="209"/>
      <c r="O149" s="209"/>
      <c r="P149" s="209"/>
    </row>
    <row r="150" spans="1:16" s="211" customFormat="1">
      <c r="A150" s="212">
        <v>43964</v>
      </c>
      <c r="B150" s="213" t="s">
        <v>6300</v>
      </c>
      <c r="C150" s="213" t="s">
        <v>6487</v>
      </c>
      <c r="D150" s="213" t="s">
        <v>126</v>
      </c>
      <c r="E150" s="213" t="str">
        <f>VLOOKUP(H150,[1]ОКТМО!B:J,6,0)</f>
        <v>Городской округ Город Якутск</v>
      </c>
      <c r="F150" s="213" t="str">
        <f>VLOOKUP(H150,[1]ОКТМО!B:J,9,0)</f>
        <v>город Якутск</v>
      </c>
      <c r="G150" s="213" t="str">
        <f>VLOOKUP(H150,[1]ОКТМО!B:M,12,0)</f>
        <v>Пригородный</v>
      </c>
      <c r="H150" s="214">
        <v>98701000151</v>
      </c>
      <c r="I150" s="213" t="s">
        <v>6567</v>
      </c>
      <c r="J150" s="213"/>
      <c r="K150" s="213"/>
      <c r="L150" s="213"/>
      <c r="M150" s="209"/>
      <c r="N150" s="209"/>
      <c r="O150" s="209"/>
      <c r="P150" s="209"/>
    </row>
    <row r="151" spans="1:16" s="211" customFormat="1">
      <c r="A151" s="212">
        <v>43964</v>
      </c>
      <c r="B151" s="213" t="s">
        <v>6300</v>
      </c>
      <c r="C151" s="213" t="s">
        <v>6487</v>
      </c>
      <c r="D151" s="213" t="s">
        <v>6488</v>
      </c>
      <c r="E151" s="213" t="str">
        <f>VLOOKUP(H151,[1]ОКТМО!B:J,6,0)</f>
        <v>Мегино-Кангаласский муниципальный район</v>
      </c>
      <c r="F151" s="213" t="str">
        <f>VLOOKUP(H151,[1]ОКТМО!B:J,9,0)</f>
        <v>Чыамайыкинский наслег</v>
      </c>
      <c r="G151" s="213" t="str">
        <f>VLOOKUP(H151,[1]ОКТМО!B:M,12,0)</f>
        <v>Даркылах</v>
      </c>
      <c r="H151" s="214">
        <v>98629465101</v>
      </c>
      <c r="I151" s="213" t="s">
        <v>6442</v>
      </c>
      <c r="J151" s="213"/>
      <c r="K151" s="213"/>
      <c r="L151" s="213"/>
      <c r="M151" s="209"/>
      <c r="N151" s="209"/>
      <c r="O151" s="209"/>
      <c r="P151" s="209"/>
    </row>
    <row r="152" spans="1:16" s="211" customFormat="1">
      <c r="A152" s="212">
        <v>43964</v>
      </c>
      <c r="B152" s="213" t="s">
        <v>6300</v>
      </c>
      <c r="C152" s="213" t="s">
        <v>6487</v>
      </c>
      <c r="D152" s="213" t="s">
        <v>6491</v>
      </c>
      <c r="E152" s="213" t="str">
        <f>VLOOKUP(H152,[1]ОКТМО!B:J,6,0)</f>
        <v>Городской округ Город Якутск</v>
      </c>
      <c r="F152" s="213" t="str">
        <f>VLOOKUP(H152,[1]ОКТМО!B:J,9,0)</f>
        <v>город Якутск</v>
      </c>
      <c r="G152" s="213" t="str">
        <f>VLOOKUP(H152,[1]ОКТМО!B:M,12,0)</f>
        <v>Якутск</v>
      </c>
      <c r="H152" s="214">
        <v>98701000001</v>
      </c>
      <c r="I152" s="213" t="s">
        <v>6568</v>
      </c>
      <c r="J152" s="213"/>
      <c r="K152" s="213"/>
      <c r="L152" s="213"/>
      <c r="M152" s="209"/>
      <c r="N152" s="209"/>
      <c r="O152" s="209"/>
      <c r="P152" s="209"/>
    </row>
    <row r="153" spans="1:16" s="211" customFormat="1">
      <c r="A153" s="212">
        <v>43967</v>
      </c>
      <c r="B153" s="213" t="s">
        <v>6300</v>
      </c>
      <c r="C153" s="213" t="s">
        <v>6569</v>
      </c>
      <c r="D153" s="213" t="s">
        <v>170</v>
      </c>
      <c r="E153" s="213" t="str">
        <f>VLOOKUP(H153,[1]ОКТМО!B:J,6,0)</f>
        <v>Намский муниципальный район</v>
      </c>
      <c r="F153" s="213" t="str">
        <f>VLOOKUP(H153,[1]ОКТМО!B:J,9,0)</f>
        <v>Хомустахский 2-й наслег</v>
      </c>
      <c r="G153" s="213" t="str">
        <f>VLOOKUP(H153,[1]ОКТМО!B:M,12,0)</f>
        <v>Хатас</v>
      </c>
      <c r="H153" s="214">
        <v>98635466101</v>
      </c>
      <c r="I153" s="213" t="s">
        <v>6427</v>
      </c>
      <c r="J153" s="213"/>
      <c r="K153" s="213"/>
      <c r="L153" s="213"/>
      <c r="M153" s="209"/>
      <c r="N153" s="209"/>
      <c r="O153" s="209"/>
      <c r="P153" s="209"/>
    </row>
    <row r="154" spans="1:16" s="211" customFormat="1">
      <c r="A154" s="212">
        <v>43967</v>
      </c>
      <c r="B154" s="213" t="s">
        <v>6300</v>
      </c>
      <c r="C154" s="213" t="s">
        <v>6570</v>
      </c>
      <c r="D154" s="213" t="s">
        <v>162</v>
      </c>
      <c r="E154" s="213" t="str">
        <f>VLOOKUP(H154,[1]ОКТМО!B:J,6,0)</f>
        <v>Намский муниципальный район</v>
      </c>
      <c r="F154" s="213" t="str">
        <f>VLOOKUP(H154,[1]ОКТМО!B:J,9,0)</f>
        <v>Партизанский наслег</v>
      </c>
      <c r="G154" s="213" t="str">
        <f>VLOOKUP(H154,[1]ОКТМО!B:M,12,0)</f>
        <v>Партизан</v>
      </c>
      <c r="H154" s="214">
        <v>98635435101</v>
      </c>
      <c r="I154" s="213" t="s">
        <v>6293</v>
      </c>
      <c r="J154" s="213"/>
      <c r="K154" s="213"/>
      <c r="L154" s="213"/>
      <c r="M154" s="209"/>
      <c r="N154" s="209"/>
      <c r="O154" s="209"/>
      <c r="P154" s="209"/>
    </row>
    <row r="155" spans="1:16" s="211" customFormat="1" ht="31.5">
      <c r="A155" s="212">
        <v>43972</v>
      </c>
      <c r="B155" s="213" t="s">
        <v>6571</v>
      </c>
      <c r="C155" s="213" t="s">
        <v>6572</v>
      </c>
      <c r="D155" s="213" t="s">
        <v>6573</v>
      </c>
      <c r="E155" s="213" t="str">
        <f>VLOOKUP(H155,[1]ОКТМО!B:J,6,0)</f>
        <v>Мирнинский муниципальный район</v>
      </c>
      <c r="F155" s="213" t="str">
        <f>VLOOKUP(H155,[1]ОКТМО!B:J,9,0)</f>
        <v>город Мирный</v>
      </c>
      <c r="G155" s="213" t="str">
        <f>VLOOKUP(H155,[1]ОКТМО!B:M,12,0)</f>
        <v>Березовка</v>
      </c>
      <c r="H155" s="214">
        <v>98631101106</v>
      </c>
      <c r="I155" s="213" t="s">
        <v>6574</v>
      </c>
      <c r="J155" s="213"/>
      <c r="K155" s="213"/>
      <c r="L155" s="213"/>
      <c r="M155" s="209"/>
      <c r="N155" s="209"/>
      <c r="O155" s="209"/>
      <c r="P155" s="209"/>
    </row>
    <row r="156" spans="1:16" s="211" customFormat="1">
      <c r="A156" s="212">
        <v>43972</v>
      </c>
      <c r="B156" s="213" t="s">
        <v>6225</v>
      </c>
      <c r="C156" s="213" t="s">
        <v>6575</v>
      </c>
      <c r="D156" s="213" t="s">
        <v>6227</v>
      </c>
      <c r="E156" s="213" t="str">
        <f>VLOOKUP(H156,[1]ОКТМО!B:J,6,0)</f>
        <v>Среднеколымский муниципальный район</v>
      </c>
      <c r="F156" s="213" t="str">
        <f>VLOOKUP(H156,[1]ОКТМО!B:J,9,0)</f>
        <v>город Среднеколымск</v>
      </c>
      <c r="G156" s="213" t="str">
        <f>VLOOKUP(H156,[1]ОКТМО!B:M,12,0)</f>
        <v>Среднеколымск</v>
      </c>
      <c r="H156" s="214">
        <v>98646101001</v>
      </c>
      <c r="I156" s="213" t="s">
        <v>6576</v>
      </c>
      <c r="J156" s="213"/>
      <c r="K156" s="213"/>
      <c r="L156" s="213"/>
      <c r="M156" s="209"/>
      <c r="N156" s="209"/>
      <c r="O156" s="209"/>
      <c r="P156" s="209"/>
    </row>
    <row r="157" spans="1:16" s="211" customFormat="1">
      <c r="A157" s="212">
        <v>43972</v>
      </c>
      <c r="B157" s="213" t="s">
        <v>3208</v>
      </c>
      <c r="C157" s="213" t="s">
        <v>6577</v>
      </c>
      <c r="D157" s="213" t="s">
        <v>6292</v>
      </c>
      <c r="E157" s="213" t="str">
        <f>VLOOKUP(H157,[1]ОКТМО!B:J,6,0)</f>
        <v>Момский муниципальный район</v>
      </c>
      <c r="F157" s="213" t="str">
        <f>VLOOKUP(H157,[1]ОКТМО!B:J,9,0)</f>
        <v>Соболохский национальный наслег</v>
      </c>
      <c r="G157" s="213" t="str">
        <f>VLOOKUP(H157,[1]ОКТМО!B:M,12,0)</f>
        <v>Соболох</v>
      </c>
      <c r="H157" s="214">
        <v>98633428101</v>
      </c>
      <c r="I157" s="213" t="s">
        <v>6511</v>
      </c>
      <c r="J157" s="213"/>
      <c r="K157" s="213"/>
      <c r="L157" s="213"/>
      <c r="M157" s="209"/>
      <c r="N157" s="209"/>
      <c r="O157" s="209"/>
      <c r="P157" s="209"/>
    </row>
    <row r="158" spans="1:16" s="211" customFormat="1">
      <c r="A158" s="217"/>
      <c r="B158" s="217"/>
      <c r="C158" s="217"/>
      <c r="D158" s="217"/>
      <c r="E158" s="217"/>
      <c r="F158" s="217"/>
      <c r="G158" s="217"/>
      <c r="H158" s="218"/>
      <c r="I158" s="217"/>
      <c r="J158" s="217"/>
      <c r="K158" s="217"/>
      <c r="L158" s="217"/>
      <c r="M158" s="209"/>
      <c r="N158" s="209"/>
      <c r="O158" s="209"/>
      <c r="P158" s="209"/>
    </row>
    <row r="159" spans="1:16" s="211" customFormat="1">
      <c r="A159" s="217"/>
      <c r="B159" s="217"/>
      <c r="C159" s="217"/>
      <c r="D159" s="217"/>
      <c r="E159" s="217"/>
      <c r="F159" s="217"/>
      <c r="G159" s="217"/>
      <c r="H159" s="218"/>
      <c r="I159" s="217"/>
      <c r="J159" s="217"/>
      <c r="K159" s="217"/>
      <c r="L159" s="217"/>
      <c r="M159" s="209"/>
      <c r="N159" s="209"/>
      <c r="O159" s="209"/>
      <c r="P159" s="209"/>
    </row>
    <row r="160" spans="1:16">
      <c r="A160" s="264" t="s">
        <v>6578</v>
      </c>
      <c r="B160" s="264"/>
      <c r="C160" s="264"/>
      <c r="D160" s="264"/>
      <c r="E160" s="264"/>
      <c r="F160" s="264"/>
      <c r="G160" s="264"/>
      <c r="H160" s="264"/>
      <c r="I160" s="264"/>
      <c r="J160" s="264"/>
      <c r="K160" s="264"/>
      <c r="L160" s="264"/>
    </row>
    <row r="162" spans="4:9">
      <c r="D162" s="220" t="s">
        <v>6194</v>
      </c>
    </row>
    <row r="164" spans="4:9">
      <c r="D164" s="220" t="s">
        <v>6194</v>
      </c>
    </row>
    <row r="165" spans="4:9">
      <c r="I165" s="220" t="s">
        <v>6194</v>
      </c>
    </row>
  </sheetData>
  <mergeCells count="1">
    <mergeCell ref="A160:L160"/>
  </mergeCells>
  <conditionalFormatting sqref="O1">
    <cfRule type="cellIs" dxfId="7" priority="1" operator="equal">
      <formula>0</formula>
    </cfRule>
  </conditionalFormatting>
  <pageMargins left="0.59055554866790805" right="0.59055554866790805" top="0.59055554866790805" bottom="0.59055554866790805" header="0.5" footer="0.5"/>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9925C-2FF4-4A07-88CC-135A8D443C6F}">
  <sheetPr>
    <tabColor rgb="FF92D050"/>
  </sheetPr>
  <dimension ref="A1:J440"/>
  <sheetViews>
    <sheetView zoomScale="85" zoomScaleNormal="85" workbookViewId="0">
      <selection activeCell="J38" sqref="J38"/>
    </sheetView>
  </sheetViews>
  <sheetFormatPr defaultRowHeight="15"/>
  <cols>
    <col min="1" max="1" width="44.42578125" customWidth="1"/>
    <col min="2" max="2" width="47.140625" customWidth="1"/>
    <col min="3" max="3" width="14.85546875" style="70" customWidth="1"/>
    <col min="4" max="4" width="20.7109375" bestFit="1" customWidth="1"/>
    <col min="5" max="5" width="15.140625" bestFit="1" customWidth="1"/>
    <col min="6" max="6" width="34.140625" bestFit="1" customWidth="1"/>
    <col min="7" max="7" width="15.28515625" style="65" bestFit="1" customWidth="1"/>
    <col min="9" max="9" width="25.140625" customWidth="1"/>
    <col min="10" max="10" width="18.42578125" customWidth="1"/>
  </cols>
  <sheetData>
    <row r="1" spans="1:10" ht="15.75">
      <c r="A1" s="66" t="s">
        <v>1</v>
      </c>
      <c r="B1" s="66" t="s">
        <v>2</v>
      </c>
      <c r="C1" s="67" t="s">
        <v>4</v>
      </c>
      <c r="D1" s="66" t="s">
        <v>6579</v>
      </c>
      <c r="E1" s="66" t="s">
        <v>5</v>
      </c>
      <c r="F1" s="66" t="s">
        <v>3</v>
      </c>
      <c r="G1" s="69" t="s">
        <v>6580</v>
      </c>
      <c r="I1" s="5" t="s">
        <v>6200</v>
      </c>
      <c r="J1" s="210">
        <f>COUNTIF(C:C,"#н/д")</f>
        <v>0</v>
      </c>
    </row>
    <row r="2" spans="1:10">
      <c r="A2" t="str">
        <f>VLOOKUP(C2,[1]ОКТМО!B:J,6,0)</f>
        <v>Ленский муниципальный район</v>
      </c>
      <c r="B2" t="str">
        <f>VLOOKUP(C2,[1]ОКТМО!B:J,9,0)</f>
        <v>поселок Витим</v>
      </c>
      <c r="C2" s="70">
        <v>98627153051</v>
      </c>
      <c r="D2" t="s">
        <v>5354</v>
      </c>
      <c r="E2" t="s">
        <v>11</v>
      </c>
      <c r="F2" t="s">
        <v>24</v>
      </c>
      <c r="G2" s="65">
        <v>2006</v>
      </c>
      <c r="I2" s="9" t="s">
        <v>6206</v>
      </c>
      <c r="J2" s="2">
        <f>COUNTIF(C:C,"не н.п.")</f>
        <v>1</v>
      </c>
    </row>
    <row r="3" spans="1:10">
      <c r="A3" t="str">
        <f>VLOOKUP(C3,[1]ОКТМО!B:J,6,0)</f>
        <v>Ленский муниципальный район</v>
      </c>
      <c r="B3" t="str">
        <f>VLOOKUP(C3,[1]ОКТМО!B:J,9,0)</f>
        <v>город Ленск</v>
      </c>
      <c r="C3" s="70">
        <v>98627101001</v>
      </c>
      <c r="D3" t="s">
        <v>5354</v>
      </c>
      <c r="E3" t="s">
        <v>11</v>
      </c>
      <c r="F3" t="s">
        <v>36</v>
      </c>
      <c r="G3" s="65">
        <v>2001</v>
      </c>
    </row>
    <row r="4" spans="1:10">
      <c r="A4" t="str">
        <f>VLOOKUP(C4,[1]ОКТМО!B:J,6,0)</f>
        <v>Олекминский муниципальный район</v>
      </c>
      <c r="B4" t="str">
        <f>VLOOKUP(C4,[1]ОКТМО!B:J,9,0)</f>
        <v>Кыллахский наслег</v>
      </c>
      <c r="C4" s="70">
        <v>98641430101</v>
      </c>
      <c r="D4" t="s">
        <v>5354</v>
      </c>
      <c r="E4" t="s">
        <v>11</v>
      </c>
      <c r="F4" t="s">
        <v>817</v>
      </c>
      <c r="G4" s="65">
        <v>2006</v>
      </c>
    </row>
    <row r="5" spans="1:10">
      <c r="A5" t="str">
        <f>VLOOKUP(C5,[1]ОКТМО!B:J,6,0)</f>
        <v>Олекминский муниципальный район</v>
      </c>
      <c r="B5" t="str">
        <f>VLOOKUP(C5,[1]ОКТМО!B:J,9,0)</f>
        <v>Кыллахский наслег</v>
      </c>
      <c r="C5" s="70">
        <v>98641430101</v>
      </c>
      <c r="D5" t="s">
        <v>5354</v>
      </c>
      <c r="E5" t="s">
        <v>11</v>
      </c>
      <c r="F5" t="s">
        <v>817</v>
      </c>
      <c r="G5" s="65">
        <v>2011</v>
      </c>
    </row>
    <row r="6" spans="1:10">
      <c r="A6" t="str">
        <f>VLOOKUP(C6,[1]ОКТМО!B:J,6,0)</f>
        <v>Олекминский муниципальный район</v>
      </c>
      <c r="B6" t="str">
        <f>VLOOKUP(C6,[1]ОКТМО!B:J,9,0)</f>
        <v>Кыллахский наслег</v>
      </c>
      <c r="C6" s="70">
        <v>98641430101</v>
      </c>
      <c r="D6" t="s">
        <v>5354</v>
      </c>
      <c r="E6" t="s">
        <v>11</v>
      </c>
      <c r="F6" t="s">
        <v>817</v>
      </c>
      <c r="G6" s="65">
        <v>2024</v>
      </c>
    </row>
    <row r="7" spans="1:10">
      <c r="A7" t="str">
        <f>VLOOKUP(C7,[1]ОКТМО!B:J,6,0)</f>
        <v>Олекминский муниципальный район</v>
      </c>
      <c r="B7" t="str">
        <f>VLOOKUP(C7,[1]ОКТМО!B:J,9,0)</f>
        <v>Троицкий наслег</v>
      </c>
      <c r="C7" s="70">
        <v>98641470101</v>
      </c>
      <c r="D7" t="s">
        <v>5354</v>
      </c>
      <c r="E7" t="s">
        <v>11</v>
      </c>
      <c r="F7" t="s">
        <v>2329</v>
      </c>
      <c r="G7" s="65">
        <v>2011</v>
      </c>
    </row>
    <row r="8" spans="1:10">
      <c r="A8" t="str">
        <f>VLOOKUP(C8,[1]ОКТМО!B:J,6,0)</f>
        <v>Олекминский муниципальный район</v>
      </c>
      <c r="B8" t="str">
        <f>VLOOKUP(C8,[1]ОКТМО!B:J,9,0)</f>
        <v>Троицкий наслег</v>
      </c>
      <c r="C8" s="70">
        <v>98641470101</v>
      </c>
      <c r="D8" t="s">
        <v>5354</v>
      </c>
      <c r="E8" t="s">
        <v>11</v>
      </c>
      <c r="F8" t="s">
        <v>2329</v>
      </c>
      <c r="G8" s="65">
        <v>2024</v>
      </c>
    </row>
    <row r="9" spans="1:10">
      <c r="A9" t="str">
        <f>VLOOKUP(C9,[1]ОКТМО!B:J,6,0)</f>
        <v>Олекминский муниципальный район</v>
      </c>
      <c r="B9" t="str">
        <f>VLOOKUP(C9,[1]ОКТМО!B:J,9,0)</f>
        <v>Солянский наслег</v>
      </c>
      <c r="C9" s="70">
        <v>98641465101</v>
      </c>
      <c r="D9" t="s">
        <v>5354</v>
      </c>
      <c r="E9" t="s">
        <v>11</v>
      </c>
      <c r="F9" t="s">
        <v>69</v>
      </c>
      <c r="G9" s="65">
        <v>2011</v>
      </c>
    </row>
    <row r="10" spans="1:10">
      <c r="A10" t="str">
        <f>VLOOKUP(C10,[1]ОКТМО!B:J,6,0)</f>
        <v>Амгинский муниципальный район</v>
      </c>
      <c r="B10" t="str">
        <f>VLOOKUP(C10,[1]ОКТМО!B:J,9,0)</f>
        <v>Абагинский наслег</v>
      </c>
      <c r="C10" s="70">
        <v>98608405101</v>
      </c>
      <c r="D10" t="s">
        <v>5354</v>
      </c>
      <c r="E10" t="s">
        <v>11</v>
      </c>
      <c r="F10" t="s">
        <v>1072</v>
      </c>
      <c r="G10" s="65">
        <v>2006</v>
      </c>
    </row>
    <row r="11" spans="1:10">
      <c r="A11" t="str">
        <f>VLOOKUP(C11,[1]ОКТМО!B:J,6,0)</f>
        <v>Амгинский муниципальный район</v>
      </c>
      <c r="B11" t="str">
        <f>VLOOKUP(C11,[1]ОКТМО!B:J,9,0)</f>
        <v>Абагинский наслег</v>
      </c>
      <c r="C11" s="70">
        <v>98608405101</v>
      </c>
      <c r="D11" t="s">
        <v>5354</v>
      </c>
      <c r="E11" t="s">
        <v>11</v>
      </c>
      <c r="F11" t="s">
        <v>1072</v>
      </c>
      <c r="G11" s="65">
        <v>2011</v>
      </c>
    </row>
    <row r="12" spans="1:10">
      <c r="A12" t="str">
        <f>VLOOKUP(C12,[1]ОКТМО!B:J,6,0)</f>
        <v>Олекминский муниципальный район</v>
      </c>
      <c r="B12" t="str">
        <f>VLOOKUP(C12,[1]ОКТМО!B:J,9,0)</f>
        <v>город Олекминск</v>
      </c>
      <c r="C12" s="70">
        <v>98641101001</v>
      </c>
      <c r="D12" t="s">
        <v>5354</v>
      </c>
      <c r="E12" t="s">
        <v>11</v>
      </c>
      <c r="F12" t="s">
        <v>66</v>
      </c>
      <c r="G12" s="65">
        <v>2001</v>
      </c>
    </row>
    <row r="13" spans="1:10">
      <c r="A13" t="str">
        <f>VLOOKUP(C13,[1]ОКТМО!B:J,6,0)</f>
        <v>Олекминский муниципальный район</v>
      </c>
      <c r="B13" t="str">
        <f>VLOOKUP(C13,[1]ОКТМО!B:J,9,0)</f>
        <v>город Олекминск</v>
      </c>
      <c r="C13" s="70">
        <v>98641101001</v>
      </c>
      <c r="D13" t="s">
        <v>5354</v>
      </c>
      <c r="E13" t="s">
        <v>11</v>
      </c>
      <c r="F13" t="s">
        <v>66</v>
      </c>
      <c r="G13" s="65">
        <v>2006</v>
      </c>
    </row>
    <row r="14" spans="1:10">
      <c r="A14" t="str">
        <f>VLOOKUP(C14,[1]ОКТМО!B:J,6,0)</f>
        <v>Олекминский муниципальный район</v>
      </c>
      <c r="B14" t="str">
        <f>VLOOKUP(C14,[1]ОКТМО!B:J,9,0)</f>
        <v>город Олекминск</v>
      </c>
      <c r="C14" s="70">
        <v>98641101001</v>
      </c>
      <c r="D14" t="s">
        <v>5354</v>
      </c>
      <c r="E14" t="s">
        <v>11</v>
      </c>
      <c r="F14" t="s">
        <v>66</v>
      </c>
      <c r="G14" s="65">
        <v>2011</v>
      </c>
    </row>
    <row r="15" spans="1:10">
      <c r="A15" t="str">
        <f>VLOOKUP(C15,[1]ОКТМО!B:J,6,0)</f>
        <v>Олекминский муниципальный район</v>
      </c>
      <c r="B15" t="str">
        <f>VLOOKUP(C15,[1]ОКТМО!B:J,9,0)</f>
        <v>Хоринский наслег</v>
      </c>
      <c r="C15" s="70">
        <v>98641485101</v>
      </c>
      <c r="D15" t="s">
        <v>5354</v>
      </c>
      <c r="E15" t="s">
        <v>11</v>
      </c>
      <c r="F15" t="s">
        <v>2348</v>
      </c>
      <c r="G15" s="65">
        <v>2011</v>
      </c>
    </row>
    <row r="16" spans="1:10">
      <c r="A16" t="str">
        <f>VLOOKUP(C16,[1]ОКТМО!B:J,6,0)</f>
        <v>Олекминский муниципальный район</v>
      </c>
      <c r="B16" t="str">
        <f>VLOOKUP(C16,[1]ОКТМО!B:J,9,0)</f>
        <v>Хоринский наслег</v>
      </c>
      <c r="C16" s="70">
        <v>98641485101</v>
      </c>
      <c r="D16" t="s">
        <v>5354</v>
      </c>
      <c r="E16" t="s">
        <v>11</v>
      </c>
      <c r="F16" t="s">
        <v>2348</v>
      </c>
      <c r="G16" s="65">
        <v>2013</v>
      </c>
    </row>
    <row r="17" spans="1:7">
      <c r="A17" t="str">
        <f>VLOOKUP(C17,[1]ОКТМО!B:J,6,0)</f>
        <v>Олекминский муниципальный район</v>
      </c>
      <c r="B17" t="str">
        <f>VLOOKUP(C17,[1]ОКТМО!B:J,9,0)</f>
        <v>Хоринский наслег</v>
      </c>
      <c r="C17" s="70">
        <v>98641485101</v>
      </c>
      <c r="D17" t="s">
        <v>5354</v>
      </c>
      <c r="E17" t="s">
        <v>11</v>
      </c>
      <c r="F17" t="s">
        <v>2348</v>
      </c>
      <c r="G17" s="65">
        <v>2022</v>
      </c>
    </row>
    <row r="18" spans="1:7">
      <c r="A18" t="str">
        <f>VLOOKUP(C18,[1]ОКТМО!B:J,6,0)</f>
        <v>Олекминский муниципальный район</v>
      </c>
      <c r="B18" t="str">
        <f>VLOOKUP(C18,[1]ОКТМО!B:J,9,0)</f>
        <v>Хоринский наслег</v>
      </c>
      <c r="C18" s="70">
        <v>98641485101</v>
      </c>
      <c r="D18" t="s">
        <v>5354</v>
      </c>
      <c r="E18" t="s">
        <v>11</v>
      </c>
      <c r="F18" t="s">
        <v>2348</v>
      </c>
      <c r="G18" s="65">
        <v>2024</v>
      </c>
    </row>
    <row r="19" spans="1:7" ht="15" customHeight="1">
      <c r="A19" t="str">
        <f>VLOOKUP(C19,[1]ОКТМО!B:J,6,0)</f>
        <v>Верхневилюйский муниципальный район</v>
      </c>
      <c r="B19" t="str">
        <f>VLOOKUP(C19,[1]ОКТМО!B:J,9,0)</f>
        <v>Балаганнахский наслег</v>
      </c>
      <c r="C19" s="70">
        <v>98614402101</v>
      </c>
      <c r="D19" t="s">
        <v>5354</v>
      </c>
      <c r="E19" t="s">
        <v>11</v>
      </c>
      <c r="F19" t="s">
        <v>1194</v>
      </c>
      <c r="G19" s="65">
        <v>2024</v>
      </c>
    </row>
    <row r="20" spans="1:7">
      <c r="A20" t="str">
        <f>VLOOKUP(C20,[1]ОКТМО!B:J,6,0)</f>
        <v>Олекминский муниципальный район</v>
      </c>
      <c r="B20" t="str">
        <f>VLOOKUP(C20,[1]ОКТМО!B:J,9,0)</f>
        <v>Нерюктяйинский 1-й наслег</v>
      </c>
      <c r="C20" s="70">
        <v>98641445101</v>
      </c>
      <c r="D20" t="s">
        <v>5354</v>
      </c>
      <c r="E20" t="s">
        <v>11</v>
      </c>
      <c r="F20" t="s">
        <v>2287</v>
      </c>
      <c r="G20" s="65">
        <v>2011</v>
      </c>
    </row>
    <row r="21" spans="1:7">
      <c r="A21" t="str">
        <f>VLOOKUP(C21,[1]ОКТМО!B:J,6,0)</f>
        <v>Олекминский муниципальный район</v>
      </c>
      <c r="B21" t="str">
        <f>VLOOKUP(C21,[1]ОКТМО!B:J,9,0)</f>
        <v>Нерюктяйинский 1-й наслег</v>
      </c>
      <c r="C21" s="70">
        <v>98641445101</v>
      </c>
      <c r="D21" t="s">
        <v>5354</v>
      </c>
      <c r="E21" t="s">
        <v>11</v>
      </c>
      <c r="F21" t="s">
        <v>2287</v>
      </c>
      <c r="G21" s="65">
        <v>2012</v>
      </c>
    </row>
    <row r="22" spans="1:7">
      <c r="A22" t="str">
        <f>VLOOKUP(C22,[1]ОКТМО!B:J,6,0)</f>
        <v>Олекминский муниципальный район</v>
      </c>
      <c r="B22" t="str">
        <f>VLOOKUP(C22,[1]ОКТМО!B:J,9,0)</f>
        <v>Нерюктяйинский 1-й наслег</v>
      </c>
      <c r="C22" s="70">
        <v>98641445101</v>
      </c>
      <c r="D22" t="s">
        <v>5354</v>
      </c>
      <c r="E22" t="s">
        <v>11</v>
      </c>
      <c r="F22" t="s">
        <v>2287</v>
      </c>
      <c r="G22" s="65">
        <v>2024</v>
      </c>
    </row>
    <row r="23" spans="1:7">
      <c r="A23" t="str">
        <f>VLOOKUP(C23,[1]ОКТМО!B:J,6,0)</f>
        <v>Олекминский муниципальный район</v>
      </c>
      <c r="B23" t="str">
        <f>VLOOKUP(C23,[1]ОКТМО!B:J,9,0)</f>
        <v>Нерюктяйинский 1-й наслег</v>
      </c>
      <c r="C23" s="70">
        <v>98641445101</v>
      </c>
      <c r="D23" t="s">
        <v>5354</v>
      </c>
      <c r="E23" t="s">
        <v>11</v>
      </c>
      <c r="F23" t="s">
        <v>2287</v>
      </c>
      <c r="G23" s="65">
        <v>2013</v>
      </c>
    </row>
    <row r="24" spans="1:7">
      <c r="A24" t="str">
        <f>VLOOKUP(C24,[1]ОКТМО!B:J,6,0)</f>
        <v>Олекминский муниципальный район</v>
      </c>
      <c r="B24" t="str">
        <f>VLOOKUP(C24,[1]ОКТМО!B:J,9,0)</f>
        <v>Нерюктяйинский 1-й наслег</v>
      </c>
      <c r="C24" s="70">
        <v>98641445101</v>
      </c>
      <c r="D24" t="s">
        <v>5354</v>
      </c>
      <c r="E24" t="s">
        <v>11</v>
      </c>
      <c r="F24" t="s">
        <v>2287</v>
      </c>
      <c r="G24" s="65">
        <v>2024</v>
      </c>
    </row>
    <row r="25" spans="1:7">
      <c r="A25" t="str">
        <f>VLOOKUP(C25,[1]ОКТМО!B:J,6,0)</f>
        <v>Олекминский муниципальный район</v>
      </c>
      <c r="B25" t="str">
        <f>VLOOKUP(C25,[1]ОКТМО!B:J,9,0)</f>
        <v>Нерюктяйинский 1-й наслег</v>
      </c>
      <c r="C25" s="70">
        <v>98641445106</v>
      </c>
      <c r="D25" t="s">
        <v>5354</v>
      </c>
      <c r="E25" t="s">
        <v>11</v>
      </c>
      <c r="F25" t="s">
        <v>2290</v>
      </c>
      <c r="G25" s="65">
        <v>2024</v>
      </c>
    </row>
    <row r="26" spans="1:7">
      <c r="A26" t="str">
        <f>VLOOKUP(C26,[1]ОКТМО!B:J,6,0)</f>
        <v>Олекминский муниципальный район</v>
      </c>
      <c r="B26" t="str">
        <f>VLOOKUP(C26,[1]ОКТМО!B:J,9,0)</f>
        <v>Дельгейский наслег</v>
      </c>
      <c r="C26" s="70">
        <v>98641415101</v>
      </c>
      <c r="D26" t="s">
        <v>5354</v>
      </c>
      <c r="E26" t="s">
        <v>11</v>
      </c>
      <c r="F26" t="s">
        <v>2236</v>
      </c>
      <c r="G26" s="65">
        <v>2012</v>
      </c>
    </row>
    <row r="27" spans="1:7">
      <c r="A27" t="str">
        <f>VLOOKUP(C27,[1]ОКТМО!B:J,6,0)</f>
        <v>Олекминский муниципальный район</v>
      </c>
      <c r="B27" t="str">
        <f>VLOOKUP(C27,[1]ОКТМО!B:J,9,0)</f>
        <v>Дельгейский наслег</v>
      </c>
      <c r="C27" s="70">
        <v>98641415101</v>
      </c>
      <c r="D27" t="s">
        <v>5354</v>
      </c>
      <c r="E27" t="s">
        <v>11</v>
      </c>
      <c r="F27" t="s">
        <v>2236</v>
      </c>
      <c r="G27" s="65">
        <v>2013</v>
      </c>
    </row>
    <row r="28" spans="1:7">
      <c r="A28" t="str">
        <f>VLOOKUP(C28,[1]ОКТМО!B:J,6,0)</f>
        <v>Олекминский муниципальный район</v>
      </c>
      <c r="B28" t="str">
        <f>VLOOKUP(C28,[1]ОКТМО!B:J,9,0)</f>
        <v>Дельгейский наслег</v>
      </c>
      <c r="C28" s="70">
        <v>98641415101</v>
      </c>
      <c r="D28" t="s">
        <v>5354</v>
      </c>
      <c r="E28" t="s">
        <v>11</v>
      </c>
      <c r="F28" t="s">
        <v>2236</v>
      </c>
      <c r="G28" s="65">
        <v>2024</v>
      </c>
    </row>
    <row r="29" spans="1:7">
      <c r="A29" t="str">
        <f>VLOOKUP(C29,[1]ОКТМО!B:J,6,0)</f>
        <v>Олекминский муниципальный район</v>
      </c>
      <c r="B29" t="str">
        <f>VLOOKUP(C29,[1]ОКТМО!B:J,9,0)</f>
        <v>Дельгейский наслег</v>
      </c>
      <c r="C29" s="70">
        <v>98641415106</v>
      </c>
      <c r="D29" t="s">
        <v>5354</v>
      </c>
      <c r="E29" t="s">
        <v>11</v>
      </c>
      <c r="F29" t="s">
        <v>2239</v>
      </c>
      <c r="G29" s="65">
        <v>2012</v>
      </c>
    </row>
    <row r="30" spans="1:7">
      <c r="A30" t="str">
        <f>VLOOKUP(C30,[1]ОКТМО!B:J,6,0)</f>
        <v>Олекминский муниципальный район</v>
      </c>
      <c r="B30" t="str">
        <f>VLOOKUP(C30,[1]ОКТМО!B:J,9,0)</f>
        <v>Дельгейский наслег</v>
      </c>
      <c r="C30" s="70">
        <v>98641415106</v>
      </c>
      <c r="D30" t="s">
        <v>5354</v>
      </c>
      <c r="E30" t="s">
        <v>11</v>
      </c>
      <c r="F30" t="s">
        <v>2239</v>
      </c>
      <c r="G30" s="65">
        <v>2024</v>
      </c>
    </row>
    <row r="31" spans="1:7">
      <c r="A31" t="str">
        <f>VLOOKUP(C31,[1]ОКТМО!B:J,6,0)</f>
        <v>Хангаласский муниципальный район</v>
      </c>
      <c r="B31" t="str">
        <f>VLOOKUP(C31,[1]ОКТМО!B:J,9,0)</f>
        <v>Мальжагарский 5-й наслег</v>
      </c>
      <c r="C31" s="70">
        <v>98644428101</v>
      </c>
      <c r="D31" t="s">
        <v>5354</v>
      </c>
      <c r="E31" t="s">
        <v>11</v>
      </c>
      <c r="F31" t="s">
        <v>2448</v>
      </c>
      <c r="G31" s="65">
        <v>2009</v>
      </c>
    </row>
    <row r="32" spans="1:7">
      <c r="A32" t="str">
        <f>VLOOKUP(C32,[1]ОКТМО!B:J,6,0)</f>
        <v>Хангаласский муниципальный район</v>
      </c>
      <c r="B32" t="str">
        <f>VLOOKUP(C32,[1]ОКТМО!B:J,9,0)</f>
        <v>Мальжагарский 5-й наслег</v>
      </c>
      <c r="C32" s="70">
        <v>98644428101</v>
      </c>
      <c r="D32" t="s">
        <v>5354</v>
      </c>
      <c r="E32" t="s">
        <v>11</v>
      </c>
      <c r="F32" t="s">
        <v>2448</v>
      </c>
      <c r="G32" s="65">
        <v>2010</v>
      </c>
    </row>
    <row r="33" spans="1:7">
      <c r="A33" t="str">
        <f>VLOOKUP(C33,[1]ОКТМО!B:J,6,0)</f>
        <v>Хангаласский муниципальный район</v>
      </c>
      <c r="B33" t="str">
        <f>VLOOKUP(C33,[1]ОКТМО!B:J,9,0)</f>
        <v>Мальжагарский 5-й наслег</v>
      </c>
      <c r="C33" s="70">
        <v>98644428101</v>
      </c>
      <c r="D33" t="s">
        <v>5354</v>
      </c>
      <c r="E33" t="s">
        <v>11</v>
      </c>
      <c r="F33" t="s">
        <v>2448</v>
      </c>
      <c r="G33" s="65">
        <v>2018</v>
      </c>
    </row>
    <row r="34" spans="1:7">
      <c r="A34" t="str">
        <f>VLOOKUP(C34,[1]ОКТМО!B:J,6,0)</f>
        <v>Хангаласский муниципальный район</v>
      </c>
      <c r="B34" t="str">
        <f>VLOOKUP(C34,[1]ОКТМО!B:J,9,0)</f>
        <v>Мальжагарский 5-й наслег</v>
      </c>
      <c r="C34" s="70">
        <v>98644428101</v>
      </c>
      <c r="D34" t="s">
        <v>5354</v>
      </c>
      <c r="E34" t="s">
        <v>11</v>
      </c>
      <c r="F34" t="s">
        <v>2448</v>
      </c>
      <c r="G34" s="65">
        <v>2020</v>
      </c>
    </row>
    <row r="35" spans="1:7">
      <c r="A35" t="str">
        <f>VLOOKUP(C35,[1]ОКТМО!B:J,6,0)</f>
        <v>Хангаласский муниципальный район</v>
      </c>
      <c r="B35" t="str">
        <f>VLOOKUP(C35,[1]ОКТМО!B:J,9,0)</f>
        <v>Мальжагарский 5-й наслег</v>
      </c>
      <c r="C35" s="70">
        <v>98644428101</v>
      </c>
      <c r="D35" t="s">
        <v>5354</v>
      </c>
      <c r="E35" t="s">
        <v>11</v>
      </c>
      <c r="F35" t="s">
        <v>2448</v>
      </c>
      <c r="G35" s="65">
        <v>2023</v>
      </c>
    </row>
    <row r="36" spans="1:7">
      <c r="A36" t="str">
        <f>VLOOKUP(C36,[1]ОКТМО!B:J,6,0)</f>
        <v>Аллаиховский муниципальный район</v>
      </c>
      <c r="B36" t="str">
        <f>VLOOKUP(C36,[1]ОКТМО!B:J,9,0)</f>
        <v>Береляхский наслег</v>
      </c>
      <c r="C36" s="70">
        <v>98606424101</v>
      </c>
      <c r="D36" t="s">
        <v>5354</v>
      </c>
      <c r="E36" t="s">
        <v>11</v>
      </c>
      <c r="F36" t="s">
        <v>1047</v>
      </c>
      <c r="G36" s="65">
        <v>2010</v>
      </c>
    </row>
    <row r="37" spans="1:7">
      <c r="A37" t="str">
        <f>VLOOKUP(C37,[1]ОКТМО!B:J,6,0)</f>
        <v>Аллаиховский муниципальный район</v>
      </c>
      <c r="B37" t="str">
        <f>VLOOKUP(C37,[1]ОКТМО!B:J,9,0)</f>
        <v>Береляхский наслег</v>
      </c>
      <c r="C37" s="70">
        <v>98606424101</v>
      </c>
      <c r="D37" t="s">
        <v>5354</v>
      </c>
      <c r="E37" t="s">
        <v>11</v>
      </c>
      <c r="F37" t="s">
        <v>1047</v>
      </c>
      <c r="G37" s="65">
        <v>2018</v>
      </c>
    </row>
    <row r="38" spans="1:7">
      <c r="A38" t="str">
        <f>VLOOKUP(C38,[1]ОКТМО!B:J,6,0)</f>
        <v>Хангаласский муниципальный район</v>
      </c>
      <c r="B38" t="str">
        <f>VLOOKUP(C38,[1]ОКТМО!B:J,9,0)</f>
        <v>Иситский наслег</v>
      </c>
      <c r="C38" s="70">
        <v>98644412101</v>
      </c>
      <c r="D38" t="s">
        <v>5354</v>
      </c>
      <c r="E38" t="s">
        <v>11</v>
      </c>
      <c r="F38" t="s">
        <v>2417</v>
      </c>
      <c r="G38" s="65">
        <v>2010</v>
      </c>
    </row>
    <row r="39" spans="1:7">
      <c r="A39" t="str">
        <f>VLOOKUP(C39,[1]ОКТМО!B:J,6,0)</f>
        <v>Хангаласский муниципальный район</v>
      </c>
      <c r="B39" t="str">
        <f>VLOOKUP(C39,[1]ОКТМО!B:J,9,0)</f>
        <v>Мальжагарский 1-й наслег</v>
      </c>
      <c r="C39" s="70">
        <v>98644423106</v>
      </c>
      <c r="D39" t="s">
        <v>5354</v>
      </c>
      <c r="E39" t="s">
        <v>11</v>
      </c>
      <c r="F39" t="s">
        <v>2434</v>
      </c>
      <c r="G39" s="65">
        <v>2006</v>
      </c>
    </row>
    <row r="40" spans="1:7">
      <c r="A40" t="str">
        <f>VLOOKUP(C40,[1]ОКТМО!B:J,6,0)</f>
        <v>Хангаласский муниципальный район</v>
      </c>
      <c r="B40" t="str">
        <f>VLOOKUP(C40,[1]ОКТМО!B:J,9,0)</f>
        <v>Мальжагарский 1-й наслег</v>
      </c>
      <c r="C40" s="70">
        <v>98644423106</v>
      </c>
      <c r="D40" t="s">
        <v>5354</v>
      </c>
      <c r="E40" t="s">
        <v>11</v>
      </c>
      <c r="F40" t="s">
        <v>2434</v>
      </c>
      <c r="G40" s="65">
        <v>2010</v>
      </c>
    </row>
    <row r="41" spans="1:7">
      <c r="A41" t="str">
        <f>VLOOKUP(C41,[1]ОКТМО!B:J,6,0)</f>
        <v>Хангаласский муниципальный район</v>
      </c>
      <c r="B41" t="str">
        <f>VLOOKUP(C41,[1]ОКТМО!B:J,9,0)</f>
        <v>город Покровск</v>
      </c>
      <c r="C41" s="70">
        <v>98644101001</v>
      </c>
      <c r="D41" t="s">
        <v>5354</v>
      </c>
      <c r="E41" t="s">
        <v>11</v>
      </c>
      <c r="F41" t="s">
        <v>99</v>
      </c>
      <c r="G41" s="65">
        <v>2010</v>
      </c>
    </row>
    <row r="42" spans="1:7">
      <c r="A42" t="str">
        <f>VLOOKUP(C42,[1]ОКТМО!B:J,6,0)</f>
        <v>Хангаласский муниципальный район</v>
      </c>
      <c r="B42" t="str">
        <f>VLOOKUP(C42,[1]ОКТМО!B:J,9,0)</f>
        <v>Немюгюнский наслег</v>
      </c>
      <c r="C42" s="70">
        <v>98644435101</v>
      </c>
      <c r="D42" t="s">
        <v>5354</v>
      </c>
      <c r="E42" t="s">
        <v>11</v>
      </c>
      <c r="F42" t="s">
        <v>2452</v>
      </c>
      <c r="G42" s="65">
        <v>2010</v>
      </c>
    </row>
    <row r="43" spans="1:7">
      <c r="A43" t="str">
        <f>VLOOKUP(C43,[1]ОКТМО!B:J,6,0)</f>
        <v>Хангаласский муниципальный район</v>
      </c>
      <c r="B43" t="str">
        <f>VLOOKUP(C43,[1]ОКТМО!B:J,9,0)</f>
        <v>Жемконский 1-й наслег</v>
      </c>
      <c r="C43" s="70">
        <v>98644406106</v>
      </c>
      <c r="D43" t="s">
        <v>5354</v>
      </c>
      <c r="E43" t="s">
        <v>11</v>
      </c>
      <c r="F43" t="s">
        <v>2402</v>
      </c>
      <c r="G43" s="65">
        <v>2010</v>
      </c>
    </row>
    <row r="44" spans="1:7">
      <c r="A44" t="str">
        <f>VLOOKUP(C44,[1]ОКТМО!B:J,6,0)</f>
        <v>Хангаласский муниципальный район</v>
      </c>
      <c r="B44" t="str">
        <f>VLOOKUP(C44,[1]ОКТМО!B:J,9,0)</f>
        <v>Жемконский 1-й наслег</v>
      </c>
      <c r="C44" s="70">
        <v>98644406106</v>
      </c>
      <c r="D44" t="s">
        <v>5354</v>
      </c>
      <c r="E44" t="s">
        <v>11</v>
      </c>
      <c r="F44" t="s">
        <v>2402</v>
      </c>
      <c r="G44" s="65">
        <v>2018</v>
      </c>
    </row>
    <row r="45" spans="1:7">
      <c r="A45" t="str">
        <f>VLOOKUP(C45,[1]ОКТМО!B:J,6,0)</f>
        <v>Хангаласский муниципальный район</v>
      </c>
      <c r="B45" t="str">
        <f>VLOOKUP(C45,[1]ОКТМО!B:J,9,0)</f>
        <v>Жерский наслег</v>
      </c>
      <c r="C45" s="70">
        <v>98644409101</v>
      </c>
      <c r="D45" t="s">
        <v>5354</v>
      </c>
      <c r="E45" t="s">
        <v>11</v>
      </c>
      <c r="F45" t="s">
        <v>2413</v>
      </c>
      <c r="G45" s="65">
        <v>2010</v>
      </c>
    </row>
    <row r="46" spans="1:7">
      <c r="A46" t="str">
        <f>VLOOKUP(C46,[1]ОКТМО!B:J,6,0)</f>
        <v>Хангаласский муниципальный район</v>
      </c>
      <c r="B46" t="str">
        <f>VLOOKUP(C46,[1]ОКТМО!B:J,9,0)</f>
        <v>Октемский наслег</v>
      </c>
      <c r="C46" s="70">
        <v>98644440101</v>
      </c>
      <c r="D46" t="s">
        <v>5354</v>
      </c>
      <c r="E46" t="s">
        <v>11</v>
      </c>
      <c r="F46" t="s">
        <v>2456</v>
      </c>
      <c r="G46" s="65">
        <v>2010</v>
      </c>
    </row>
    <row r="47" spans="1:7">
      <c r="A47" t="str">
        <f>VLOOKUP(C47,[1]ОКТМО!B:J,6,0)</f>
        <v>Хангаласский муниципальный район</v>
      </c>
      <c r="B47" t="str">
        <f>VLOOKUP(C47,[1]ОКТМО!B:J,9,0)</f>
        <v>Октемский наслег</v>
      </c>
      <c r="C47" s="70">
        <v>98644440101</v>
      </c>
      <c r="D47" t="s">
        <v>5354</v>
      </c>
      <c r="E47" t="s">
        <v>11</v>
      </c>
      <c r="F47" t="s">
        <v>2456</v>
      </c>
      <c r="G47" s="65">
        <v>2018</v>
      </c>
    </row>
    <row r="48" spans="1:7">
      <c r="A48" t="str">
        <f>VLOOKUP(C48,[1]ОКТМО!B:J,6,0)</f>
        <v>Хангаласский муниципальный район</v>
      </c>
      <c r="B48" t="str">
        <f>VLOOKUP(C48,[1]ОКТМО!B:J,9,0)</f>
        <v>Техтюрский наслег</v>
      </c>
      <c r="C48" s="70">
        <v>98644447101</v>
      </c>
      <c r="D48" t="s">
        <v>5354</v>
      </c>
      <c r="E48" t="s">
        <v>11</v>
      </c>
      <c r="F48" t="s">
        <v>2466</v>
      </c>
      <c r="G48" s="65">
        <v>2010</v>
      </c>
    </row>
    <row r="49" spans="1:7">
      <c r="A49" t="str">
        <f>VLOOKUP(C49,[1]ОКТМО!B:J,6,0)</f>
        <v>Мегино-Кангаласский муниципальный район</v>
      </c>
      <c r="B49" t="str">
        <f>VLOOKUP(C49,[1]ОКТМО!B:J,9,0)</f>
        <v>Рассолодинский наслег</v>
      </c>
      <c r="C49" s="70">
        <v>98629447101</v>
      </c>
      <c r="D49" t="s">
        <v>5354</v>
      </c>
      <c r="E49" t="s">
        <v>11</v>
      </c>
      <c r="F49" t="s">
        <v>1905</v>
      </c>
      <c r="G49" s="65">
        <v>2007</v>
      </c>
    </row>
    <row r="50" spans="1:7">
      <c r="A50" t="str">
        <f>VLOOKUP(C50,[1]ОКТМО!B:J,6,0)</f>
        <v>Мегино-Кангаласский муниципальный район</v>
      </c>
      <c r="B50" t="str">
        <f>VLOOKUP(C50,[1]ОКТМО!B:J,9,0)</f>
        <v>Рассолодинский наслег</v>
      </c>
      <c r="C50" s="70">
        <v>98629447101</v>
      </c>
      <c r="D50" t="s">
        <v>5354</v>
      </c>
      <c r="E50" t="s">
        <v>11</v>
      </c>
      <c r="F50" t="s">
        <v>1905</v>
      </c>
      <c r="G50" s="65">
        <v>2010</v>
      </c>
    </row>
    <row r="51" spans="1:7">
      <c r="A51" t="str">
        <f>VLOOKUP(C51,[1]ОКТМО!B:J,6,0)</f>
        <v>Мегино-Кангаласский муниципальный район</v>
      </c>
      <c r="B51" t="str">
        <f>VLOOKUP(C51,[1]ОКТМО!B:J,9,0)</f>
        <v>Рассолодинский наслег</v>
      </c>
      <c r="C51" s="70">
        <v>98629447101</v>
      </c>
      <c r="D51" t="s">
        <v>5354</v>
      </c>
      <c r="E51" t="s">
        <v>11</v>
      </c>
      <c r="F51" t="s">
        <v>1905</v>
      </c>
      <c r="G51" s="65">
        <v>2015</v>
      </c>
    </row>
    <row r="52" spans="1:7">
      <c r="A52" t="str">
        <f>VLOOKUP(C52,[1]ОКТМО!B:J,6,0)</f>
        <v>Мегино-Кангаласский муниципальный район</v>
      </c>
      <c r="B52" t="str">
        <f>VLOOKUP(C52,[1]ОКТМО!B:J,9,0)</f>
        <v>Рассолодинский наслег</v>
      </c>
      <c r="C52" s="70">
        <v>98629447101</v>
      </c>
      <c r="D52" t="s">
        <v>5354</v>
      </c>
      <c r="E52" t="s">
        <v>11</v>
      </c>
      <c r="F52" t="s">
        <v>1905</v>
      </c>
      <c r="G52" s="65">
        <v>2018</v>
      </c>
    </row>
    <row r="53" spans="1:7">
      <c r="A53" t="str">
        <f>VLOOKUP(C53,[1]ОКТМО!B:J,6,0)</f>
        <v>Мегино-Кангаласский муниципальный район</v>
      </c>
      <c r="B53" t="str">
        <f>VLOOKUP(C53,[1]ОКТМО!B:J,9,0)</f>
        <v>Хаптагайский наслег</v>
      </c>
      <c r="C53" s="70">
        <v>98629460101</v>
      </c>
      <c r="D53" t="s">
        <v>5354</v>
      </c>
      <c r="E53" t="s">
        <v>11</v>
      </c>
      <c r="F53" t="s">
        <v>1930</v>
      </c>
      <c r="G53" s="65">
        <v>2007</v>
      </c>
    </row>
    <row r="54" spans="1:7">
      <c r="A54" t="str">
        <f>VLOOKUP(C54,[1]ОКТМО!B:J,6,0)</f>
        <v>Мегино-Кангаласский муниципальный район</v>
      </c>
      <c r="B54" t="str">
        <f>VLOOKUP(C54,[1]ОКТМО!B:J,9,0)</f>
        <v>Хаптагайский наслег</v>
      </c>
      <c r="C54" s="70">
        <v>98629460101</v>
      </c>
      <c r="D54" t="s">
        <v>5354</v>
      </c>
      <c r="E54" t="s">
        <v>11</v>
      </c>
      <c r="F54" t="s">
        <v>1930</v>
      </c>
      <c r="G54" s="65">
        <v>2010</v>
      </c>
    </row>
    <row r="55" spans="1:7">
      <c r="A55" t="str">
        <f>VLOOKUP(C55,[1]ОКТМО!B:J,6,0)</f>
        <v>Мегино-Кангаласский муниципальный район</v>
      </c>
      <c r="B55" t="str">
        <f>VLOOKUP(C55,[1]ОКТМО!B:J,9,0)</f>
        <v>Хаптагайский наслег</v>
      </c>
      <c r="C55" s="70">
        <v>98629460101</v>
      </c>
      <c r="D55" t="s">
        <v>5354</v>
      </c>
      <c r="E55" t="s">
        <v>11</v>
      </c>
      <c r="F55" t="s">
        <v>1930</v>
      </c>
      <c r="G55" s="65">
        <v>2015</v>
      </c>
    </row>
    <row r="56" spans="1:7">
      <c r="A56" t="str">
        <f>VLOOKUP(C56,[1]ОКТМО!B:J,6,0)</f>
        <v>Мегино-Кангаласский муниципальный район</v>
      </c>
      <c r="B56" t="str">
        <f>VLOOKUP(C56,[1]ОКТМО!B:J,9,0)</f>
        <v>Хаптагайский наслег</v>
      </c>
      <c r="C56" s="70">
        <v>98629460101</v>
      </c>
      <c r="D56" t="s">
        <v>5354</v>
      </c>
      <c r="E56" t="s">
        <v>11</v>
      </c>
      <c r="F56" t="s">
        <v>1930</v>
      </c>
      <c r="G56" s="65">
        <v>2018</v>
      </c>
    </row>
    <row r="57" spans="1:7">
      <c r="A57" t="str">
        <f>VLOOKUP(C57,[1]ОКТМО!B:J,6,0)</f>
        <v>Мегино-Кангаласский муниципальный район</v>
      </c>
      <c r="B57" t="str">
        <f>VLOOKUP(C57,[1]ОКТМО!B:J,9,0)</f>
        <v>Хаптагайский наслег</v>
      </c>
      <c r="C57" s="70">
        <v>98629460101</v>
      </c>
      <c r="D57" t="s">
        <v>5354</v>
      </c>
      <c r="E57" t="s">
        <v>11</v>
      </c>
      <c r="F57" t="s">
        <v>1930</v>
      </c>
      <c r="G57" s="65">
        <v>2020</v>
      </c>
    </row>
    <row r="58" spans="1:7">
      <c r="A58" t="str">
        <f>VLOOKUP(C58,[1]ОКТМО!B:J,6,0)</f>
        <v>Мегино-Кангаласский муниципальный район</v>
      </c>
      <c r="B58" t="str">
        <f>VLOOKUP(C58,[1]ОКТМО!B:J,9,0)</f>
        <v>Нерюктяйинский наслег</v>
      </c>
      <c r="C58" s="70">
        <v>98629445101</v>
      </c>
      <c r="D58" t="s">
        <v>5354</v>
      </c>
      <c r="E58" t="s">
        <v>11</v>
      </c>
      <c r="F58" t="s">
        <v>1899</v>
      </c>
      <c r="G58" s="65">
        <v>2010</v>
      </c>
    </row>
    <row r="59" spans="1:7">
      <c r="A59" t="str">
        <f>VLOOKUP(C59,[1]ОКТМО!B:J,6,0)</f>
        <v>Мегино-Кангаласский муниципальный район</v>
      </c>
      <c r="B59" t="str">
        <f>VLOOKUP(C59,[1]ОКТМО!B:J,9,0)</f>
        <v>Нерюктяйинский наслег</v>
      </c>
      <c r="C59" s="70">
        <v>98629445101</v>
      </c>
      <c r="D59" t="s">
        <v>5354</v>
      </c>
      <c r="E59" t="s">
        <v>11</v>
      </c>
      <c r="F59" t="s">
        <v>1899</v>
      </c>
      <c r="G59" s="65">
        <v>2015</v>
      </c>
    </row>
    <row r="60" spans="1:7">
      <c r="A60" t="str">
        <f>VLOOKUP(C60,[1]ОКТМО!B:J,6,0)</f>
        <v>Мегино-Кангаласский муниципальный район</v>
      </c>
      <c r="B60" t="str">
        <f>VLOOKUP(C60,[1]ОКТМО!B:J,9,0)</f>
        <v>Нерюктяйинский наслег</v>
      </c>
      <c r="C60" s="70">
        <v>98629445101</v>
      </c>
      <c r="D60" t="s">
        <v>5354</v>
      </c>
      <c r="E60" t="s">
        <v>11</v>
      </c>
      <c r="F60" t="s">
        <v>1899</v>
      </c>
      <c r="G60" s="65">
        <v>2018</v>
      </c>
    </row>
    <row r="61" spans="1:7">
      <c r="A61" t="str">
        <f>VLOOKUP(C61,[1]ОКТМО!B:J,6,0)</f>
        <v>Мегино-Кангаласский муниципальный район</v>
      </c>
      <c r="B61" t="str">
        <f>VLOOKUP(C61,[1]ОКТМО!B:J,9,0)</f>
        <v>Нерюктяйинский наслег</v>
      </c>
      <c r="C61" s="70">
        <v>98629445101</v>
      </c>
      <c r="D61" t="s">
        <v>5354</v>
      </c>
      <c r="E61" t="s">
        <v>11</v>
      </c>
      <c r="F61" t="s">
        <v>1899</v>
      </c>
      <c r="G61" s="65">
        <v>2020</v>
      </c>
    </row>
    <row r="62" spans="1:7">
      <c r="A62" t="str">
        <f>VLOOKUP(C62,[1]ОКТМО!B:J,6,0)</f>
        <v>Мегино-Кангаласский муниципальный район</v>
      </c>
      <c r="B62" t="str">
        <f>VLOOKUP(C62,[1]ОКТМО!B:J,9,0)</f>
        <v>поселок Нижний Бестях</v>
      </c>
      <c r="C62" s="70">
        <v>98629155051</v>
      </c>
      <c r="D62" t="s">
        <v>5354</v>
      </c>
      <c r="E62" t="s">
        <v>11</v>
      </c>
      <c r="F62" t="s">
        <v>1820</v>
      </c>
      <c r="G62" s="65">
        <v>2007</v>
      </c>
    </row>
    <row r="63" spans="1:7">
      <c r="A63" t="str">
        <f>VLOOKUP(C63,[1]ОКТМО!B:J,6,0)</f>
        <v>Мегино-Кангаласский муниципальный район</v>
      </c>
      <c r="B63" t="str">
        <f>VLOOKUP(C63,[1]ОКТМО!B:J,9,0)</f>
        <v>поселок Нижний Бестях</v>
      </c>
      <c r="C63" s="70">
        <v>98629155051</v>
      </c>
      <c r="D63" t="s">
        <v>5354</v>
      </c>
      <c r="E63" t="s">
        <v>11</v>
      </c>
      <c r="F63" t="s">
        <v>1820</v>
      </c>
      <c r="G63" s="65">
        <v>2010</v>
      </c>
    </row>
    <row r="64" spans="1:7">
      <c r="A64" t="str">
        <f>VLOOKUP(C64,[1]ОКТМО!B:J,6,0)</f>
        <v>Мегино-Кангаласский муниципальный район</v>
      </c>
      <c r="B64" t="str">
        <f>VLOOKUP(C64,[1]ОКТМО!B:J,9,0)</f>
        <v>поселок Нижний Бестях</v>
      </c>
      <c r="C64" s="70">
        <v>98629155051</v>
      </c>
      <c r="D64" t="s">
        <v>5354</v>
      </c>
      <c r="E64" t="s">
        <v>11</v>
      </c>
      <c r="F64" t="s">
        <v>1820</v>
      </c>
      <c r="G64" s="65">
        <v>2015</v>
      </c>
    </row>
    <row r="65" spans="1:7">
      <c r="A65" t="str">
        <f>VLOOKUP(C65,[1]ОКТМО!B:J,6,0)</f>
        <v>Мегино-Кангаласский муниципальный район</v>
      </c>
      <c r="B65" t="str">
        <f>VLOOKUP(C65,[1]ОКТМО!B:J,9,0)</f>
        <v>поселок Нижний Бестях</v>
      </c>
      <c r="C65" s="70">
        <v>98629155051</v>
      </c>
      <c r="D65" t="s">
        <v>5354</v>
      </c>
      <c r="E65" t="s">
        <v>11</v>
      </c>
      <c r="F65" t="s">
        <v>1820</v>
      </c>
      <c r="G65" s="65">
        <v>2018</v>
      </c>
    </row>
    <row r="66" spans="1:7">
      <c r="A66" t="str">
        <f>VLOOKUP(C66,[1]ОКТМО!B:J,6,0)</f>
        <v>Мегино-Кангаласский муниципальный район</v>
      </c>
      <c r="B66" t="str">
        <f>VLOOKUP(C66,[1]ОКТМО!B:J,9,0)</f>
        <v>поселок Нижний Бестях</v>
      </c>
      <c r="C66" s="70">
        <v>98629155051</v>
      </c>
      <c r="D66" t="s">
        <v>5354</v>
      </c>
      <c r="E66" t="s">
        <v>11</v>
      </c>
      <c r="F66" t="s">
        <v>1820</v>
      </c>
      <c r="G66" s="65">
        <v>2020</v>
      </c>
    </row>
    <row r="67" spans="1:7">
      <c r="A67" t="str">
        <f>VLOOKUP(C67,[1]ОКТМО!B:J,6,0)</f>
        <v>Хангаласский муниципальный район</v>
      </c>
      <c r="B67" t="str">
        <f>VLOOKUP(C67,[1]ОКТМО!B:J,9,0)</f>
        <v>Техтюрский наслег</v>
      </c>
      <c r="C67" s="70">
        <v>98644447101</v>
      </c>
      <c r="D67" t="s">
        <v>5354</v>
      </c>
      <c r="E67" t="s">
        <v>11</v>
      </c>
      <c r="F67" t="s">
        <v>2466</v>
      </c>
      <c r="G67" s="65">
        <v>2007</v>
      </c>
    </row>
    <row r="68" spans="1:7">
      <c r="A68" t="str">
        <f>VLOOKUP(C68,[1]ОКТМО!B:J,6,0)</f>
        <v>Хангаласский муниципальный район</v>
      </c>
      <c r="B68" t="str">
        <f>VLOOKUP(C68,[1]ОКТМО!B:J,9,0)</f>
        <v>Техтюрский наслег</v>
      </c>
      <c r="C68" s="70">
        <v>98644447101</v>
      </c>
      <c r="D68" t="s">
        <v>5354</v>
      </c>
      <c r="E68" t="s">
        <v>11</v>
      </c>
      <c r="F68" t="s">
        <v>2466</v>
      </c>
      <c r="G68" s="65">
        <v>2010</v>
      </c>
    </row>
    <row r="69" spans="1:7">
      <c r="A69" t="str">
        <f>VLOOKUP(C69,[1]ОКТМО!B:J,6,0)</f>
        <v>Мегино-Кангаласский муниципальный район</v>
      </c>
      <c r="B69" t="str">
        <f>VLOOKUP(C69,[1]ОКТМО!B:J,9,0)</f>
        <v>Дойдунский наслег</v>
      </c>
      <c r="C69" s="70">
        <v>98629413106</v>
      </c>
      <c r="D69" t="s">
        <v>5354</v>
      </c>
      <c r="E69" t="s">
        <v>11</v>
      </c>
      <c r="F69" t="s">
        <v>1863</v>
      </c>
      <c r="G69" s="65">
        <v>2007</v>
      </c>
    </row>
    <row r="70" spans="1:7">
      <c r="A70" t="str">
        <f>VLOOKUP(C70,[1]ОКТМО!B:J,6,0)</f>
        <v>Мегино-Кангаласский муниципальный район</v>
      </c>
      <c r="B70" t="str">
        <f>VLOOKUP(C70,[1]ОКТМО!B:J,9,0)</f>
        <v>Дойдунский наслег</v>
      </c>
      <c r="C70" s="70">
        <v>98629413106</v>
      </c>
      <c r="D70" t="s">
        <v>5354</v>
      </c>
      <c r="E70" t="s">
        <v>11</v>
      </c>
      <c r="F70" t="s">
        <v>1863</v>
      </c>
      <c r="G70" s="65">
        <v>2010</v>
      </c>
    </row>
    <row r="71" spans="1:7">
      <c r="A71" t="str">
        <f>VLOOKUP(C71,[1]ОКТМО!B:J,6,0)</f>
        <v>Городской округ Город Якутск</v>
      </c>
      <c r="B71" t="str">
        <f>VLOOKUP(C71,[1]ОКТМО!B:J,9,0)</f>
        <v>город Якутск</v>
      </c>
      <c r="C71" s="70">
        <v>98701000001</v>
      </c>
      <c r="D71" t="s">
        <v>5354</v>
      </c>
      <c r="E71" t="s">
        <v>11</v>
      </c>
      <c r="F71" t="s">
        <v>129</v>
      </c>
      <c r="G71" s="65">
        <v>2001</v>
      </c>
    </row>
    <row r="72" spans="1:7">
      <c r="A72" t="str">
        <f>VLOOKUP(C72,[1]ОКТМО!B:J,6,0)</f>
        <v>Городской округ Город Якутск</v>
      </c>
      <c r="B72" t="str">
        <f>VLOOKUP(C72,[1]ОКТМО!B:J,9,0)</f>
        <v>город Якутск</v>
      </c>
      <c r="C72" s="70">
        <v>98701000001</v>
      </c>
      <c r="D72" t="s">
        <v>5354</v>
      </c>
      <c r="E72" t="s">
        <v>11</v>
      </c>
      <c r="F72" t="s">
        <v>129</v>
      </c>
      <c r="G72" s="65">
        <v>2007</v>
      </c>
    </row>
    <row r="73" spans="1:7">
      <c r="A73" t="str">
        <f>VLOOKUP(C73,[1]ОКТМО!B:J,6,0)</f>
        <v>Городской округ Город Якутск</v>
      </c>
      <c r="B73" t="str">
        <f>VLOOKUP(C73,[1]ОКТМО!B:J,9,0)</f>
        <v>город Якутск</v>
      </c>
      <c r="C73" s="70">
        <v>98701000001</v>
      </c>
      <c r="D73" t="s">
        <v>5354</v>
      </c>
      <c r="E73" t="s">
        <v>11</v>
      </c>
      <c r="F73" t="s">
        <v>129</v>
      </c>
      <c r="G73" s="65">
        <v>2008</v>
      </c>
    </row>
    <row r="74" spans="1:7">
      <c r="A74" t="str">
        <f>VLOOKUP(C74,[1]ОКТМО!B:J,6,0)</f>
        <v>Городской округ Город Якутск</v>
      </c>
      <c r="B74" t="str">
        <f>VLOOKUP(C74,[1]ОКТМО!B:J,9,0)</f>
        <v>город Якутск</v>
      </c>
      <c r="C74" s="70">
        <v>98701000001</v>
      </c>
      <c r="D74" t="s">
        <v>5354</v>
      </c>
      <c r="E74" t="s">
        <v>11</v>
      </c>
      <c r="F74" t="s">
        <v>129</v>
      </c>
      <c r="G74" s="65">
        <v>2010</v>
      </c>
    </row>
    <row r="75" spans="1:7">
      <c r="A75" t="str">
        <f>VLOOKUP(C75,[1]ОКТМО!B:J,6,0)</f>
        <v>Городской округ Город Якутск</v>
      </c>
      <c r="B75" t="str">
        <f>VLOOKUP(C75,[1]ОКТМО!B:J,9,0)</f>
        <v>город Якутск</v>
      </c>
      <c r="C75" s="70">
        <v>98701000001</v>
      </c>
      <c r="D75" t="s">
        <v>5354</v>
      </c>
      <c r="E75" t="s">
        <v>11</v>
      </c>
      <c r="F75" t="s">
        <v>129</v>
      </c>
      <c r="G75" s="65">
        <v>2011</v>
      </c>
    </row>
    <row r="76" spans="1:7">
      <c r="A76" t="str">
        <f>VLOOKUP(C76,[1]ОКТМО!B:J,6,0)</f>
        <v>Городской округ Город Якутск</v>
      </c>
      <c r="B76" t="str">
        <f>VLOOKUP(C76,[1]ОКТМО!B:J,9,0)</f>
        <v>город Якутск</v>
      </c>
      <c r="C76" s="70">
        <v>98701000001</v>
      </c>
      <c r="D76" t="s">
        <v>5354</v>
      </c>
      <c r="E76" t="s">
        <v>11</v>
      </c>
      <c r="F76" t="s">
        <v>129</v>
      </c>
      <c r="G76" s="65">
        <v>2012</v>
      </c>
    </row>
    <row r="77" spans="1:7">
      <c r="A77" t="str">
        <f>VLOOKUP(C77,[1]ОКТМО!B:J,6,0)</f>
        <v>Городской округ Город Якутск</v>
      </c>
      <c r="B77" t="str">
        <f>VLOOKUP(C77,[1]ОКТМО!B:J,9,0)</f>
        <v>город Якутск</v>
      </c>
      <c r="C77" s="70">
        <v>98701000001</v>
      </c>
      <c r="D77" t="s">
        <v>5354</v>
      </c>
      <c r="E77" t="s">
        <v>11</v>
      </c>
      <c r="F77" t="s">
        <v>129</v>
      </c>
      <c r="G77" s="65">
        <v>2013</v>
      </c>
    </row>
    <row r="78" spans="1:7">
      <c r="A78" t="str">
        <f>VLOOKUP(C78,[1]ОКТМО!B:J,6,0)</f>
        <v>Городской округ Город Якутск</v>
      </c>
      <c r="B78" t="str">
        <f>VLOOKUP(C78,[1]ОКТМО!B:J,9,0)</f>
        <v>город Якутск</v>
      </c>
      <c r="C78" s="70">
        <v>98701000001</v>
      </c>
      <c r="D78" t="s">
        <v>5354</v>
      </c>
      <c r="E78" t="s">
        <v>11</v>
      </c>
      <c r="F78" t="s">
        <v>129</v>
      </c>
      <c r="G78" s="65">
        <v>2018</v>
      </c>
    </row>
    <row r="79" spans="1:7">
      <c r="A79" t="str">
        <f>VLOOKUP(C79,[1]ОКТМО!B:J,6,0)</f>
        <v>Городской округ Город Якутск</v>
      </c>
      <c r="B79" t="str">
        <f>VLOOKUP(C79,[1]ОКТМО!B:J,9,0)</f>
        <v>город Якутск</v>
      </c>
      <c r="C79" s="70">
        <v>98701000001</v>
      </c>
      <c r="D79" t="s">
        <v>5354</v>
      </c>
      <c r="E79" t="s">
        <v>11</v>
      </c>
      <c r="F79" t="s">
        <v>129</v>
      </c>
      <c r="G79" s="65">
        <v>2020</v>
      </c>
    </row>
    <row r="80" spans="1:7">
      <c r="A80" t="str">
        <f>VLOOKUP(C80,[1]ОКТМО!B:J,6,0)</f>
        <v>Городской округ Город Якутск</v>
      </c>
      <c r="B80" t="str">
        <f>VLOOKUP(C80,[1]ОКТМО!B:J,9,0)</f>
        <v>город Якутск</v>
      </c>
      <c r="C80" s="70">
        <v>98701000001</v>
      </c>
      <c r="D80" t="s">
        <v>5354</v>
      </c>
      <c r="E80" t="s">
        <v>11</v>
      </c>
      <c r="F80" t="s">
        <v>129</v>
      </c>
      <c r="G80" s="65">
        <v>2022</v>
      </c>
    </row>
    <row r="81" spans="1:7">
      <c r="A81" t="str">
        <f>VLOOKUP(C81,[1]ОКТМО!B:J,6,0)</f>
        <v>Городской округ поселок Жатай</v>
      </c>
      <c r="B81" t="str">
        <f>VLOOKUP(C81,[1]ОКТМО!B:J,9,0)</f>
        <v>Жатай</v>
      </c>
      <c r="C81" s="70">
        <v>98702000051</v>
      </c>
      <c r="D81" t="s">
        <v>5354</v>
      </c>
      <c r="E81" t="s">
        <v>11</v>
      </c>
      <c r="F81" t="s">
        <v>818</v>
      </c>
      <c r="G81" s="65">
        <v>2020</v>
      </c>
    </row>
    <row r="82" spans="1:7">
      <c r="A82" t="str">
        <f>VLOOKUP(C82,[1]ОКТМО!B:J,6,0)</f>
        <v>Намский муниципальный район</v>
      </c>
      <c r="B82" t="str">
        <f>VLOOKUP(C82,[1]ОКТМО!B:J,9,0)</f>
        <v>Хомустахский 2-й наслег</v>
      </c>
      <c r="C82" s="70">
        <v>98635466101</v>
      </c>
      <c r="D82" t="s">
        <v>5354</v>
      </c>
      <c r="E82" t="s">
        <v>11</v>
      </c>
      <c r="F82" t="s">
        <v>2095</v>
      </c>
      <c r="G82" s="65">
        <v>2018</v>
      </c>
    </row>
    <row r="83" spans="1:7">
      <c r="A83" t="str">
        <f>VLOOKUP(C83,[1]ОКТМО!B:J,6,0)</f>
        <v>Намский муниципальный район</v>
      </c>
      <c r="B83" t="str">
        <f>VLOOKUP(C83,[1]ОКТМО!B:J,9,0)</f>
        <v>Хомустахский 2-й наслег</v>
      </c>
      <c r="C83" s="70">
        <v>98635466101</v>
      </c>
      <c r="D83" t="s">
        <v>5354</v>
      </c>
      <c r="E83" t="s">
        <v>11</v>
      </c>
      <c r="F83" t="s">
        <v>2095</v>
      </c>
      <c r="G83" s="65">
        <v>2020</v>
      </c>
    </row>
    <row r="84" spans="1:7">
      <c r="A84" t="str">
        <f>VLOOKUP(C84,[1]ОКТМО!B:J,6,0)</f>
        <v>Городской округ Город Якутск</v>
      </c>
      <c r="B84" t="str">
        <f>VLOOKUP(C84,[1]ОКТМО!B:J,9,0)</f>
        <v>город Якутск</v>
      </c>
      <c r="C84" s="70">
        <v>98701000116</v>
      </c>
      <c r="D84" t="s">
        <v>5354</v>
      </c>
      <c r="E84" t="s">
        <v>11</v>
      </c>
      <c r="F84" t="s">
        <v>111</v>
      </c>
      <c r="G84" s="65">
        <v>2001</v>
      </c>
    </row>
    <row r="85" spans="1:7">
      <c r="A85" t="str">
        <f>VLOOKUP(C85,[1]ОКТМО!B:J,6,0)</f>
        <v>Городской округ Город Якутск</v>
      </c>
      <c r="B85" t="str">
        <f>VLOOKUP(C85,[1]ОКТМО!B:J,9,0)</f>
        <v>город Якутск</v>
      </c>
      <c r="C85" s="70">
        <v>98701000116</v>
      </c>
      <c r="D85" t="s">
        <v>5354</v>
      </c>
      <c r="E85" t="s">
        <v>11</v>
      </c>
      <c r="F85" t="s">
        <v>111</v>
      </c>
      <c r="G85" s="65">
        <v>2010</v>
      </c>
    </row>
    <row r="86" spans="1:7">
      <c r="A86" t="str">
        <f>VLOOKUP(C86,[1]ОКТМО!B:J,6,0)</f>
        <v>Городской округ Город Якутск</v>
      </c>
      <c r="B86" t="str">
        <f>VLOOKUP(C86,[1]ОКТМО!B:J,9,0)</f>
        <v>город Якутск</v>
      </c>
      <c r="C86" s="70">
        <v>98701000116</v>
      </c>
      <c r="D86" t="s">
        <v>5354</v>
      </c>
      <c r="E86" t="s">
        <v>11</v>
      </c>
      <c r="F86" t="s">
        <v>111</v>
      </c>
      <c r="G86" s="65">
        <v>2015</v>
      </c>
    </row>
    <row r="87" spans="1:7">
      <c r="A87" t="str">
        <f>VLOOKUP(C87,[1]ОКТМО!B:J,6,0)</f>
        <v>Городской округ Город Якутск</v>
      </c>
      <c r="B87" t="str">
        <f>VLOOKUP(C87,[1]ОКТМО!B:J,9,0)</f>
        <v>город Якутск</v>
      </c>
      <c r="C87" s="70">
        <v>98701000116</v>
      </c>
      <c r="D87" t="s">
        <v>5354</v>
      </c>
      <c r="E87" t="s">
        <v>11</v>
      </c>
      <c r="F87" t="s">
        <v>111</v>
      </c>
      <c r="G87" s="65">
        <v>2018</v>
      </c>
    </row>
    <row r="88" spans="1:7">
      <c r="A88" t="str">
        <f>VLOOKUP(C88,[1]ОКТМО!B:J,6,0)</f>
        <v>Городской округ Город Якутск</v>
      </c>
      <c r="B88" t="str">
        <f>VLOOKUP(C88,[1]ОКТМО!B:J,9,0)</f>
        <v>город Якутск</v>
      </c>
      <c r="C88" s="70">
        <v>98701000116</v>
      </c>
      <c r="D88" t="s">
        <v>5354</v>
      </c>
      <c r="E88" t="s">
        <v>11</v>
      </c>
      <c r="F88" t="s">
        <v>111</v>
      </c>
      <c r="G88" s="65">
        <v>2020</v>
      </c>
    </row>
    <row r="89" spans="1:7">
      <c r="A89" t="str">
        <f>VLOOKUP(C89,[1]ОКТМО!B:J,6,0)</f>
        <v>Городской округ Город Якутск</v>
      </c>
      <c r="B89" t="str">
        <f>VLOOKUP(C89,[1]ОКТМО!B:J,9,0)</f>
        <v>город Якутск</v>
      </c>
      <c r="C89" s="70">
        <v>98701000121</v>
      </c>
      <c r="D89" t="s">
        <v>5354</v>
      </c>
      <c r="E89" t="s">
        <v>11</v>
      </c>
      <c r="F89" t="s">
        <v>775</v>
      </c>
      <c r="G89" s="65">
        <v>2001</v>
      </c>
    </row>
    <row r="90" spans="1:7">
      <c r="A90" t="str">
        <f>VLOOKUP(C90,[1]ОКТМО!B:J,6,0)</f>
        <v>Городской округ Город Якутск</v>
      </c>
      <c r="B90" t="str">
        <f>VLOOKUP(C90,[1]ОКТМО!B:J,9,0)</f>
        <v>город Якутск</v>
      </c>
      <c r="C90" s="70">
        <v>98701000121</v>
      </c>
      <c r="D90" t="s">
        <v>5354</v>
      </c>
      <c r="E90" t="s">
        <v>11</v>
      </c>
      <c r="F90" t="s">
        <v>775</v>
      </c>
      <c r="G90" s="65">
        <v>2007</v>
      </c>
    </row>
    <row r="91" spans="1:7">
      <c r="A91" t="str">
        <f>VLOOKUP(C91,[1]ОКТМО!B:J,6,0)</f>
        <v>Городской округ Город Якутск</v>
      </c>
      <c r="B91" t="str">
        <f>VLOOKUP(C91,[1]ОКТМО!B:J,9,0)</f>
        <v>город Якутск</v>
      </c>
      <c r="C91" s="70">
        <v>98701000121</v>
      </c>
      <c r="D91" t="s">
        <v>5354</v>
      </c>
      <c r="E91" t="s">
        <v>11</v>
      </c>
      <c r="F91" t="s">
        <v>775</v>
      </c>
      <c r="G91" s="65">
        <v>2010</v>
      </c>
    </row>
    <row r="92" spans="1:7">
      <c r="A92" t="str">
        <f>VLOOKUP(C92,[1]ОКТМО!B:J,6,0)</f>
        <v>Городской округ Город Якутск</v>
      </c>
      <c r="B92" t="str">
        <f>VLOOKUP(C92,[1]ОКТМО!B:J,9,0)</f>
        <v>город Якутск</v>
      </c>
      <c r="C92" s="70">
        <v>98701000121</v>
      </c>
      <c r="D92" t="s">
        <v>5354</v>
      </c>
      <c r="E92" t="s">
        <v>11</v>
      </c>
      <c r="F92" t="s">
        <v>775</v>
      </c>
      <c r="G92" s="65">
        <v>2011</v>
      </c>
    </row>
    <row r="93" spans="1:7">
      <c r="A93" t="str">
        <f>VLOOKUP(C93,[1]ОКТМО!B:J,6,0)</f>
        <v>Городской округ Город Якутск</v>
      </c>
      <c r="B93" t="str">
        <f>VLOOKUP(C93,[1]ОКТМО!B:J,9,0)</f>
        <v>город Якутск</v>
      </c>
      <c r="C93" s="70">
        <v>98701000121</v>
      </c>
      <c r="D93" t="s">
        <v>5354</v>
      </c>
      <c r="E93" t="s">
        <v>11</v>
      </c>
      <c r="F93" t="s">
        <v>775</v>
      </c>
      <c r="G93" s="65">
        <v>2013</v>
      </c>
    </row>
    <row r="94" spans="1:7">
      <c r="A94" t="str">
        <f>VLOOKUP(C94,[1]ОКТМО!B:J,6,0)</f>
        <v>Городской округ Город Якутск</v>
      </c>
      <c r="B94" t="str">
        <f>VLOOKUP(C94,[1]ОКТМО!B:J,9,0)</f>
        <v>город Якутск</v>
      </c>
      <c r="C94" s="70">
        <v>98701000121</v>
      </c>
      <c r="D94" t="s">
        <v>5354</v>
      </c>
      <c r="E94" t="s">
        <v>11</v>
      </c>
      <c r="F94" t="s">
        <v>775</v>
      </c>
      <c r="G94" s="65">
        <v>2022</v>
      </c>
    </row>
    <row r="95" spans="1:7">
      <c r="A95" t="str">
        <f>VLOOKUP(C95,[1]ОКТМО!B:J,6,0)</f>
        <v>Городской округ Город Якутск</v>
      </c>
      <c r="B95" t="str">
        <f>VLOOKUP(C95,[1]ОКТМО!B:J,9,0)</f>
        <v>город Якутск</v>
      </c>
      <c r="C95" s="70">
        <v>98701000136</v>
      </c>
      <c r="D95" t="s">
        <v>5354</v>
      </c>
      <c r="E95" t="s">
        <v>11</v>
      </c>
      <c r="F95" t="s">
        <v>793</v>
      </c>
      <c r="G95" s="65">
        <v>2001</v>
      </c>
    </row>
    <row r="96" spans="1:7">
      <c r="A96" t="str">
        <f>VLOOKUP(C96,[1]ОКТМО!B:J,6,0)</f>
        <v>Городской округ Город Якутск</v>
      </c>
      <c r="B96" t="str">
        <f>VLOOKUP(C96,[1]ОКТМО!B:J,9,0)</f>
        <v>город Якутск</v>
      </c>
      <c r="C96" s="70">
        <v>98701000136</v>
      </c>
      <c r="D96" t="s">
        <v>5354</v>
      </c>
      <c r="E96" t="s">
        <v>11</v>
      </c>
      <c r="F96" t="s">
        <v>793</v>
      </c>
      <c r="G96" s="65">
        <v>2007</v>
      </c>
    </row>
    <row r="97" spans="1:7">
      <c r="A97" t="str">
        <f>VLOOKUP(C97,[1]ОКТМО!B:J,6,0)</f>
        <v>Городской округ Город Якутск</v>
      </c>
      <c r="B97" t="str">
        <f>VLOOKUP(C97,[1]ОКТМО!B:J,9,0)</f>
        <v>город Якутск</v>
      </c>
      <c r="C97" s="70">
        <v>98701000136</v>
      </c>
      <c r="D97" t="s">
        <v>5354</v>
      </c>
      <c r="E97" t="s">
        <v>11</v>
      </c>
      <c r="F97" t="s">
        <v>793</v>
      </c>
      <c r="G97" s="65">
        <v>2010</v>
      </c>
    </row>
    <row r="98" spans="1:7">
      <c r="A98" t="str">
        <f>VLOOKUP(C98,[1]ОКТМО!B:J,6,0)</f>
        <v>Городской округ Город Якутск</v>
      </c>
      <c r="B98" t="str">
        <f>VLOOKUP(C98,[1]ОКТМО!B:J,9,0)</f>
        <v>город Якутск</v>
      </c>
      <c r="C98" s="70">
        <v>98701000126</v>
      </c>
      <c r="D98" t="s">
        <v>5354</v>
      </c>
      <c r="E98" t="s">
        <v>11</v>
      </c>
      <c r="F98" t="s">
        <v>782</v>
      </c>
      <c r="G98" s="65">
        <v>2001</v>
      </c>
    </row>
    <row r="99" spans="1:7">
      <c r="A99" t="str">
        <f>VLOOKUP(C99,[1]ОКТМО!B:J,6,0)</f>
        <v>Городской округ Город Якутск</v>
      </c>
      <c r="B99" t="str">
        <f>VLOOKUP(C99,[1]ОКТМО!B:J,9,0)</f>
        <v>город Якутск</v>
      </c>
      <c r="C99" s="70">
        <v>98701000126</v>
      </c>
      <c r="D99" t="s">
        <v>5354</v>
      </c>
      <c r="E99" t="s">
        <v>11</v>
      </c>
      <c r="F99" t="s">
        <v>782</v>
      </c>
      <c r="G99" s="65">
        <v>2007</v>
      </c>
    </row>
    <row r="100" spans="1:7">
      <c r="A100" t="str">
        <f>VLOOKUP(C100,[1]ОКТМО!B:J,6,0)</f>
        <v>Городской округ Город Якутск</v>
      </c>
      <c r="B100" t="str">
        <f>VLOOKUP(C100,[1]ОКТМО!B:J,9,0)</f>
        <v>город Якутск</v>
      </c>
      <c r="C100" s="70">
        <v>98701000126</v>
      </c>
      <c r="D100" t="s">
        <v>5354</v>
      </c>
      <c r="E100" t="s">
        <v>11</v>
      </c>
      <c r="F100" t="s">
        <v>782</v>
      </c>
      <c r="G100" s="65">
        <v>2010</v>
      </c>
    </row>
    <row r="101" spans="1:7">
      <c r="A101" t="str">
        <f>VLOOKUP(C101,[1]ОКТМО!B:J,6,0)</f>
        <v>Городской округ Город Якутск</v>
      </c>
      <c r="B101" t="str">
        <f>VLOOKUP(C101,[1]ОКТМО!B:J,9,0)</f>
        <v>город Якутск</v>
      </c>
      <c r="C101" s="70">
        <v>98701000126</v>
      </c>
      <c r="D101" t="s">
        <v>5354</v>
      </c>
      <c r="E101" t="s">
        <v>11</v>
      </c>
      <c r="F101" t="s">
        <v>782</v>
      </c>
      <c r="G101" s="65">
        <v>2011</v>
      </c>
    </row>
    <row r="102" spans="1:7">
      <c r="A102" t="str">
        <f>VLOOKUP(C102,[1]ОКТМО!B:J,6,0)</f>
        <v>Городской округ Город Якутск</v>
      </c>
      <c r="B102" t="str">
        <f>VLOOKUP(C102,[1]ОКТМО!B:J,9,0)</f>
        <v>город Якутск</v>
      </c>
      <c r="C102" s="70">
        <v>98701000126</v>
      </c>
      <c r="D102" t="s">
        <v>5354</v>
      </c>
      <c r="E102" t="s">
        <v>11</v>
      </c>
      <c r="F102" t="s">
        <v>782</v>
      </c>
      <c r="G102" s="65">
        <v>2012</v>
      </c>
    </row>
    <row r="103" spans="1:7">
      <c r="A103" t="str">
        <f>VLOOKUP(C103,[1]ОКТМО!B:J,6,0)</f>
        <v>Городской округ Город Якутск</v>
      </c>
      <c r="B103" t="str">
        <f>VLOOKUP(C103,[1]ОКТМО!B:J,9,0)</f>
        <v>город Якутск</v>
      </c>
      <c r="C103" s="70">
        <v>98701000126</v>
      </c>
      <c r="D103" t="s">
        <v>5354</v>
      </c>
      <c r="E103" t="s">
        <v>11</v>
      </c>
      <c r="F103" t="s">
        <v>782</v>
      </c>
      <c r="G103" s="65">
        <v>2013</v>
      </c>
    </row>
    <row r="104" spans="1:7">
      <c r="A104" t="str">
        <f>VLOOKUP(C104,[1]ОКТМО!B:J,6,0)</f>
        <v>Городской округ Город Якутск</v>
      </c>
      <c r="B104" t="str">
        <f>VLOOKUP(C104,[1]ОКТМО!B:J,9,0)</f>
        <v>город Якутск</v>
      </c>
      <c r="C104" s="70">
        <v>98701000001</v>
      </c>
      <c r="D104" t="s">
        <v>5354</v>
      </c>
      <c r="E104" t="s">
        <v>11</v>
      </c>
      <c r="F104" t="s">
        <v>141</v>
      </c>
      <c r="G104" s="65">
        <v>2001</v>
      </c>
    </row>
    <row r="105" spans="1:7">
      <c r="A105" t="str">
        <f>VLOOKUP(C105,[1]ОКТМО!B:J,6,0)</f>
        <v>Городской округ Город Якутск</v>
      </c>
      <c r="B105" t="str">
        <f>VLOOKUP(C105,[1]ОКТМО!B:J,9,0)</f>
        <v>город Якутск</v>
      </c>
      <c r="C105" s="70">
        <v>98701000001</v>
      </c>
      <c r="D105" t="s">
        <v>5354</v>
      </c>
      <c r="E105" t="s">
        <v>11</v>
      </c>
      <c r="F105" t="s">
        <v>141</v>
      </c>
      <c r="G105" s="65">
        <v>2010</v>
      </c>
    </row>
    <row r="106" spans="1:7">
      <c r="A106" t="str">
        <f>VLOOKUP(C106,[1]ОКТМО!B:J,6,0)</f>
        <v>Городской округ Город Якутск</v>
      </c>
      <c r="B106" t="str">
        <f>VLOOKUP(C106,[1]ОКТМО!B:J,9,0)</f>
        <v>город Якутск</v>
      </c>
      <c r="C106" s="70">
        <v>98701000001</v>
      </c>
      <c r="D106" t="s">
        <v>5354</v>
      </c>
      <c r="E106" t="s">
        <v>11</v>
      </c>
      <c r="F106" t="s">
        <v>141</v>
      </c>
      <c r="G106" s="65">
        <v>2011</v>
      </c>
    </row>
    <row r="107" spans="1:7">
      <c r="A107" t="str">
        <f>VLOOKUP(C107,[1]ОКТМО!B:J,6,0)</f>
        <v>Городской округ Город Якутск</v>
      </c>
      <c r="B107" t="str">
        <f>VLOOKUP(C107,[1]ОКТМО!B:J,9,0)</f>
        <v>город Якутск</v>
      </c>
      <c r="C107" s="70">
        <v>98701000001</v>
      </c>
      <c r="D107" t="s">
        <v>5354</v>
      </c>
      <c r="E107" t="s">
        <v>11</v>
      </c>
      <c r="F107" t="s">
        <v>141</v>
      </c>
      <c r="G107" s="65">
        <v>2020</v>
      </c>
    </row>
    <row r="108" spans="1:7">
      <c r="A108" t="str">
        <f>VLOOKUP(C108,[1]ОКТМО!B:J,6,0)</f>
        <v>Городской округ Город Якутск</v>
      </c>
      <c r="B108" t="str">
        <f>VLOOKUP(C108,[1]ОКТМО!B:J,9,0)</f>
        <v>город Якутск</v>
      </c>
      <c r="C108" s="70">
        <v>98701000001</v>
      </c>
      <c r="D108" t="s">
        <v>5354</v>
      </c>
      <c r="E108" t="s">
        <v>11</v>
      </c>
      <c r="F108" t="s">
        <v>141</v>
      </c>
      <c r="G108" s="65">
        <v>2023</v>
      </c>
    </row>
    <row r="109" spans="1:7">
      <c r="A109" t="str">
        <f>VLOOKUP(C109,[1]ОКТМО!B:J,6,0)</f>
        <v>Намский муниципальный район</v>
      </c>
      <c r="B109" t="str">
        <f>VLOOKUP(C109,[1]ОКТМО!B:J,9,0)</f>
        <v>Арбынский наслег</v>
      </c>
      <c r="C109" s="70">
        <v>98635405101</v>
      </c>
      <c r="D109" t="s">
        <v>5354</v>
      </c>
      <c r="E109" t="s">
        <v>11</v>
      </c>
      <c r="F109" t="s">
        <v>2027</v>
      </c>
      <c r="G109" s="65">
        <v>2001</v>
      </c>
    </row>
    <row r="110" spans="1:7">
      <c r="A110" t="str">
        <f>VLOOKUP(C110,[1]ОКТМО!B:J,6,0)</f>
        <v>Намский муниципальный район</v>
      </c>
      <c r="B110" t="str">
        <f>VLOOKUP(C110,[1]ОКТМО!B:J,9,0)</f>
        <v>Арбынский наслег</v>
      </c>
      <c r="C110" s="70">
        <v>98635405101</v>
      </c>
      <c r="D110" t="s">
        <v>5354</v>
      </c>
      <c r="E110" t="s">
        <v>11</v>
      </c>
      <c r="F110" t="s">
        <v>2027</v>
      </c>
      <c r="G110" s="65">
        <v>2007</v>
      </c>
    </row>
    <row r="111" spans="1:7">
      <c r="A111" t="str">
        <f>VLOOKUP(C111,[1]ОКТМО!B:J,6,0)</f>
        <v>Намский муниципальный район</v>
      </c>
      <c r="B111" t="str">
        <f>VLOOKUP(C111,[1]ОКТМО!B:J,9,0)</f>
        <v>Арбынский наслег</v>
      </c>
      <c r="C111" s="70">
        <v>98635405101</v>
      </c>
      <c r="D111" t="s">
        <v>5354</v>
      </c>
      <c r="E111" t="s">
        <v>11</v>
      </c>
      <c r="F111" t="s">
        <v>2027</v>
      </c>
      <c r="G111" s="65">
        <v>2008</v>
      </c>
    </row>
    <row r="112" spans="1:7">
      <c r="A112" t="str">
        <f>VLOOKUP(C112,[1]ОКТМО!B:J,6,0)</f>
        <v>Намский муниципальный район</v>
      </c>
      <c r="B112" t="str">
        <f>VLOOKUP(C112,[1]ОКТМО!B:J,9,0)</f>
        <v>Арбынский наслег</v>
      </c>
      <c r="C112" s="70">
        <v>98635405101</v>
      </c>
      <c r="D112" t="s">
        <v>5354</v>
      </c>
      <c r="E112" t="s">
        <v>11</v>
      </c>
      <c r="F112" t="s">
        <v>2027</v>
      </c>
      <c r="G112" s="65">
        <v>2010</v>
      </c>
    </row>
    <row r="113" spans="1:7">
      <c r="A113" t="str">
        <f>VLOOKUP(C113,[1]ОКТМО!B:J,6,0)</f>
        <v>Намский муниципальный район</v>
      </c>
      <c r="B113" t="str">
        <f>VLOOKUP(C113,[1]ОКТМО!B:J,9,0)</f>
        <v>Арбынский наслег</v>
      </c>
      <c r="C113" s="70">
        <v>98635405101</v>
      </c>
      <c r="D113" t="s">
        <v>5354</v>
      </c>
      <c r="E113" t="s">
        <v>11</v>
      </c>
      <c r="F113" t="s">
        <v>2027</v>
      </c>
      <c r="G113" s="65">
        <v>2012</v>
      </c>
    </row>
    <row r="114" spans="1:7">
      <c r="A114" t="str">
        <f>VLOOKUP(C114,[1]ОКТМО!B:J,6,0)</f>
        <v>Намский муниципальный район</v>
      </c>
      <c r="B114" t="str">
        <f>VLOOKUP(C114,[1]ОКТМО!B:J,9,0)</f>
        <v>Арбынский наслег</v>
      </c>
      <c r="C114" s="70">
        <v>98635405101</v>
      </c>
      <c r="D114" t="s">
        <v>5354</v>
      </c>
      <c r="E114" t="s">
        <v>11</v>
      </c>
      <c r="F114" t="s">
        <v>2027</v>
      </c>
      <c r="G114" s="65">
        <v>2013</v>
      </c>
    </row>
    <row r="115" spans="1:7">
      <c r="A115" t="str">
        <f>VLOOKUP(C115,[1]ОКТМО!B:J,6,0)</f>
        <v>Намский муниципальный район</v>
      </c>
      <c r="B115" t="str">
        <f>VLOOKUP(C115,[1]ОКТМО!B:J,9,0)</f>
        <v>Арбынский наслег</v>
      </c>
      <c r="C115" s="70">
        <v>98635405101</v>
      </c>
      <c r="D115" t="s">
        <v>5354</v>
      </c>
      <c r="E115" t="s">
        <v>11</v>
      </c>
      <c r="F115" t="s">
        <v>2027</v>
      </c>
      <c r="G115" s="65">
        <v>2015</v>
      </c>
    </row>
    <row r="116" spans="1:7">
      <c r="A116" t="str">
        <f>VLOOKUP(C116,[1]ОКТМО!B:J,6,0)</f>
        <v>Намский муниципальный район</v>
      </c>
      <c r="B116" t="str">
        <f>VLOOKUP(C116,[1]ОКТМО!B:J,9,0)</f>
        <v>Арбынский наслег</v>
      </c>
      <c r="C116" s="70">
        <v>98635405101</v>
      </c>
      <c r="D116" t="s">
        <v>5354</v>
      </c>
      <c r="E116" t="s">
        <v>11</v>
      </c>
      <c r="F116" t="s">
        <v>2027</v>
      </c>
      <c r="G116" s="65">
        <v>2017</v>
      </c>
    </row>
    <row r="117" spans="1:7">
      <c r="A117" t="str">
        <f>VLOOKUP(C117,[1]ОКТМО!B:J,6,0)</f>
        <v>Намский муниципальный район</v>
      </c>
      <c r="B117" t="str">
        <f>VLOOKUP(C117,[1]ОКТМО!B:J,9,0)</f>
        <v>Арбынский наслег</v>
      </c>
      <c r="C117" s="70">
        <v>98635405101</v>
      </c>
      <c r="D117" t="s">
        <v>5354</v>
      </c>
      <c r="E117" t="s">
        <v>11</v>
      </c>
      <c r="F117" t="s">
        <v>2027</v>
      </c>
      <c r="G117" s="65">
        <v>2018</v>
      </c>
    </row>
    <row r="118" spans="1:7">
      <c r="A118" t="str">
        <f>VLOOKUP(C118,[1]ОКТМО!B:J,6,0)</f>
        <v>Намский муниципальный район</v>
      </c>
      <c r="B118" t="str">
        <f>VLOOKUP(C118,[1]ОКТМО!B:J,9,0)</f>
        <v>Арбынский наслег</v>
      </c>
      <c r="C118" s="70">
        <v>98635405101</v>
      </c>
      <c r="D118" t="s">
        <v>5354</v>
      </c>
      <c r="E118" t="s">
        <v>11</v>
      </c>
      <c r="F118" t="s">
        <v>2027</v>
      </c>
      <c r="G118" s="65">
        <v>2021</v>
      </c>
    </row>
    <row r="119" spans="1:7">
      <c r="A119" t="str">
        <f>VLOOKUP(C119,[1]ОКТМО!B:J,6,0)</f>
        <v>Намский муниципальный район</v>
      </c>
      <c r="B119" t="str">
        <f>VLOOKUP(C119,[1]ОКТМО!B:J,9,0)</f>
        <v>Арбынский наслег</v>
      </c>
      <c r="C119" s="70">
        <v>98635405101</v>
      </c>
      <c r="D119" t="s">
        <v>5354</v>
      </c>
      <c r="E119" t="s">
        <v>11</v>
      </c>
      <c r="F119" t="s">
        <v>2027</v>
      </c>
      <c r="G119" s="65">
        <v>2023</v>
      </c>
    </row>
    <row r="120" spans="1:7">
      <c r="A120" t="str">
        <f>VLOOKUP(C120,[1]ОКТМО!B:J,6,0)</f>
        <v>Намский муниципальный район</v>
      </c>
      <c r="B120" t="str">
        <f>VLOOKUP(C120,[1]ОКТМО!B:J,9,0)</f>
        <v>Арбынский наслег</v>
      </c>
      <c r="C120" s="70">
        <v>98635405101</v>
      </c>
      <c r="D120" t="s">
        <v>5354</v>
      </c>
      <c r="E120" t="s">
        <v>11</v>
      </c>
      <c r="F120" t="s">
        <v>2027</v>
      </c>
      <c r="G120" s="65">
        <v>2024</v>
      </c>
    </row>
    <row r="121" spans="1:7">
      <c r="A121" t="str">
        <f>VLOOKUP(C121,[1]ОКТМО!B:J,6,0)</f>
        <v>Намский муниципальный район</v>
      </c>
      <c r="B121" t="str">
        <f>VLOOKUP(C121,[1]ОКТМО!B:J,9,0)</f>
        <v>Едейский наслег</v>
      </c>
      <c r="C121" s="70">
        <v>98635415101</v>
      </c>
      <c r="D121" t="s">
        <v>5354</v>
      </c>
      <c r="E121" t="s">
        <v>11</v>
      </c>
      <c r="F121" t="s">
        <v>2033</v>
      </c>
      <c r="G121" s="65">
        <v>2001</v>
      </c>
    </row>
    <row r="122" spans="1:7">
      <c r="A122" t="str">
        <f>VLOOKUP(C122,[1]ОКТМО!B:J,6,0)</f>
        <v>Намский муниципальный район</v>
      </c>
      <c r="B122" t="str">
        <f>VLOOKUP(C122,[1]ОКТМО!B:J,9,0)</f>
        <v>Едейский наслег</v>
      </c>
      <c r="C122" s="70">
        <v>98635415101</v>
      </c>
      <c r="D122" t="s">
        <v>5354</v>
      </c>
      <c r="E122" t="s">
        <v>11</v>
      </c>
      <c r="F122" t="s">
        <v>2033</v>
      </c>
      <c r="G122" s="65">
        <v>2006</v>
      </c>
    </row>
    <row r="123" spans="1:7">
      <c r="A123" t="str">
        <f>VLOOKUP(C123,[1]ОКТМО!B:J,6,0)</f>
        <v>Намский муниципальный район</v>
      </c>
      <c r="B123" t="str">
        <f>VLOOKUP(C123,[1]ОКТМО!B:J,9,0)</f>
        <v>Едейский наслег</v>
      </c>
      <c r="C123" s="70">
        <v>98635415101</v>
      </c>
      <c r="D123" t="s">
        <v>5354</v>
      </c>
      <c r="E123" t="s">
        <v>11</v>
      </c>
      <c r="F123" t="s">
        <v>2033</v>
      </c>
      <c r="G123" s="65">
        <v>2007</v>
      </c>
    </row>
    <row r="124" spans="1:7">
      <c r="A124" t="str">
        <f>VLOOKUP(C124,[1]ОКТМО!B:J,6,0)</f>
        <v>Намский муниципальный район</v>
      </c>
      <c r="B124" t="str">
        <f>VLOOKUP(C124,[1]ОКТМО!B:J,9,0)</f>
        <v>Едейский наслег</v>
      </c>
      <c r="C124" s="70">
        <v>98635415101</v>
      </c>
      <c r="D124" t="s">
        <v>5354</v>
      </c>
      <c r="E124" t="s">
        <v>11</v>
      </c>
      <c r="F124" t="s">
        <v>2033</v>
      </c>
      <c r="G124" s="65">
        <v>2008</v>
      </c>
    </row>
    <row r="125" spans="1:7">
      <c r="A125" t="str">
        <f>VLOOKUP(C125,[1]ОКТМО!B:J,6,0)</f>
        <v>Намский муниципальный район</v>
      </c>
      <c r="B125" t="str">
        <f>VLOOKUP(C125,[1]ОКТМО!B:J,9,0)</f>
        <v>Едейский наслег</v>
      </c>
      <c r="C125" s="70">
        <v>98635415101</v>
      </c>
      <c r="D125" t="s">
        <v>5354</v>
      </c>
      <c r="E125" t="s">
        <v>11</v>
      </c>
      <c r="F125" t="s">
        <v>2033</v>
      </c>
      <c r="G125" s="65">
        <v>2010</v>
      </c>
    </row>
    <row r="126" spans="1:7">
      <c r="A126" t="str">
        <f>VLOOKUP(C126,[1]ОКТМО!B:J,6,0)</f>
        <v>Намский муниципальный район</v>
      </c>
      <c r="B126" t="str">
        <f>VLOOKUP(C126,[1]ОКТМО!B:J,9,0)</f>
        <v>Едейский наслег</v>
      </c>
      <c r="C126" s="70">
        <v>98635415101</v>
      </c>
      <c r="D126" t="s">
        <v>5354</v>
      </c>
      <c r="E126" t="s">
        <v>11</v>
      </c>
      <c r="F126" t="s">
        <v>2033</v>
      </c>
      <c r="G126" s="65">
        <v>2011</v>
      </c>
    </row>
    <row r="127" spans="1:7">
      <c r="A127" t="str">
        <f>VLOOKUP(C127,[1]ОКТМО!B:J,6,0)</f>
        <v>Намский муниципальный район</v>
      </c>
      <c r="B127" t="str">
        <f>VLOOKUP(C127,[1]ОКТМО!B:J,9,0)</f>
        <v>Едейский наслег</v>
      </c>
      <c r="C127" s="70">
        <v>98635415101</v>
      </c>
      <c r="D127" t="s">
        <v>5354</v>
      </c>
      <c r="E127" t="s">
        <v>11</v>
      </c>
      <c r="F127" t="s">
        <v>2033</v>
      </c>
      <c r="G127" s="65">
        <v>2012</v>
      </c>
    </row>
    <row r="128" spans="1:7">
      <c r="A128" t="str">
        <f>VLOOKUP(C128,[1]ОКТМО!B:J,6,0)</f>
        <v>Намский муниципальный район</v>
      </c>
      <c r="B128" t="str">
        <f>VLOOKUP(C128,[1]ОКТМО!B:J,9,0)</f>
        <v>Едейский наслег</v>
      </c>
      <c r="C128" s="70">
        <v>98635415101</v>
      </c>
      <c r="D128" t="s">
        <v>5354</v>
      </c>
      <c r="E128" t="s">
        <v>11</v>
      </c>
      <c r="F128" t="s">
        <v>2033</v>
      </c>
      <c r="G128" s="65">
        <v>2013</v>
      </c>
    </row>
    <row r="129" spans="1:7">
      <c r="A129" t="str">
        <f>VLOOKUP(C129,[1]ОКТМО!B:J,6,0)</f>
        <v>Намский муниципальный район</v>
      </c>
      <c r="B129" t="str">
        <f>VLOOKUP(C129,[1]ОКТМО!B:J,9,0)</f>
        <v>Едейский наслег</v>
      </c>
      <c r="C129" s="70">
        <v>98635415101</v>
      </c>
      <c r="D129" t="s">
        <v>5354</v>
      </c>
      <c r="E129" t="s">
        <v>11</v>
      </c>
      <c r="F129" t="s">
        <v>2033</v>
      </c>
      <c r="G129" s="65">
        <v>2015</v>
      </c>
    </row>
    <row r="130" spans="1:7">
      <c r="A130" t="str">
        <f>VLOOKUP(C130,[1]ОКТМО!B:J,6,0)</f>
        <v>Намский муниципальный район</v>
      </c>
      <c r="B130" t="str">
        <f>VLOOKUP(C130,[1]ОКТМО!B:J,9,0)</f>
        <v>Едейский наслег</v>
      </c>
      <c r="C130" s="70">
        <v>98635415101</v>
      </c>
      <c r="D130" t="s">
        <v>5354</v>
      </c>
      <c r="E130" t="s">
        <v>11</v>
      </c>
      <c r="F130" t="s">
        <v>2033</v>
      </c>
      <c r="G130" s="65">
        <v>2022</v>
      </c>
    </row>
    <row r="131" spans="1:7">
      <c r="A131" t="str">
        <f>VLOOKUP(C131,[1]ОКТМО!B:J,6,0)</f>
        <v>Намский муниципальный район</v>
      </c>
      <c r="B131" t="str">
        <f>VLOOKUP(C131,[1]ОКТМО!B:J,9,0)</f>
        <v>Едейский наслег</v>
      </c>
      <c r="C131" s="70">
        <v>98635415101</v>
      </c>
      <c r="D131" t="s">
        <v>5354</v>
      </c>
      <c r="E131" t="s">
        <v>11</v>
      </c>
      <c r="F131" t="s">
        <v>2033</v>
      </c>
      <c r="G131" s="65">
        <v>2024</v>
      </c>
    </row>
    <row r="132" spans="1:7">
      <c r="A132" t="str">
        <f>VLOOKUP(C132,[1]ОКТМО!B:J,6,0)</f>
        <v>Намский муниципальный район</v>
      </c>
      <c r="B132" t="str">
        <f>VLOOKUP(C132,[1]ОКТМО!B:J,9,0)</f>
        <v>Хатын-Арынский наслег</v>
      </c>
      <c r="C132" s="70">
        <v>98635455106</v>
      </c>
      <c r="D132" t="s">
        <v>5354</v>
      </c>
      <c r="E132" t="s">
        <v>11</v>
      </c>
      <c r="F132" t="s">
        <v>2082</v>
      </c>
      <c r="G132" s="65">
        <v>2001</v>
      </c>
    </row>
    <row r="133" spans="1:7">
      <c r="A133" t="str">
        <f>VLOOKUP(C133,[1]ОКТМО!B:J,6,0)</f>
        <v>Намский муниципальный район</v>
      </c>
      <c r="B133" t="str">
        <f>VLOOKUP(C133,[1]ОКТМО!B:J,9,0)</f>
        <v>Хатын-Арынский наслег</v>
      </c>
      <c r="C133" s="70">
        <v>98635455106</v>
      </c>
      <c r="D133" t="s">
        <v>5354</v>
      </c>
      <c r="E133" t="s">
        <v>11</v>
      </c>
      <c r="F133" t="s">
        <v>2082</v>
      </c>
      <c r="G133" s="65">
        <v>2006</v>
      </c>
    </row>
    <row r="134" spans="1:7">
      <c r="A134" t="str">
        <f>VLOOKUP(C134,[1]ОКТМО!B:J,6,0)</f>
        <v>Намский муниципальный район</v>
      </c>
      <c r="B134" t="str">
        <f>VLOOKUP(C134,[1]ОКТМО!B:J,9,0)</f>
        <v>Хатын-Арынский наслег</v>
      </c>
      <c r="C134" s="70">
        <v>98635455106</v>
      </c>
      <c r="D134" t="s">
        <v>5354</v>
      </c>
      <c r="E134" t="s">
        <v>11</v>
      </c>
      <c r="F134" t="s">
        <v>2082</v>
      </c>
      <c r="G134" s="65">
        <v>2007</v>
      </c>
    </row>
    <row r="135" spans="1:7">
      <c r="A135" t="str">
        <f>VLOOKUP(C135,[1]ОКТМО!B:J,6,0)</f>
        <v>Намский муниципальный район</v>
      </c>
      <c r="B135" t="str">
        <f>VLOOKUP(C135,[1]ОКТМО!B:J,9,0)</f>
        <v>Хатын-Арынский наслег</v>
      </c>
      <c r="C135" s="70">
        <v>98635455106</v>
      </c>
      <c r="D135" t="s">
        <v>5354</v>
      </c>
      <c r="E135" t="s">
        <v>11</v>
      </c>
      <c r="F135" t="s">
        <v>2082</v>
      </c>
      <c r="G135" s="65">
        <v>2008</v>
      </c>
    </row>
    <row r="136" spans="1:7">
      <c r="A136" t="str">
        <f>VLOOKUP(C136,[1]ОКТМО!B:J,6,0)</f>
        <v>Намский муниципальный район</v>
      </c>
      <c r="B136" t="str">
        <f>VLOOKUP(C136,[1]ОКТМО!B:J,9,0)</f>
        <v>Хатын-Арынский наслег</v>
      </c>
      <c r="C136" s="70">
        <v>98635455106</v>
      </c>
      <c r="D136" t="s">
        <v>5354</v>
      </c>
      <c r="E136" t="s">
        <v>11</v>
      </c>
      <c r="F136" t="s">
        <v>2082</v>
      </c>
      <c r="G136" s="65">
        <v>2010</v>
      </c>
    </row>
    <row r="137" spans="1:7">
      <c r="A137" t="str">
        <f>VLOOKUP(C137,[1]ОКТМО!B:J,6,0)</f>
        <v>Намский муниципальный район</v>
      </c>
      <c r="B137" t="str">
        <f>VLOOKUP(C137,[1]ОКТМО!B:J,9,0)</f>
        <v>Хатын-Арынский наслег</v>
      </c>
      <c r="C137" s="70">
        <v>98635455106</v>
      </c>
      <c r="D137" t="s">
        <v>5354</v>
      </c>
      <c r="E137" t="s">
        <v>11</v>
      </c>
      <c r="F137" t="s">
        <v>2082</v>
      </c>
      <c r="G137" s="65">
        <v>2022</v>
      </c>
    </row>
    <row r="138" spans="1:7">
      <c r="A138" t="str">
        <f>VLOOKUP(C138,[1]ОКТМО!B:J,6,0)</f>
        <v>Намский муниципальный район</v>
      </c>
      <c r="B138" t="str">
        <f>VLOOKUP(C138,[1]ОКТМО!B:J,9,0)</f>
        <v>Хатын-Арынский наслег</v>
      </c>
      <c r="C138" s="70">
        <v>98635455106</v>
      </c>
      <c r="D138" t="s">
        <v>5354</v>
      </c>
      <c r="E138" t="s">
        <v>11</v>
      </c>
      <c r="F138" t="s">
        <v>2082</v>
      </c>
      <c r="G138" s="65">
        <v>2024</v>
      </c>
    </row>
    <row r="139" spans="1:7">
      <c r="A139" t="str">
        <f>VLOOKUP(C139,[1]ОКТМО!B:J,6,0)</f>
        <v>Намский муниципальный район</v>
      </c>
      <c r="B139" t="str">
        <f>VLOOKUP(C139,[1]ОКТМО!B:J,9,0)</f>
        <v>Хомустахский 2-й наслег</v>
      </c>
      <c r="C139" s="70">
        <v>98635466101</v>
      </c>
      <c r="D139" t="s">
        <v>5354</v>
      </c>
      <c r="E139" t="s">
        <v>11</v>
      </c>
      <c r="F139" t="s">
        <v>2095</v>
      </c>
      <c r="G139" s="65">
        <v>2001</v>
      </c>
    </row>
    <row r="140" spans="1:7">
      <c r="A140" t="str">
        <f>VLOOKUP(C140,[1]ОКТМО!B:J,6,0)</f>
        <v>Намский муниципальный район</v>
      </c>
      <c r="B140" t="str">
        <f>VLOOKUP(C140,[1]ОКТМО!B:J,9,0)</f>
        <v>Хомустахский 2-й наслег</v>
      </c>
      <c r="C140" s="70">
        <v>98635466101</v>
      </c>
      <c r="D140" t="s">
        <v>5354</v>
      </c>
      <c r="E140" t="s">
        <v>11</v>
      </c>
      <c r="F140" t="s">
        <v>2095</v>
      </c>
      <c r="G140" s="65">
        <v>2006</v>
      </c>
    </row>
    <row r="141" spans="1:7">
      <c r="A141" t="str">
        <f>VLOOKUP(C141,[1]ОКТМО!B:J,6,0)</f>
        <v>Намский муниципальный район</v>
      </c>
      <c r="B141" t="str">
        <f>VLOOKUP(C141,[1]ОКТМО!B:J,9,0)</f>
        <v>Хомустахский 2-й наслег</v>
      </c>
      <c r="C141" s="70">
        <v>98635466101</v>
      </c>
      <c r="D141" t="s">
        <v>5354</v>
      </c>
      <c r="E141" t="s">
        <v>11</v>
      </c>
      <c r="F141" t="s">
        <v>2095</v>
      </c>
      <c r="G141" s="65">
        <v>2007</v>
      </c>
    </row>
    <row r="142" spans="1:7">
      <c r="A142" t="str">
        <f>VLOOKUP(C142,[1]ОКТМО!B:J,6,0)</f>
        <v>Намский муниципальный район</v>
      </c>
      <c r="B142" t="str">
        <f>VLOOKUP(C142,[1]ОКТМО!B:J,9,0)</f>
        <v>Хомустахский 2-й наслег</v>
      </c>
      <c r="C142" s="70">
        <v>98635466101</v>
      </c>
      <c r="D142" t="s">
        <v>5354</v>
      </c>
      <c r="E142" t="s">
        <v>11</v>
      </c>
      <c r="F142" t="s">
        <v>2095</v>
      </c>
      <c r="G142" s="65">
        <v>2010</v>
      </c>
    </row>
    <row r="143" spans="1:7">
      <c r="A143" t="str">
        <f>VLOOKUP(C143,[1]ОКТМО!B:J,6,0)</f>
        <v>Намский муниципальный район</v>
      </c>
      <c r="B143" t="str">
        <f>VLOOKUP(C143,[1]ОКТМО!B:J,9,0)</f>
        <v>Хомустахский 2-й наслег</v>
      </c>
      <c r="C143" s="70">
        <v>98635466101</v>
      </c>
      <c r="D143" t="s">
        <v>5354</v>
      </c>
      <c r="E143" t="s">
        <v>11</v>
      </c>
      <c r="F143" t="s">
        <v>2095</v>
      </c>
      <c r="G143" s="65">
        <v>2011</v>
      </c>
    </row>
    <row r="144" spans="1:7">
      <c r="A144" t="str">
        <f>VLOOKUP(C144,[1]ОКТМО!B:J,6,0)</f>
        <v>Намский муниципальный район</v>
      </c>
      <c r="B144" t="str">
        <f>VLOOKUP(C144,[1]ОКТМО!B:J,9,0)</f>
        <v>Хомустахский 2-й наслег</v>
      </c>
      <c r="C144" s="70">
        <v>98635466101</v>
      </c>
      <c r="D144" t="s">
        <v>5354</v>
      </c>
      <c r="E144" t="s">
        <v>11</v>
      </c>
      <c r="F144" t="s">
        <v>2095</v>
      </c>
      <c r="G144" s="65">
        <v>2015</v>
      </c>
    </row>
    <row r="145" spans="1:7">
      <c r="A145" t="str">
        <f>VLOOKUP(C145,[1]ОКТМО!B:J,6,0)</f>
        <v>Намский муниципальный район</v>
      </c>
      <c r="B145" t="str">
        <f>VLOOKUP(C145,[1]ОКТМО!B:J,9,0)</f>
        <v>Хомустахский 2-й наслег</v>
      </c>
      <c r="C145" s="70">
        <v>98635466101</v>
      </c>
      <c r="D145" t="s">
        <v>5354</v>
      </c>
      <c r="E145" t="s">
        <v>11</v>
      </c>
      <c r="F145" t="s">
        <v>2095</v>
      </c>
      <c r="G145" s="65">
        <v>2017</v>
      </c>
    </row>
    <row r="146" spans="1:7">
      <c r="A146" t="str">
        <f>VLOOKUP(C146,[1]ОКТМО!B:J,6,0)</f>
        <v>Намский муниципальный район</v>
      </c>
      <c r="B146" t="str">
        <f>VLOOKUP(C146,[1]ОКТМО!B:J,9,0)</f>
        <v>Хомустахский 2-й наслег</v>
      </c>
      <c r="C146" s="70">
        <v>98635466101</v>
      </c>
      <c r="D146" t="s">
        <v>5354</v>
      </c>
      <c r="E146" t="s">
        <v>11</v>
      </c>
      <c r="F146" t="s">
        <v>2095</v>
      </c>
      <c r="G146" s="65">
        <v>2020</v>
      </c>
    </row>
    <row r="147" spans="1:7">
      <c r="A147" t="str">
        <f>VLOOKUP(C147,[1]ОКТМО!B:J,6,0)</f>
        <v>Намский муниципальный район</v>
      </c>
      <c r="B147" t="str">
        <f>VLOOKUP(C147,[1]ОКТМО!B:J,9,0)</f>
        <v>Хомустахский 2-й наслег</v>
      </c>
      <c r="C147" s="70">
        <v>98635466101</v>
      </c>
      <c r="D147" t="s">
        <v>5354</v>
      </c>
      <c r="E147" t="s">
        <v>11</v>
      </c>
      <c r="F147" t="s">
        <v>2095</v>
      </c>
      <c r="G147" s="65">
        <v>2022</v>
      </c>
    </row>
    <row r="148" spans="1:7">
      <c r="A148" t="str">
        <f>VLOOKUP(C148,[1]ОКТМО!B:J,6,0)</f>
        <v>Намский муниципальный район</v>
      </c>
      <c r="B148" t="str">
        <f>VLOOKUP(C148,[1]ОКТМО!B:J,9,0)</f>
        <v>Хомустахский 2-й наслег</v>
      </c>
      <c r="C148" s="70">
        <v>98635466101</v>
      </c>
      <c r="D148" t="s">
        <v>5354</v>
      </c>
      <c r="E148" t="s">
        <v>11</v>
      </c>
      <c r="F148" t="s">
        <v>2095</v>
      </c>
      <c r="G148" s="65">
        <v>2024</v>
      </c>
    </row>
    <row r="149" spans="1:7">
      <c r="A149" t="str">
        <f>VLOOKUP(C149,[1]ОКТМО!B:J,6,0)</f>
        <v>Намский муниципальный район</v>
      </c>
      <c r="B149" t="str">
        <f>VLOOKUP(C149,[1]ОКТМО!B:J,9,0)</f>
        <v>Партизанский наслег</v>
      </c>
      <c r="C149" s="70">
        <v>98635435101</v>
      </c>
      <c r="D149" t="s">
        <v>5354</v>
      </c>
      <c r="E149" t="s">
        <v>11</v>
      </c>
      <c r="F149" t="s">
        <v>2055</v>
      </c>
      <c r="G149" s="65">
        <v>2001</v>
      </c>
    </row>
    <row r="150" spans="1:7">
      <c r="A150" t="str">
        <f>VLOOKUP(C150,[1]ОКТМО!B:J,6,0)</f>
        <v>Намский муниципальный район</v>
      </c>
      <c r="B150" t="str">
        <f>VLOOKUP(C150,[1]ОКТМО!B:J,9,0)</f>
        <v>Партизанский наслег</v>
      </c>
      <c r="C150" s="70">
        <v>98635435101</v>
      </c>
      <c r="D150" t="s">
        <v>5354</v>
      </c>
      <c r="E150" t="s">
        <v>11</v>
      </c>
      <c r="F150" t="s">
        <v>2055</v>
      </c>
      <c r="G150" s="65">
        <v>2007</v>
      </c>
    </row>
    <row r="151" spans="1:7">
      <c r="A151" t="str">
        <f>VLOOKUP(C151,[1]ОКТМО!B:J,6,0)</f>
        <v>Намский муниципальный район</v>
      </c>
      <c r="B151" t="str">
        <f>VLOOKUP(C151,[1]ОКТМО!B:J,9,0)</f>
        <v>Партизанский наслег</v>
      </c>
      <c r="C151" s="70">
        <v>98635435101</v>
      </c>
      <c r="D151" t="s">
        <v>5354</v>
      </c>
      <c r="E151" t="s">
        <v>11</v>
      </c>
      <c r="F151" t="s">
        <v>2055</v>
      </c>
      <c r="G151" s="65">
        <v>2010</v>
      </c>
    </row>
    <row r="152" spans="1:7">
      <c r="A152" t="str">
        <f>VLOOKUP(C152,[1]ОКТМО!B:J,6,0)</f>
        <v>Намский муниципальный район</v>
      </c>
      <c r="B152" t="str">
        <f>VLOOKUP(C152,[1]ОКТМО!B:J,9,0)</f>
        <v>Партизанский наслег</v>
      </c>
      <c r="C152" s="70">
        <v>98635435101</v>
      </c>
      <c r="D152" t="s">
        <v>5354</v>
      </c>
      <c r="E152" t="s">
        <v>11</v>
      </c>
      <c r="F152" t="s">
        <v>2055</v>
      </c>
      <c r="G152" s="65">
        <v>2011</v>
      </c>
    </row>
    <row r="153" spans="1:7">
      <c r="A153" t="str">
        <f>VLOOKUP(C153,[1]ОКТМО!B:J,6,0)</f>
        <v>Намский муниципальный район</v>
      </c>
      <c r="B153" t="str">
        <f>VLOOKUP(C153,[1]ОКТМО!B:J,9,0)</f>
        <v>Партизанский наслег</v>
      </c>
      <c r="C153" s="70">
        <v>98635435101</v>
      </c>
      <c r="D153" t="s">
        <v>5354</v>
      </c>
      <c r="E153" t="s">
        <v>11</v>
      </c>
      <c r="F153" t="s">
        <v>2055</v>
      </c>
      <c r="G153" s="65">
        <v>2020</v>
      </c>
    </row>
    <row r="154" spans="1:7">
      <c r="A154" t="str">
        <f>VLOOKUP(C154,[1]ОКТМО!B:J,6,0)</f>
        <v>Намский муниципальный район</v>
      </c>
      <c r="B154" t="str">
        <f>VLOOKUP(C154,[1]ОКТМО!B:J,9,0)</f>
        <v>Партизанский наслег</v>
      </c>
      <c r="C154" s="70">
        <v>98635435101</v>
      </c>
      <c r="D154" t="s">
        <v>5354</v>
      </c>
      <c r="E154" t="s">
        <v>11</v>
      </c>
      <c r="F154" t="s">
        <v>2055</v>
      </c>
      <c r="G154" s="65">
        <v>2022</v>
      </c>
    </row>
    <row r="155" spans="1:7">
      <c r="A155" t="str">
        <f>VLOOKUP(C155,[1]ОКТМО!B:J,6,0)</f>
        <v>Намский муниципальный район</v>
      </c>
      <c r="B155" t="str">
        <f>VLOOKUP(C155,[1]ОКТМО!B:J,9,0)</f>
        <v>Партизанский наслег</v>
      </c>
      <c r="C155" s="70">
        <v>98635435101</v>
      </c>
      <c r="D155" t="s">
        <v>5354</v>
      </c>
      <c r="E155" t="s">
        <v>11</v>
      </c>
      <c r="F155" t="s">
        <v>2055</v>
      </c>
      <c r="G155" s="65">
        <v>2024</v>
      </c>
    </row>
    <row r="156" spans="1:7">
      <c r="A156" t="str">
        <f>VLOOKUP(C156,[1]ОКТМО!B:J,6,0)</f>
        <v>Намский муниципальный район</v>
      </c>
      <c r="B156" t="str">
        <f>VLOOKUP(C156,[1]ОКТМО!B:J,9,0)</f>
        <v>Никольский наслег</v>
      </c>
      <c r="C156" s="70">
        <v>98635432101</v>
      </c>
      <c r="D156" t="s">
        <v>5354</v>
      </c>
      <c r="E156" t="s">
        <v>11</v>
      </c>
      <c r="F156" t="s">
        <v>2051</v>
      </c>
      <c r="G156" s="65">
        <v>2001</v>
      </c>
    </row>
    <row r="157" spans="1:7">
      <c r="A157" t="str">
        <f>VLOOKUP(C157,[1]ОКТМО!B:J,6,0)</f>
        <v>Намский муниципальный район</v>
      </c>
      <c r="B157" t="str">
        <f>VLOOKUP(C157,[1]ОКТМО!B:J,9,0)</f>
        <v>Никольский наслег</v>
      </c>
      <c r="C157" s="70">
        <v>98635432101</v>
      </c>
      <c r="D157" t="s">
        <v>5354</v>
      </c>
      <c r="E157" t="s">
        <v>11</v>
      </c>
      <c r="F157" t="s">
        <v>2051</v>
      </c>
      <c r="G157" s="65">
        <v>2010</v>
      </c>
    </row>
    <row r="158" spans="1:7">
      <c r="A158" t="str">
        <f>VLOOKUP(C158,[1]ОКТМО!B:J,6,0)</f>
        <v>Намский муниципальный район</v>
      </c>
      <c r="B158" t="str">
        <f>VLOOKUP(C158,[1]ОКТМО!B:J,9,0)</f>
        <v>Никольский наслег</v>
      </c>
      <c r="C158" s="70">
        <v>98635432101</v>
      </c>
      <c r="D158" t="s">
        <v>5354</v>
      </c>
      <c r="E158" t="s">
        <v>11</v>
      </c>
      <c r="F158" t="s">
        <v>2051</v>
      </c>
      <c r="G158" s="65">
        <v>2024</v>
      </c>
    </row>
    <row r="159" spans="1:7">
      <c r="A159" t="str">
        <f>VLOOKUP(C159,[1]ОКТМО!B:J,6,0)</f>
        <v>Намский муниципальный район</v>
      </c>
      <c r="B159" t="str">
        <f>VLOOKUP(C159,[1]ОКТМО!B:J,9,0)</f>
        <v>Хамагаттинский наслег</v>
      </c>
      <c r="C159" s="70">
        <v>98635450101</v>
      </c>
      <c r="D159" t="s">
        <v>5354</v>
      </c>
      <c r="E159" t="s">
        <v>11</v>
      </c>
      <c r="F159" t="s">
        <v>3164</v>
      </c>
      <c r="G159" s="65">
        <v>2001</v>
      </c>
    </row>
    <row r="160" spans="1:7">
      <c r="A160" t="str">
        <f>VLOOKUP(C160,[1]ОКТМО!B:J,6,0)</f>
        <v>Намский муниципальный район</v>
      </c>
      <c r="B160" t="str">
        <f>VLOOKUP(C160,[1]ОКТМО!B:J,9,0)</f>
        <v>Хамагаттинский наслег</v>
      </c>
      <c r="C160" s="70">
        <v>98635450101</v>
      </c>
      <c r="D160" t="s">
        <v>5354</v>
      </c>
      <c r="E160" t="s">
        <v>11</v>
      </c>
      <c r="F160" t="s">
        <v>3164</v>
      </c>
      <c r="G160" s="65">
        <v>2010</v>
      </c>
    </row>
    <row r="161" spans="1:7">
      <c r="A161" t="str">
        <f>VLOOKUP(C161,[1]ОКТМО!B:J,6,0)</f>
        <v>Намский муниципальный район</v>
      </c>
      <c r="B161" t="str">
        <f>VLOOKUP(C161,[1]ОКТМО!B:J,9,0)</f>
        <v>Хамагаттинский наслег</v>
      </c>
      <c r="C161" s="70">
        <v>98635450101</v>
      </c>
      <c r="D161" t="s">
        <v>5354</v>
      </c>
      <c r="E161" t="s">
        <v>11</v>
      </c>
      <c r="F161" t="s">
        <v>3164</v>
      </c>
      <c r="G161" s="65">
        <v>2011</v>
      </c>
    </row>
    <row r="162" spans="1:7">
      <c r="A162" t="str">
        <f>VLOOKUP(C162,[1]ОКТМО!B:J,6,0)</f>
        <v>Намский муниципальный район</v>
      </c>
      <c r="B162" t="str">
        <f>VLOOKUP(C162,[1]ОКТМО!B:J,9,0)</f>
        <v>Хамагаттинский наслег</v>
      </c>
      <c r="C162" s="70">
        <v>98635450101</v>
      </c>
      <c r="D162" t="s">
        <v>5354</v>
      </c>
      <c r="E162" t="s">
        <v>11</v>
      </c>
      <c r="F162" t="s">
        <v>3164</v>
      </c>
      <c r="G162" s="65">
        <v>2022</v>
      </c>
    </row>
    <row r="163" spans="1:7">
      <c r="A163" t="str">
        <f>VLOOKUP(C163,[1]ОКТМО!B:J,6,0)</f>
        <v>Намский муниципальный район</v>
      </c>
      <c r="B163" t="str">
        <f>VLOOKUP(C163,[1]ОКТМО!B:J,9,0)</f>
        <v>Хамагаттинский наслег</v>
      </c>
      <c r="C163" s="70">
        <v>98635450101</v>
      </c>
      <c r="D163" t="s">
        <v>5354</v>
      </c>
      <c r="E163" t="s">
        <v>11</v>
      </c>
      <c r="F163" t="s">
        <v>3164</v>
      </c>
      <c r="G163" s="65">
        <v>2024</v>
      </c>
    </row>
    <row r="164" spans="1:7">
      <c r="A164" t="str">
        <f>VLOOKUP(C164,[1]ОКТМО!B:J,6,0)</f>
        <v>Намский муниципальный район</v>
      </c>
      <c r="B164" t="str">
        <f>VLOOKUP(C164,[1]ОКТМО!B:J,9,0)</f>
        <v>Ленский наслег</v>
      </c>
      <c r="C164" s="70">
        <v>98635425101</v>
      </c>
      <c r="D164" t="s">
        <v>5354</v>
      </c>
      <c r="E164" t="s">
        <v>11</v>
      </c>
      <c r="F164" t="s">
        <v>2044</v>
      </c>
      <c r="G164" s="65">
        <v>2001</v>
      </c>
    </row>
    <row r="165" spans="1:7">
      <c r="A165" t="str">
        <f>VLOOKUP(C165,[1]ОКТМО!B:J,6,0)</f>
        <v>Намский муниципальный район</v>
      </c>
      <c r="B165" t="str">
        <f>VLOOKUP(C165,[1]ОКТМО!B:J,9,0)</f>
        <v>Ленский наслег</v>
      </c>
      <c r="C165" s="70">
        <v>98635425101</v>
      </c>
      <c r="D165" t="s">
        <v>5354</v>
      </c>
      <c r="E165" t="s">
        <v>11</v>
      </c>
      <c r="F165" t="s">
        <v>2044</v>
      </c>
      <c r="G165" s="65">
        <v>2010</v>
      </c>
    </row>
    <row r="166" spans="1:7">
      <c r="A166" t="str">
        <f>VLOOKUP(C166,[1]ОКТМО!B:J,6,0)</f>
        <v>Намский муниципальный район</v>
      </c>
      <c r="B166" t="str">
        <f>VLOOKUP(C166,[1]ОКТМО!B:J,9,0)</f>
        <v>Ленский наслег</v>
      </c>
      <c r="C166" s="70">
        <v>98635425101</v>
      </c>
      <c r="D166" t="s">
        <v>5354</v>
      </c>
      <c r="E166" t="s">
        <v>11</v>
      </c>
      <c r="F166" t="s">
        <v>2044</v>
      </c>
      <c r="G166" s="65">
        <v>2024</v>
      </c>
    </row>
    <row r="167" spans="1:7">
      <c r="A167" t="str">
        <f>VLOOKUP(C167,[1]ОКТМО!B:J,6,0)</f>
        <v>Намский муниципальный район</v>
      </c>
      <c r="B167" t="str">
        <f>VLOOKUP(C167,[1]ОКТМО!B:J,9,0)</f>
        <v>Хатын-Арынский наслег</v>
      </c>
      <c r="C167" s="70">
        <v>98635455101</v>
      </c>
      <c r="D167" t="s">
        <v>5354</v>
      </c>
      <c r="E167" t="s">
        <v>11</v>
      </c>
      <c r="F167" t="s">
        <v>3165</v>
      </c>
      <c r="G167" s="65">
        <v>2001</v>
      </c>
    </row>
    <row r="168" spans="1:7">
      <c r="A168" t="str">
        <f>VLOOKUP(C168,[1]ОКТМО!B:J,6,0)</f>
        <v>Намский муниципальный район</v>
      </c>
      <c r="B168" t="str">
        <f>VLOOKUP(C168,[1]ОКТМО!B:J,9,0)</f>
        <v>Хатын-Арынский наслег</v>
      </c>
      <c r="C168" s="70">
        <v>98635455101</v>
      </c>
      <c r="D168" t="s">
        <v>5354</v>
      </c>
      <c r="E168" t="s">
        <v>11</v>
      </c>
      <c r="F168" t="s">
        <v>3165</v>
      </c>
      <c r="G168" s="65">
        <v>2007</v>
      </c>
    </row>
    <row r="169" spans="1:7">
      <c r="A169" t="str">
        <f>VLOOKUP(C169,[1]ОКТМО!B:J,6,0)</f>
        <v>Намский муниципальный район</v>
      </c>
      <c r="B169" t="str">
        <f>VLOOKUP(C169,[1]ОКТМО!B:J,9,0)</f>
        <v>Хатын-Арынский наслег</v>
      </c>
      <c r="C169" s="70">
        <v>98635455101</v>
      </c>
      <c r="D169" t="s">
        <v>5354</v>
      </c>
      <c r="E169" t="s">
        <v>11</v>
      </c>
      <c r="F169" t="s">
        <v>3165</v>
      </c>
      <c r="G169" s="65">
        <v>2010</v>
      </c>
    </row>
    <row r="170" spans="1:7">
      <c r="A170" t="str">
        <f>VLOOKUP(C170,[1]ОКТМО!B:J,6,0)</f>
        <v>Намский муниципальный район</v>
      </c>
      <c r="B170" t="str">
        <f>VLOOKUP(C170,[1]ОКТМО!B:J,9,0)</f>
        <v>Хатын-Арынский наслег</v>
      </c>
      <c r="C170" s="70">
        <v>98635455101</v>
      </c>
      <c r="D170" t="s">
        <v>5354</v>
      </c>
      <c r="E170" t="s">
        <v>11</v>
      </c>
      <c r="F170" t="s">
        <v>3165</v>
      </c>
      <c r="G170" s="65">
        <v>2024</v>
      </c>
    </row>
    <row r="171" spans="1:7">
      <c r="A171" t="str">
        <f>VLOOKUP(C171,[1]ОКТМО!B:J,6,0)</f>
        <v>Намский муниципальный район</v>
      </c>
      <c r="B171" t="str">
        <f>VLOOKUP(C171,[1]ОКТМО!B:J,9,0)</f>
        <v>Хатын-Арынский наслег</v>
      </c>
      <c r="C171" s="70">
        <v>98635455111</v>
      </c>
      <c r="D171" t="s">
        <v>5354</v>
      </c>
      <c r="E171" t="s">
        <v>11</v>
      </c>
      <c r="F171" t="s">
        <v>3166</v>
      </c>
      <c r="G171" s="65">
        <v>2001</v>
      </c>
    </row>
    <row r="172" spans="1:7">
      <c r="A172" t="str">
        <f>VLOOKUP(C172,[1]ОКТМО!B:J,6,0)</f>
        <v>Намский муниципальный район</v>
      </c>
      <c r="B172" t="str">
        <f>VLOOKUP(C172,[1]ОКТМО!B:J,9,0)</f>
        <v>Хатын-Арынский наслег</v>
      </c>
      <c r="C172" s="70">
        <v>98635455111</v>
      </c>
      <c r="D172" t="s">
        <v>5354</v>
      </c>
      <c r="E172" t="s">
        <v>11</v>
      </c>
      <c r="F172" t="s">
        <v>3166</v>
      </c>
      <c r="G172" s="65">
        <v>2007</v>
      </c>
    </row>
    <row r="173" spans="1:7">
      <c r="A173" t="str">
        <f>VLOOKUP(C173,[1]ОКТМО!B:J,6,0)</f>
        <v>Намский муниципальный район</v>
      </c>
      <c r="B173" t="str">
        <f>VLOOKUP(C173,[1]ОКТМО!B:J,9,0)</f>
        <v>Хатын-Арынский наслег</v>
      </c>
      <c r="C173" s="70">
        <v>98635455111</v>
      </c>
      <c r="D173" t="s">
        <v>5354</v>
      </c>
      <c r="E173" t="s">
        <v>11</v>
      </c>
      <c r="F173" t="s">
        <v>3166</v>
      </c>
      <c r="G173" s="65">
        <v>2010</v>
      </c>
    </row>
    <row r="174" spans="1:7">
      <c r="A174" t="str">
        <f>VLOOKUP(C174,[1]ОКТМО!B:J,6,0)</f>
        <v>Намский муниципальный район</v>
      </c>
      <c r="B174" t="str">
        <f>VLOOKUP(C174,[1]ОКТМО!B:J,9,0)</f>
        <v>Хатын-Арынский наслег</v>
      </c>
      <c r="C174" s="70">
        <v>98635455111</v>
      </c>
      <c r="D174" t="s">
        <v>5354</v>
      </c>
      <c r="E174" t="s">
        <v>11</v>
      </c>
      <c r="F174" t="s">
        <v>3166</v>
      </c>
      <c r="G174" s="65">
        <v>2022</v>
      </c>
    </row>
    <row r="175" spans="1:7">
      <c r="A175" t="str">
        <f>VLOOKUP(C175,[1]ОКТМО!B:J,6,0)</f>
        <v>Намский муниципальный район</v>
      </c>
      <c r="B175" t="str">
        <f>VLOOKUP(C175,[1]ОКТМО!B:J,9,0)</f>
        <v>Хатын-Арынский наслег</v>
      </c>
      <c r="C175" s="70">
        <v>98635455111</v>
      </c>
      <c r="D175" t="s">
        <v>5354</v>
      </c>
      <c r="E175" t="s">
        <v>11</v>
      </c>
      <c r="F175" t="s">
        <v>3166</v>
      </c>
      <c r="G175" s="65">
        <v>2024</v>
      </c>
    </row>
    <row r="176" spans="1:7">
      <c r="A176" t="str">
        <f>VLOOKUP(C176,[1]ОКТМО!B:J,6,0)</f>
        <v>Намский муниципальный район</v>
      </c>
      <c r="B176" t="str">
        <f>VLOOKUP(C176,[1]ОКТМО!B:J,9,0)</f>
        <v>Бетюнский наслег</v>
      </c>
      <c r="C176" s="70">
        <v>98635410101</v>
      </c>
      <c r="D176" t="s">
        <v>5354</v>
      </c>
      <c r="E176" t="s">
        <v>11</v>
      </c>
      <c r="F176" t="s">
        <v>3167</v>
      </c>
      <c r="G176" s="65">
        <v>2001</v>
      </c>
    </row>
    <row r="177" spans="1:7">
      <c r="A177" t="str">
        <f>VLOOKUP(C177,[1]ОКТМО!B:J,6,0)</f>
        <v>Намский муниципальный район</v>
      </c>
      <c r="B177" t="str">
        <f>VLOOKUP(C177,[1]ОКТМО!B:J,9,0)</f>
        <v>Бетюнский наслег</v>
      </c>
      <c r="C177" s="70">
        <v>98635410101</v>
      </c>
      <c r="D177" t="s">
        <v>5354</v>
      </c>
      <c r="E177" t="s">
        <v>11</v>
      </c>
      <c r="F177" t="s">
        <v>3167</v>
      </c>
      <c r="G177" s="65">
        <v>2010</v>
      </c>
    </row>
    <row r="178" spans="1:7">
      <c r="A178" t="str">
        <f>VLOOKUP(C178,[1]ОКТМО!B:J,6,0)</f>
        <v>Намский муниципальный район</v>
      </c>
      <c r="B178" t="str">
        <f>VLOOKUP(C178,[1]ОКТМО!B:J,9,0)</f>
        <v>Бетюнский наслег</v>
      </c>
      <c r="C178" s="70">
        <v>98635410101</v>
      </c>
      <c r="D178" t="s">
        <v>5354</v>
      </c>
      <c r="E178" t="s">
        <v>11</v>
      </c>
      <c r="F178" t="s">
        <v>3167</v>
      </c>
      <c r="G178" s="65">
        <v>2020</v>
      </c>
    </row>
    <row r="179" spans="1:7">
      <c r="A179" t="str">
        <f>VLOOKUP(C179,[1]ОКТМО!B:J,6,0)</f>
        <v>Намский муниципальный район</v>
      </c>
      <c r="B179" t="str">
        <f>VLOOKUP(C179,[1]ОКТМО!B:J,9,0)</f>
        <v>Бетюнский наслег</v>
      </c>
      <c r="C179" s="70">
        <v>98635410101</v>
      </c>
      <c r="D179" t="s">
        <v>5354</v>
      </c>
      <c r="E179" t="s">
        <v>11</v>
      </c>
      <c r="F179" t="s">
        <v>3167</v>
      </c>
      <c r="G179" s="65">
        <v>2022</v>
      </c>
    </row>
    <row r="180" spans="1:7">
      <c r="A180" t="str">
        <f>VLOOKUP(C180,[1]ОКТМО!B:J,6,0)</f>
        <v>Намский муниципальный район</v>
      </c>
      <c r="B180" t="str">
        <f>VLOOKUP(C180,[1]ОКТМО!B:J,9,0)</f>
        <v>Бетюнский наслег</v>
      </c>
      <c r="C180" s="70">
        <v>98635410101</v>
      </c>
      <c r="D180" t="s">
        <v>5354</v>
      </c>
      <c r="E180" t="s">
        <v>11</v>
      </c>
      <c r="F180" t="s">
        <v>3167</v>
      </c>
      <c r="G180" s="65">
        <v>2024</v>
      </c>
    </row>
    <row r="181" spans="1:7">
      <c r="A181" t="str">
        <f>VLOOKUP(C181,[1]ОКТМО!B:J,6,0)</f>
        <v>Намский муниципальный район</v>
      </c>
      <c r="B181" t="str">
        <f>VLOOKUP(C181,[1]ОКТМО!B:J,9,0)</f>
        <v>Модутский наслег</v>
      </c>
      <c r="C181" s="70">
        <v>98635430101</v>
      </c>
      <c r="D181" t="s">
        <v>5354</v>
      </c>
      <c r="E181" t="s">
        <v>11</v>
      </c>
      <c r="F181" t="s">
        <v>3168</v>
      </c>
      <c r="G181" s="65">
        <v>2001</v>
      </c>
    </row>
    <row r="182" spans="1:7">
      <c r="A182" t="str">
        <f>VLOOKUP(C182,[1]ОКТМО!B:J,6,0)</f>
        <v>Намский муниципальный район</v>
      </c>
      <c r="B182" t="str">
        <f>VLOOKUP(C182,[1]ОКТМО!B:J,9,0)</f>
        <v>Модутский наслег</v>
      </c>
      <c r="C182" s="70">
        <v>98635430101</v>
      </c>
      <c r="D182" t="s">
        <v>5354</v>
      </c>
      <c r="E182" t="s">
        <v>11</v>
      </c>
      <c r="F182" t="s">
        <v>3168</v>
      </c>
      <c r="G182" s="65">
        <v>2007</v>
      </c>
    </row>
    <row r="183" spans="1:7">
      <c r="A183" t="str">
        <f>VLOOKUP(C183,[1]ОКТМО!B:J,6,0)</f>
        <v>Намский муниципальный район</v>
      </c>
      <c r="B183" t="str">
        <f>VLOOKUP(C183,[1]ОКТМО!B:J,9,0)</f>
        <v>Модутский наслег</v>
      </c>
      <c r="C183" s="70">
        <v>98635430101</v>
      </c>
      <c r="D183" t="s">
        <v>5354</v>
      </c>
      <c r="E183" t="s">
        <v>11</v>
      </c>
      <c r="F183" t="s">
        <v>3168</v>
      </c>
      <c r="G183" s="65">
        <v>2010</v>
      </c>
    </row>
    <row r="184" spans="1:7">
      <c r="A184" t="str">
        <f>VLOOKUP(C184,[1]ОКТМО!B:J,6,0)</f>
        <v>Намский муниципальный район</v>
      </c>
      <c r="B184" t="str">
        <f>VLOOKUP(C184,[1]ОКТМО!B:J,9,0)</f>
        <v>Модутский наслег</v>
      </c>
      <c r="C184" s="70">
        <v>98635430101</v>
      </c>
      <c r="D184" t="s">
        <v>5354</v>
      </c>
      <c r="E184" t="s">
        <v>11</v>
      </c>
      <c r="F184" t="s">
        <v>3168</v>
      </c>
      <c r="G184" s="65">
        <v>2022</v>
      </c>
    </row>
    <row r="185" spans="1:7">
      <c r="A185" t="str">
        <f>VLOOKUP(C185,[1]ОКТМО!B:J,6,0)</f>
        <v>Намский муниципальный район</v>
      </c>
      <c r="B185" t="str">
        <f>VLOOKUP(C185,[1]ОКТМО!B:J,9,0)</f>
        <v>Модутский наслег</v>
      </c>
      <c r="C185" s="70">
        <v>98635430101</v>
      </c>
      <c r="D185" t="s">
        <v>5354</v>
      </c>
      <c r="E185" t="s">
        <v>11</v>
      </c>
      <c r="F185" t="s">
        <v>3168</v>
      </c>
      <c r="G185" s="65">
        <v>2024</v>
      </c>
    </row>
    <row r="186" spans="1:7">
      <c r="A186" t="str">
        <f>VLOOKUP(C186,[1]ОКТМО!B:J,6,0)</f>
        <v>Намский муниципальный район</v>
      </c>
      <c r="B186" t="str">
        <f>VLOOKUP(C186,[1]ОКТМО!B:J,9,0)</f>
        <v>Хатырыкский наслег</v>
      </c>
      <c r="C186" s="70">
        <v>98635460101</v>
      </c>
      <c r="D186" t="s">
        <v>5354</v>
      </c>
      <c r="E186" t="s">
        <v>11</v>
      </c>
      <c r="F186" t="s">
        <v>3170</v>
      </c>
      <c r="G186" s="65">
        <v>2024</v>
      </c>
    </row>
    <row r="187" spans="1:7">
      <c r="A187" t="str">
        <f>VLOOKUP(C187,[1]ОКТМО!B:J,6,0)</f>
        <v>Намский муниципальный район</v>
      </c>
      <c r="B187" t="str">
        <f>VLOOKUP(C187,[1]ОКТМО!B:J,9,0)</f>
        <v>Маймагинский наслег</v>
      </c>
      <c r="C187" s="70">
        <v>98635470101</v>
      </c>
      <c r="D187" t="s">
        <v>5354</v>
      </c>
      <c r="E187" t="s">
        <v>11</v>
      </c>
      <c r="F187" t="s">
        <v>2108</v>
      </c>
      <c r="G187" s="65">
        <v>2024</v>
      </c>
    </row>
    <row r="188" spans="1:7">
      <c r="A188" t="str">
        <f>VLOOKUP(C188,[1]ОКТМО!B:J,6,0)</f>
        <v>Верхневилюйский муниципальный район</v>
      </c>
      <c r="B188" t="str">
        <f>VLOOKUP(C188,[1]ОКТМО!B:J,9,0)</f>
        <v>Кэнтикский наслег</v>
      </c>
      <c r="C188" s="70">
        <v>98614429101</v>
      </c>
      <c r="D188" t="s">
        <v>5354</v>
      </c>
      <c r="E188" t="s">
        <v>11</v>
      </c>
      <c r="F188" t="s">
        <v>3172</v>
      </c>
      <c r="G188" s="65">
        <v>2024</v>
      </c>
    </row>
    <row r="189" spans="1:7">
      <c r="A189" t="str">
        <f>VLOOKUP(C189,[1]ОКТМО!B:J,6,0)</f>
        <v>Намский муниципальный район</v>
      </c>
      <c r="B189" t="str">
        <f>VLOOKUP(C189,[1]ОКТМО!B:J,9,0)</f>
        <v>Фрунзенский наслег</v>
      </c>
      <c r="C189" s="70">
        <v>98635447101</v>
      </c>
      <c r="D189" t="s">
        <v>5354</v>
      </c>
      <c r="E189" t="s">
        <v>11</v>
      </c>
      <c r="F189" t="s">
        <v>2071</v>
      </c>
      <c r="G189" s="65">
        <v>2024</v>
      </c>
    </row>
    <row r="190" spans="1:7">
      <c r="A190" t="str">
        <f>VLOOKUP(C190,[1]ОКТМО!B:J,6,0)</f>
        <v>Усть-Алданский муниципальный район</v>
      </c>
      <c r="B190" t="str">
        <f>VLOOKUP(C190,[1]ОКТМО!B:J,9,0)</f>
        <v>Суоттунский наслег</v>
      </c>
      <c r="C190" s="70">
        <v>98652470101</v>
      </c>
      <c r="D190" t="s">
        <v>5354</v>
      </c>
      <c r="E190" t="s">
        <v>11</v>
      </c>
      <c r="F190" t="s">
        <v>3173</v>
      </c>
      <c r="G190" s="65">
        <v>2001</v>
      </c>
    </row>
    <row r="191" spans="1:7">
      <c r="A191" t="str">
        <f>VLOOKUP(C191,[1]ОКТМО!B:J,6,0)</f>
        <v>Усть-Алданский муниципальный район</v>
      </c>
      <c r="B191" t="str">
        <f>VLOOKUP(C191,[1]ОКТМО!B:J,9,0)</f>
        <v>Суоттунский наслег</v>
      </c>
      <c r="C191" s="70">
        <v>98652470101</v>
      </c>
      <c r="D191" t="s">
        <v>5354</v>
      </c>
      <c r="E191" t="s">
        <v>11</v>
      </c>
      <c r="F191" t="s">
        <v>3173</v>
      </c>
      <c r="G191" s="65">
        <v>2007</v>
      </c>
    </row>
    <row r="192" spans="1:7">
      <c r="A192" t="str">
        <f>VLOOKUP(C192,[1]ОКТМО!B:J,6,0)</f>
        <v>Усть-Алданский муниципальный район</v>
      </c>
      <c r="B192" t="str">
        <f>VLOOKUP(C192,[1]ОКТМО!B:J,9,0)</f>
        <v>Суоттунский наслег</v>
      </c>
      <c r="C192" s="70">
        <v>98652470101</v>
      </c>
      <c r="D192" t="s">
        <v>5354</v>
      </c>
      <c r="E192" t="s">
        <v>11</v>
      </c>
      <c r="F192" t="s">
        <v>3173</v>
      </c>
      <c r="G192" s="65">
        <v>2010</v>
      </c>
    </row>
    <row r="193" spans="1:7">
      <c r="A193" t="str">
        <f>VLOOKUP(C193,[1]ОКТМО!B:J,6,0)</f>
        <v>Усть-Алданский муниципальный район</v>
      </c>
      <c r="B193" t="str">
        <f>VLOOKUP(C193,[1]ОКТМО!B:J,9,0)</f>
        <v>Суоттунский наслег</v>
      </c>
      <c r="C193" s="70">
        <v>98652470101</v>
      </c>
      <c r="D193" t="s">
        <v>5354</v>
      </c>
      <c r="E193" t="s">
        <v>11</v>
      </c>
      <c r="F193" t="s">
        <v>3173</v>
      </c>
      <c r="G193" s="65">
        <v>2013</v>
      </c>
    </row>
    <row r="194" spans="1:7">
      <c r="A194" t="str">
        <f>VLOOKUP(C194,[1]ОКТМО!B:J,6,0)</f>
        <v>Усть-Алданский муниципальный район</v>
      </c>
      <c r="B194" t="str">
        <f>VLOOKUP(C194,[1]ОКТМО!B:J,9,0)</f>
        <v>Суоттунский наслег</v>
      </c>
      <c r="C194" s="70">
        <v>98652470101</v>
      </c>
      <c r="D194" t="s">
        <v>5354</v>
      </c>
      <c r="E194" t="s">
        <v>11</v>
      </c>
      <c r="F194" t="s">
        <v>3173</v>
      </c>
      <c r="G194" s="65">
        <v>2020</v>
      </c>
    </row>
    <row r="195" spans="1:7">
      <c r="A195" t="str">
        <f>VLOOKUP(C195,[1]ОКТМО!B:J,6,0)</f>
        <v>Усть-Алданский муниципальный район</v>
      </c>
      <c r="B195" t="str">
        <f>VLOOKUP(C195,[1]ОКТМО!B:J,9,0)</f>
        <v>Суоттунский наслег</v>
      </c>
      <c r="C195" s="70">
        <v>98652470101</v>
      </c>
      <c r="D195" t="s">
        <v>5354</v>
      </c>
      <c r="E195" t="s">
        <v>11</v>
      </c>
      <c r="F195" t="s">
        <v>3173</v>
      </c>
      <c r="G195" s="65">
        <v>2022</v>
      </c>
    </row>
    <row r="196" spans="1:7">
      <c r="A196" t="str">
        <f>VLOOKUP(C196,[1]ОКТМО!B:J,6,0)</f>
        <v>Усть-Алданский муниципальный район</v>
      </c>
      <c r="B196" t="str">
        <f>VLOOKUP(C196,[1]ОКТМО!B:J,9,0)</f>
        <v>Борогонский наслег</v>
      </c>
      <c r="C196" s="70">
        <v>98652415106</v>
      </c>
      <c r="D196" t="s">
        <v>5354</v>
      </c>
      <c r="E196" t="s">
        <v>11</v>
      </c>
      <c r="F196" t="s">
        <v>2720</v>
      </c>
      <c r="G196" s="65">
        <v>2001</v>
      </c>
    </row>
    <row r="197" spans="1:7">
      <c r="A197" t="str">
        <f>VLOOKUP(C197,[1]ОКТМО!B:J,6,0)</f>
        <v>Усть-Алданский муниципальный район</v>
      </c>
      <c r="B197" t="str">
        <f>VLOOKUP(C197,[1]ОКТМО!B:J,9,0)</f>
        <v>Борогонский наслег</v>
      </c>
      <c r="C197" s="70">
        <v>98652415106</v>
      </c>
      <c r="D197" t="s">
        <v>5354</v>
      </c>
      <c r="E197" t="s">
        <v>11</v>
      </c>
      <c r="F197" t="s">
        <v>2720</v>
      </c>
      <c r="G197" s="65">
        <v>2010</v>
      </c>
    </row>
    <row r="198" spans="1:7">
      <c r="A198" t="str">
        <f>VLOOKUP(C198,[1]ОКТМО!B:J,6,0)</f>
        <v>Усть-Алданский муниципальный район</v>
      </c>
      <c r="B198" t="str">
        <f>VLOOKUP(C198,[1]ОКТМО!B:J,9,0)</f>
        <v>Борогонский наслег</v>
      </c>
      <c r="C198" s="70">
        <v>98652415106</v>
      </c>
      <c r="D198" t="s">
        <v>5354</v>
      </c>
      <c r="E198" t="s">
        <v>11</v>
      </c>
      <c r="F198" t="s">
        <v>2720</v>
      </c>
      <c r="G198" s="65">
        <v>2013</v>
      </c>
    </row>
    <row r="199" spans="1:7">
      <c r="A199" t="str">
        <f>VLOOKUP(C199,[1]ОКТМО!B:J,6,0)</f>
        <v>Усть-Алданский муниципальный район</v>
      </c>
      <c r="B199" t="str">
        <f>VLOOKUP(C199,[1]ОКТМО!B:J,9,0)</f>
        <v>Борогонский наслег</v>
      </c>
      <c r="C199" s="70">
        <v>98652415106</v>
      </c>
      <c r="D199" t="s">
        <v>5354</v>
      </c>
      <c r="E199" t="s">
        <v>11</v>
      </c>
      <c r="F199" t="s">
        <v>2720</v>
      </c>
      <c r="G199" s="65">
        <v>2020</v>
      </c>
    </row>
    <row r="200" spans="1:7">
      <c r="A200" t="str">
        <f>VLOOKUP(C200,[1]ОКТМО!B:J,6,0)</f>
        <v>Кобяйский муниципальный район</v>
      </c>
      <c r="B200" t="str">
        <f>VLOOKUP(C200,[1]ОКТМО!B:J,9,0)</f>
        <v>Куокуйский наслег</v>
      </c>
      <c r="C200" s="70">
        <v>98624424106</v>
      </c>
      <c r="D200" t="s">
        <v>5354</v>
      </c>
      <c r="E200" t="s">
        <v>11</v>
      </c>
      <c r="F200" t="s">
        <v>1629</v>
      </c>
      <c r="G200" s="65">
        <v>2005</v>
      </c>
    </row>
    <row r="201" spans="1:7">
      <c r="A201" t="str">
        <f>VLOOKUP(C201,[1]ОКТМО!B:J,6,0)</f>
        <v>Кобяйский муниципальный район</v>
      </c>
      <c r="B201" t="str">
        <f>VLOOKUP(C201,[1]ОКТМО!B:J,9,0)</f>
        <v>Куокуйский наслег</v>
      </c>
      <c r="C201" s="70">
        <v>98624424106</v>
      </c>
      <c r="D201" t="s">
        <v>5354</v>
      </c>
      <c r="E201" t="s">
        <v>11</v>
      </c>
      <c r="F201" t="s">
        <v>1629</v>
      </c>
      <c r="G201" s="65">
        <v>2007</v>
      </c>
    </row>
    <row r="202" spans="1:7">
      <c r="A202" t="str">
        <f>VLOOKUP(C202,[1]ОКТМО!B:J,6,0)</f>
        <v>Кобяйский муниципальный район</v>
      </c>
      <c r="B202" t="str">
        <f>VLOOKUP(C202,[1]ОКТМО!B:J,9,0)</f>
        <v>Куокуйский наслег</v>
      </c>
      <c r="C202" s="70">
        <v>98624424106</v>
      </c>
      <c r="D202" t="s">
        <v>5354</v>
      </c>
      <c r="E202" t="s">
        <v>11</v>
      </c>
      <c r="F202" t="s">
        <v>1629</v>
      </c>
      <c r="G202" s="65">
        <v>2008</v>
      </c>
    </row>
    <row r="203" spans="1:7">
      <c r="A203" t="str">
        <f>VLOOKUP(C203,[1]ОКТМО!B:J,6,0)</f>
        <v>Кобяйский муниципальный район</v>
      </c>
      <c r="B203" t="str">
        <f>VLOOKUP(C203,[1]ОКТМО!B:J,9,0)</f>
        <v>Куокуйский наслег</v>
      </c>
      <c r="C203" s="70">
        <v>98624424106</v>
      </c>
      <c r="D203" t="s">
        <v>5354</v>
      </c>
      <c r="E203" t="s">
        <v>11</v>
      </c>
      <c r="F203" t="s">
        <v>1629</v>
      </c>
      <c r="G203" s="65">
        <v>2018</v>
      </c>
    </row>
    <row r="204" spans="1:7">
      <c r="A204" t="str">
        <f>VLOOKUP(C204,[1]ОКТМО!B:J,6,0)</f>
        <v>Кобяйский муниципальный район</v>
      </c>
      <c r="B204" t="str">
        <f>VLOOKUP(C204,[1]ОКТМО!B:J,9,0)</f>
        <v>поселок Сангар</v>
      </c>
      <c r="C204" s="70">
        <v>98624151051</v>
      </c>
      <c r="D204" t="s">
        <v>5354</v>
      </c>
      <c r="E204" t="s">
        <v>11</v>
      </c>
      <c r="F204" t="s">
        <v>1590</v>
      </c>
      <c r="G204" s="65">
        <v>2018</v>
      </c>
    </row>
    <row r="205" spans="1:7">
      <c r="A205" t="str">
        <f>VLOOKUP(C205,[1]ОКТМО!B:J,6,0)</f>
        <v>Кобяйский муниципальный район</v>
      </c>
      <c r="B205" t="str">
        <f>VLOOKUP(C205,[1]ОКТМО!B:J,9,0)</f>
        <v>поселок Сангар</v>
      </c>
      <c r="C205" s="70">
        <v>98624151051</v>
      </c>
      <c r="D205" t="s">
        <v>5354</v>
      </c>
      <c r="E205" t="s">
        <v>11</v>
      </c>
      <c r="F205" t="s">
        <v>1590</v>
      </c>
      <c r="G205" s="65">
        <v>2019</v>
      </c>
    </row>
    <row r="206" spans="1:7">
      <c r="A206" t="str">
        <f>VLOOKUP(C206,[1]ОКТМО!B:J,6,0)</f>
        <v>Кобяйский муниципальный район</v>
      </c>
      <c r="B206" t="str">
        <f>VLOOKUP(C206,[1]ОКТМО!B:J,9,0)</f>
        <v>Куокуйский наслег</v>
      </c>
      <c r="C206" s="70">
        <v>98624424101</v>
      </c>
      <c r="D206" t="s">
        <v>5354</v>
      </c>
      <c r="E206" t="s">
        <v>11</v>
      </c>
      <c r="F206" t="s">
        <v>3176</v>
      </c>
      <c r="G206" s="65">
        <v>2007</v>
      </c>
    </row>
    <row r="207" spans="1:7">
      <c r="A207" t="str">
        <f>VLOOKUP(C207,[1]ОКТМО!B:J,6,0)</f>
        <v>Кобяйский муниципальный район</v>
      </c>
      <c r="B207" t="str">
        <f>VLOOKUP(C207,[1]ОКТМО!B:J,9,0)</f>
        <v>Куокуйский наслег</v>
      </c>
      <c r="C207" s="70">
        <v>98624424101</v>
      </c>
      <c r="D207" t="s">
        <v>5354</v>
      </c>
      <c r="E207" t="s">
        <v>11</v>
      </c>
      <c r="F207" t="s">
        <v>3176</v>
      </c>
      <c r="G207" s="65">
        <v>2008</v>
      </c>
    </row>
    <row r="208" spans="1:7">
      <c r="A208" t="str">
        <f>VLOOKUP(C208,[1]ОКТМО!B:J,6,0)</f>
        <v>Кобяйский муниципальный район</v>
      </c>
      <c r="B208" t="str">
        <f>VLOOKUP(C208,[1]ОКТМО!B:J,9,0)</f>
        <v>Куокуйский наслег</v>
      </c>
      <c r="C208" s="70">
        <v>98624424101</v>
      </c>
      <c r="D208" t="s">
        <v>5354</v>
      </c>
      <c r="E208" t="s">
        <v>11</v>
      </c>
      <c r="F208" t="s">
        <v>3176</v>
      </c>
      <c r="G208" s="65">
        <v>2018</v>
      </c>
    </row>
    <row r="209" spans="1:7">
      <c r="A209" t="str">
        <f>VLOOKUP(C209,[1]ОКТМО!B:J,6,0)</f>
        <v>Кобяйский муниципальный район</v>
      </c>
      <c r="B209" t="str">
        <f>VLOOKUP(C209,[1]ОКТМО!B:J,9,0)</f>
        <v>Куокуйский наслег</v>
      </c>
      <c r="C209" s="70">
        <v>98624424101</v>
      </c>
      <c r="D209" t="s">
        <v>5354</v>
      </c>
      <c r="E209" t="s">
        <v>11</v>
      </c>
      <c r="F209" t="s">
        <v>3176</v>
      </c>
      <c r="G209" s="65">
        <v>2023</v>
      </c>
    </row>
    <row r="210" spans="1:7">
      <c r="A210" t="str">
        <f>VLOOKUP(C210,[1]ОКТМО!B:J,6,0)</f>
        <v>Кобяйский муниципальный район</v>
      </c>
      <c r="B210" t="str">
        <f>VLOOKUP(C210,[1]ОКТМО!B:J,9,0)</f>
        <v>Ситтинский наслег</v>
      </c>
      <c r="C210" s="70">
        <v>98624450101</v>
      </c>
      <c r="D210" t="s">
        <v>5354</v>
      </c>
      <c r="E210" t="s">
        <v>11</v>
      </c>
      <c r="F210" t="s">
        <v>1658</v>
      </c>
      <c r="G210" s="65">
        <v>2007</v>
      </c>
    </row>
    <row r="211" spans="1:7">
      <c r="A211" t="str">
        <f>VLOOKUP(C211,[1]ОКТМО!B:J,6,0)</f>
        <v>Кобяйский муниципальный район</v>
      </c>
      <c r="B211" t="str">
        <f>VLOOKUP(C211,[1]ОКТМО!B:J,9,0)</f>
        <v>Ситтинский наслег</v>
      </c>
      <c r="C211" s="70">
        <v>98624450101</v>
      </c>
      <c r="D211" t="s">
        <v>5354</v>
      </c>
      <c r="E211" t="s">
        <v>11</v>
      </c>
      <c r="F211" t="s">
        <v>1658</v>
      </c>
      <c r="G211" s="65">
        <v>2008</v>
      </c>
    </row>
    <row r="212" spans="1:7">
      <c r="A212" t="str">
        <f>VLOOKUP(C212,[1]ОКТМО!B:J,6,0)</f>
        <v>Кобяйский муниципальный район</v>
      </c>
      <c r="B212" t="str">
        <f>VLOOKUP(C212,[1]ОКТМО!B:J,9,0)</f>
        <v>Ситтинский наслег</v>
      </c>
      <c r="C212" s="70">
        <v>98624450101</v>
      </c>
      <c r="D212" t="s">
        <v>5354</v>
      </c>
      <c r="E212" t="s">
        <v>11</v>
      </c>
      <c r="F212" t="s">
        <v>1658</v>
      </c>
      <c r="G212" s="65">
        <v>2023</v>
      </c>
    </row>
    <row r="213" spans="1:7">
      <c r="A213" t="str">
        <f>VLOOKUP(C213,[1]ОКТМО!B:J,6,0)</f>
        <v>Алданский муниципальный район</v>
      </c>
      <c r="B213" t="str">
        <f>VLOOKUP(C213,[1]ОКТМО!B:J,9,0)</f>
        <v>Чагдинский наслег</v>
      </c>
      <c r="C213" s="70">
        <v>98603460101</v>
      </c>
      <c r="D213" t="s">
        <v>5354</v>
      </c>
      <c r="E213" t="s">
        <v>317</v>
      </c>
      <c r="F213" t="s">
        <v>971</v>
      </c>
      <c r="G213" s="65">
        <v>2001</v>
      </c>
    </row>
    <row r="214" spans="1:7">
      <c r="A214" t="str">
        <f>VLOOKUP(C214,[1]ОКТМО!B:J,6,0)</f>
        <v>Алданский муниципальный район</v>
      </c>
      <c r="B214" t="str">
        <f>VLOOKUP(C214,[1]ОКТМО!B:J,9,0)</f>
        <v>Национальный наслег Анамы</v>
      </c>
      <c r="C214" s="70">
        <v>98603404101</v>
      </c>
      <c r="D214" t="s">
        <v>5354</v>
      </c>
      <c r="E214" t="s">
        <v>317</v>
      </c>
      <c r="F214" t="s">
        <v>957</v>
      </c>
      <c r="G214" s="65">
        <v>2001</v>
      </c>
    </row>
    <row r="215" spans="1:7">
      <c r="A215" t="str">
        <f>VLOOKUP(C215,[1]ОКТМО!B:J,6,0)</f>
        <v>Алданский муниципальный район</v>
      </c>
      <c r="B215" t="str">
        <f>VLOOKUP(C215,[1]ОКТМО!B:J,9,0)</f>
        <v>Беллетский эвенкийский национальный наслег</v>
      </c>
      <c r="C215" s="70">
        <v>98603407106</v>
      </c>
      <c r="D215" t="s">
        <v>5354</v>
      </c>
      <c r="E215" t="s">
        <v>317</v>
      </c>
      <c r="F215" t="s">
        <v>966</v>
      </c>
      <c r="G215" s="65">
        <v>2001</v>
      </c>
    </row>
    <row r="216" spans="1:7">
      <c r="A216" t="str">
        <f>VLOOKUP(C216,[1]ОКТМО!B:J,6,0)</f>
        <v>Усть-Майский муниципальный район</v>
      </c>
      <c r="B216" t="str">
        <f>VLOOKUP(C216,[1]ОКТМО!B:J,9,0)</f>
        <v>поселок Эльдикан</v>
      </c>
      <c r="C216" s="70">
        <v>98654164051</v>
      </c>
      <c r="D216" t="s">
        <v>5354</v>
      </c>
      <c r="E216" t="s">
        <v>317</v>
      </c>
      <c r="F216" t="s">
        <v>345</v>
      </c>
      <c r="G216" s="65">
        <v>2001</v>
      </c>
    </row>
    <row r="217" spans="1:7">
      <c r="A217" t="str">
        <f>VLOOKUP(C217,[1]ОКТМО!B:J,6,0)</f>
        <v>Усть-Майский муниципальный район</v>
      </c>
      <c r="B217" t="str">
        <f>VLOOKUP(C217,[1]ОКТМО!B:J,9,0)</f>
        <v>поселок Эльдикан</v>
      </c>
      <c r="C217" s="70">
        <v>98654164051</v>
      </c>
      <c r="D217" t="s">
        <v>5354</v>
      </c>
      <c r="E217" t="s">
        <v>317</v>
      </c>
      <c r="F217" t="s">
        <v>345</v>
      </c>
      <c r="G217" s="65">
        <v>2007</v>
      </c>
    </row>
    <row r="218" spans="1:7">
      <c r="A218" t="str">
        <f>VLOOKUP(C218,[1]ОКТМО!B:J,6,0)</f>
        <v>Усть-Майский муниципальный район</v>
      </c>
      <c r="B218" t="str">
        <f>VLOOKUP(C218,[1]ОКТМО!B:J,9,0)</f>
        <v>поселок Эльдикан</v>
      </c>
      <c r="C218" s="70">
        <v>98654164051</v>
      </c>
      <c r="D218" t="s">
        <v>5354</v>
      </c>
      <c r="E218" t="s">
        <v>317</v>
      </c>
      <c r="F218" t="s">
        <v>345</v>
      </c>
      <c r="G218" s="65">
        <v>2008</v>
      </c>
    </row>
    <row r="219" spans="1:7">
      <c r="A219" t="str">
        <f>VLOOKUP(C219,[1]ОКТМО!B:J,6,0)</f>
        <v>Усть-Майский муниципальный район</v>
      </c>
      <c r="B219" t="str">
        <f>VLOOKUP(C219,[1]ОКТМО!B:J,9,0)</f>
        <v>поселок Эльдикан</v>
      </c>
      <c r="C219" s="70">
        <v>98654164051</v>
      </c>
      <c r="D219" t="s">
        <v>5354</v>
      </c>
      <c r="E219" t="s">
        <v>317</v>
      </c>
      <c r="F219" t="s">
        <v>345</v>
      </c>
      <c r="G219" s="65">
        <v>2012</v>
      </c>
    </row>
    <row r="220" spans="1:7">
      <c r="A220" t="str">
        <f>VLOOKUP(C220,[1]ОКТМО!B:J,6,0)</f>
        <v>Усть-Майский муниципальный район</v>
      </c>
      <c r="B220" t="str">
        <f>VLOOKUP(C220,[1]ОКТМО!B:J,9,0)</f>
        <v>поселок Эльдикан</v>
      </c>
      <c r="C220" s="70">
        <v>98654164051</v>
      </c>
      <c r="D220" t="s">
        <v>5354</v>
      </c>
      <c r="E220" t="s">
        <v>317</v>
      </c>
      <c r="F220" t="s">
        <v>345</v>
      </c>
      <c r="G220" s="65">
        <v>2018</v>
      </c>
    </row>
    <row r="221" spans="1:7">
      <c r="A221" t="str">
        <f>VLOOKUP(C221,[1]ОКТМО!B:J,6,0)</f>
        <v>Усть-Майский муниципальный район</v>
      </c>
      <c r="B221" t="str">
        <f>VLOOKUP(C221,[1]ОКТМО!B:J,9,0)</f>
        <v>поселок Эльдикан</v>
      </c>
      <c r="C221" s="70">
        <v>98654164051</v>
      </c>
      <c r="D221" t="s">
        <v>5354</v>
      </c>
      <c r="E221" t="s">
        <v>317</v>
      </c>
      <c r="F221" t="s">
        <v>345</v>
      </c>
      <c r="G221" s="65">
        <v>2019</v>
      </c>
    </row>
    <row r="222" spans="1:7">
      <c r="A222" t="str">
        <f>VLOOKUP(C222,[1]ОКТМО!B:J,6,0)</f>
        <v>Усть-Майский муниципальный район</v>
      </c>
      <c r="B222" t="str">
        <f>VLOOKUP(C222,[1]ОКТМО!B:J,9,0)</f>
        <v>Эжанский национальный наслег</v>
      </c>
      <c r="C222" s="70">
        <v>98654425101</v>
      </c>
      <c r="D222" t="s">
        <v>5354</v>
      </c>
      <c r="E222" t="s">
        <v>317</v>
      </c>
      <c r="F222" t="s">
        <v>2867</v>
      </c>
      <c r="G222" s="65">
        <v>2001</v>
      </c>
    </row>
    <row r="223" spans="1:7">
      <c r="A223" t="str">
        <f>VLOOKUP(C223,[1]ОКТМО!B:J,6,0)</f>
        <v>Усть-Майский муниципальный район</v>
      </c>
      <c r="B223" t="str">
        <f>VLOOKUP(C223,[1]ОКТМО!B:J,9,0)</f>
        <v>Эжанский национальный наслег</v>
      </c>
      <c r="C223" s="70">
        <v>98654425101</v>
      </c>
      <c r="D223" t="s">
        <v>5354</v>
      </c>
      <c r="E223" t="s">
        <v>317</v>
      </c>
      <c r="F223" t="s">
        <v>2867</v>
      </c>
      <c r="G223" s="65">
        <v>2008</v>
      </c>
    </row>
    <row r="224" spans="1:7">
      <c r="A224" t="str">
        <f>VLOOKUP(C224,[1]ОКТМО!B:J,6,0)</f>
        <v>Усть-Майский муниципальный район</v>
      </c>
      <c r="B224" t="str">
        <f>VLOOKUP(C224,[1]ОКТМО!B:J,9,0)</f>
        <v>Эжанский национальный наслег</v>
      </c>
      <c r="C224" s="70">
        <v>98654425101</v>
      </c>
      <c r="D224" t="s">
        <v>5354</v>
      </c>
      <c r="E224" t="s">
        <v>317</v>
      </c>
      <c r="F224" t="s">
        <v>2867</v>
      </c>
      <c r="G224" s="65">
        <v>2018</v>
      </c>
    </row>
    <row r="225" spans="1:7">
      <c r="A225" t="str">
        <f>VLOOKUP(C225,[1]ОКТМО!B:J,6,0)</f>
        <v>Усть-Майский муниципальный район</v>
      </c>
      <c r="B225" t="str">
        <f>VLOOKUP(C225,[1]ОКТМО!B:J,9,0)</f>
        <v>Кюпский эвенкийский национальный наслег</v>
      </c>
      <c r="C225" s="70">
        <v>98654410101</v>
      </c>
      <c r="D225" t="s">
        <v>5354</v>
      </c>
      <c r="E225" t="s">
        <v>317</v>
      </c>
      <c r="F225" t="s">
        <v>2853</v>
      </c>
      <c r="G225" s="65">
        <v>2018</v>
      </c>
    </row>
    <row r="226" spans="1:7">
      <c r="A226" t="str">
        <f>VLOOKUP(C226,[1]ОКТМО!B:J,6,0)</f>
        <v>Усть-Майский муниципальный район</v>
      </c>
      <c r="B226" t="str">
        <f>VLOOKUP(C226,[1]ОКТМО!B:J,9,0)</f>
        <v>село Белькачи</v>
      </c>
      <c r="C226" s="70">
        <v>98654405101</v>
      </c>
      <c r="D226" t="s">
        <v>5354</v>
      </c>
      <c r="E226" t="s">
        <v>317</v>
      </c>
      <c r="F226" t="s">
        <v>333</v>
      </c>
      <c r="G226" s="65">
        <v>2001</v>
      </c>
    </row>
    <row r="227" spans="1:7">
      <c r="A227" t="str">
        <f>VLOOKUP(C227,[1]ОКТМО!B:J,6,0)</f>
        <v>Усть-Майский муниципальный район</v>
      </c>
      <c r="B227" t="str">
        <f>VLOOKUP(C227,[1]ОКТМО!B:J,9,0)</f>
        <v>село Белькачи</v>
      </c>
      <c r="C227" s="70">
        <v>98654405101</v>
      </c>
      <c r="D227" t="s">
        <v>5354</v>
      </c>
      <c r="E227" t="s">
        <v>317</v>
      </c>
      <c r="F227" t="s">
        <v>333</v>
      </c>
      <c r="G227" s="65">
        <v>2018</v>
      </c>
    </row>
    <row r="228" spans="1:7">
      <c r="A228" t="str">
        <f>VLOOKUP(C228,[1]ОКТМО!B:J,6,0)</f>
        <v>Томпонский муниципальный район</v>
      </c>
      <c r="B228" t="str">
        <f>VLOOKUP(C228,[1]ОКТМО!B:J,9,0)</f>
        <v>Охот-Перевозовский наслег</v>
      </c>
      <c r="C228" s="70">
        <v>98650425101</v>
      </c>
      <c r="D228" t="s">
        <v>5354</v>
      </c>
      <c r="E228" t="s">
        <v>317</v>
      </c>
      <c r="F228" t="s">
        <v>2686</v>
      </c>
      <c r="G228" s="65">
        <v>2018</v>
      </c>
    </row>
    <row r="229" spans="1:7">
      <c r="A229" t="str">
        <f>VLOOKUP(C229,[1]ОКТМО!B:J,6,0)</f>
        <v>Томпонский муниципальный район</v>
      </c>
      <c r="B229" t="str">
        <f>VLOOKUP(C229,[1]ОКТМО!B:J,9,0)</f>
        <v>Мегино-Алданский наслег</v>
      </c>
      <c r="C229" s="70">
        <v>98650415101</v>
      </c>
      <c r="D229" t="s">
        <v>5354</v>
      </c>
      <c r="E229" t="s">
        <v>317</v>
      </c>
      <c r="F229" t="s">
        <v>2682</v>
      </c>
      <c r="G229" s="65">
        <v>2001</v>
      </c>
    </row>
    <row r="230" spans="1:7">
      <c r="A230" t="str">
        <f>VLOOKUP(C230,[1]ОКТМО!B:J,6,0)</f>
        <v>Томпонский муниципальный район</v>
      </c>
      <c r="B230" t="str">
        <f>VLOOKUP(C230,[1]ОКТМО!B:J,9,0)</f>
        <v>Мегино-Алданский наслег</v>
      </c>
      <c r="C230" s="70">
        <v>98650415101</v>
      </c>
      <c r="D230" t="s">
        <v>5354</v>
      </c>
      <c r="E230" t="s">
        <v>317</v>
      </c>
      <c r="F230" t="s">
        <v>2682</v>
      </c>
      <c r="G230" s="65">
        <v>2018</v>
      </c>
    </row>
    <row r="231" spans="1:7">
      <c r="A231" t="str">
        <f>VLOOKUP(C231,[1]ОКТМО!B:J,6,0)</f>
        <v>Томпонский муниципальный район</v>
      </c>
      <c r="B231" t="str">
        <f>VLOOKUP(C231,[1]ОКТМО!B:J,9,0)</f>
        <v>Сасыльский наслег</v>
      </c>
      <c r="C231" s="70">
        <v>98650430101</v>
      </c>
      <c r="D231" t="s">
        <v>5354</v>
      </c>
      <c r="E231" t="s">
        <v>317</v>
      </c>
      <c r="F231" t="s">
        <v>2690</v>
      </c>
      <c r="G231" s="65">
        <v>2001</v>
      </c>
    </row>
    <row r="232" spans="1:7">
      <c r="A232" t="str">
        <f>VLOOKUP(C232,[1]ОКТМО!B:J,6,0)</f>
        <v>Томпонский муниципальный район</v>
      </c>
      <c r="B232" t="str">
        <f>VLOOKUP(C232,[1]ОКТМО!B:J,9,0)</f>
        <v>поселок Джебарики-Хая</v>
      </c>
      <c r="C232" s="70">
        <v>98650152051</v>
      </c>
      <c r="D232" t="s">
        <v>5354</v>
      </c>
      <c r="E232" t="s">
        <v>317</v>
      </c>
      <c r="F232" t="s">
        <v>2668</v>
      </c>
      <c r="G232" s="65">
        <v>2001</v>
      </c>
    </row>
    <row r="233" spans="1:7">
      <c r="A233" t="str">
        <f>VLOOKUP(C233,[1]ОКТМО!B:J,6,0)</f>
        <v>Томпонский муниципальный район</v>
      </c>
      <c r="B233" t="str">
        <f>VLOOKUP(C233,[1]ОКТМО!B:J,9,0)</f>
        <v>поселок Хандыга</v>
      </c>
      <c r="C233" s="70">
        <v>98650151051</v>
      </c>
      <c r="D233" t="s">
        <v>5354</v>
      </c>
      <c r="E233" t="s">
        <v>317</v>
      </c>
      <c r="F233" t="s">
        <v>360</v>
      </c>
      <c r="G233" s="65">
        <v>2001</v>
      </c>
    </row>
    <row r="234" spans="1:7">
      <c r="A234" t="str">
        <f>VLOOKUP(C234,[1]ОКТМО!B:J,6,0)</f>
        <v>Таттинский муниципальный район</v>
      </c>
      <c r="B234" t="str">
        <f>VLOOKUP(C234,[1]ОКТМО!B:J,9,0)</f>
        <v>Хара-Алданский наслег</v>
      </c>
      <c r="C234" s="70">
        <v>98604465101</v>
      </c>
      <c r="D234" t="s">
        <v>5354</v>
      </c>
      <c r="E234" t="s">
        <v>317</v>
      </c>
      <c r="F234" t="s">
        <v>1038</v>
      </c>
      <c r="G234" s="65">
        <v>2018</v>
      </c>
    </row>
    <row r="235" spans="1:7">
      <c r="A235" t="str">
        <f>VLOOKUP(C235,[1]ОКТМО!B:J,6,0)</f>
        <v>Усть-Алданский муниципальный район</v>
      </c>
      <c r="B235" t="str">
        <f>VLOOKUP(C235,[1]ОКТМО!B:J,9,0)</f>
        <v>Оспехский наслег</v>
      </c>
      <c r="C235" s="70">
        <v>98652465101</v>
      </c>
      <c r="D235" t="s">
        <v>5354</v>
      </c>
      <c r="E235" t="s">
        <v>317</v>
      </c>
      <c r="F235" t="s">
        <v>2787</v>
      </c>
      <c r="G235" s="65">
        <v>2001</v>
      </c>
    </row>
    <row r="236" spans="1:7">
      <c r="A236" t="str">
        <f>VLOOKUP(C236,[1]ОКТМО!B:J,6,0)</f>
        <v>Усть-Алданский муниципальный район</v>
      </c>
      <c r="B236" t="str">
        <f>VLOOKUP(C236,[1]ОКТМО!B:J,9,0)</f>
        <v>Оспехский наслег</v>
      </c>
      <c r="C236" s="70">
        <v>98652465101</v>
      </c>
      <c r="D236" t="s">
        <v>5354</v>
      </c>
      <c r="E236" t="s">
        <v>317</v>
      </c>
      <c r="F236" t="s">
        <v>2787</v>
      </c>
      <c r="G236" s="65">
        <v>2017</v>
      </c>
    </row>
    <row r="237" spans="1:7">
      <c r="A237" t="str">
        <f>VLOOKUP(C237,[1]ОКТМО!B:J,6,0)</f>
        <v>Усть-Алданский муниципальный район</v>
      </c>
      <c r="B237" t="str">
        <f>VLOOKUP(C237,[1]ОКТМО!B:J,9,0)</f>
        <v>Оспехский наслег</v>
      </c>
      <c r="C237" s="70">
        <v>98652465101</v>
      </c>
      <c r="D237" t="s">
        <v>5354</v>
      </c>
      <c r="E237" t="s">
        <v>317</v>
      </c>
      <c r="F237" t="s">
        <v>2787</v>
      </c>
      <c r="G237" s="65">
        <v>2018</v>
      </c>
    </row>
    <row r="238" spans="1:7">
      <c r="A238" t="str">
        <f>VLOOKUP(C238,[1]ОКТМО!B:J,6,0)</f>
        <v>Усть-Алданский муниципальный район</v>
      </c>
      <c r="B238" t="str">
        <f>VLOOKUP(C238,[1]ОКТМО!B:J,9,0)</f>
        <v>Чериктейский наслег</v>
      </c>
      <c r="C238" s="70">
        <v>98652485101</v>
      </c>
      <c r="D238" t="s">
        <v>5354</v>
      </c>
      <c r="E238" t="s">
        <v>317</v>
      </c>
      <c r="F238" t="s">
        <v>2817</v>
      </c>
      <c r="G238" s="65">
        <v>2001</v>
      </c>
    </row>
    <row r="239" spans="1:7">
      <c r="A239" t="str">
        <f>VLOOKUP(C239,[1]ОКТМО!B:J,6,0)</f>
        <v>Усть-Алданский муниципальный район</v>
      </c>
      <c r="B239" t="str">
        <f>VLOOKUP(C239,[1]ОКТМО!B:J,9,0)</f>
        <v>Чериктейский наслег</v>
      </c>
      <c r="C239" s="70">
        <v>98652485101</v>
      </c>
      <c r="D239" t="s">
        <v>5354</v>
      </c>
      <c r="E239" t="s">
        <v>317</v>
      </c>
      <c r="F239" t="s">
        <v>2817</v>
      </c>
      <c r="G239" s="65">
        <v>2008</v>
      </c>
    </row>
    <row r="240" spans="1:7">
      <c r="A240" t="str">
        <f>VLOOKUP(C240,[1]ОКТМО!B:J,6,0)</f>
        <v>Усть-Алданский муниципальный район</v>
      </c>
      <c r="B240" t="str">
        <f>VLOOKUP(C240,[1]ОКТМО!B:J,9,0)</f>
        <v>Чериктейский наслег</v>
      </c>
      <c r="C240" s="70">
        <v>98652485101</v>
      </c>
      <c r="D240" t="s">
        <v>5354</v>
      </c>
      <c r="E240" t="s">
        <v>317</v>
      </c>
      <c r="F240" t="s">
        <v>2817</v>
      </c>
      <c r="G240" s="65">
        <v>2015</v>
      </c>
    </row>
    <row r="241" spans="1:7">
      <c r="A241" t="str">
        <f>VLOOKUP(C241,[1]ОКТМО!B:J,6,0)</f>
        <v>Усть-Алданский муниципальный район</v>
      </c>
      <c r="B241" t="str">
        <f>VLOOKUP(C241,[1]ОКТМО!B:J,9,0)</f>
        <v>Чериктейский наслег</v>
      </c>
      <c r="C241" s="70">
        <v>98652485101</v>
      </c>
      <c r="D241" t="s">
        <v>5354</v>
      </c>
      <c r="E241" t="s">
        <v>317</v>
      </c>
      <c r="F241" t="s">
        <v>2817</v>
      </c>
      <c r="G241" s="65">
        <v>2017</v>
      </c>
    </row>
    <row r="242" spans="1:7">
      <c r="A242" t="str">
        <f>VLOOKUP(C242,[1]ОКТМО!B:J,6,0)</f>
        <v>Усть-Алданский муниципальный район</v>
      </c>
      <c r="B242" t="str">
        <f>VLOOKUP(C242,[1]ОКТМО!B:J,9,0)</f>
        <v>Чериктейский наслег</v>
      </c>
      <c r="C242" s="70">
        <v>98652485101</v>
      </c>
      <c r="D242" t="s">
        <v>5354</v>
      </c>
      <c r="E242" t="s">
        <v>317</v>
      </c>
      <c r="F242" t="s">
        <v>2817</v>
      </c>
      <c r="G242" s="65">
        <v>2018</v>
      </c>
    </row>
    <row r="243" spans="1:7">
      <c r="A243" t="str">
        <f>VLOOKUP(C243,[1]ОКТМО!B:J,6,0)</f>
        <v>Усть-Алданский муниципальный район</v>
      </c>
      <c r="B243" t="str">
        <f>VLOOKUP(C243,[1]ОКТМО!B:J,9,0)</f>
        <v>Чериктейский наслег</v>
      </c>
      <c r="C243" s="70">
        <v>98652485101</v>
      </c>
      <c r="D243" t="s">
        <v>5354</v>
      </c>
      <c r="E243" t="s">
        <v>317</v>
      </c>
      <c r="F243" t="s">
        <v>2817</v>
      </c>
      <c r="G243" s="65">
        <v>2020</v>
      </c>
    </row>
    <row r="244" spans="1:7">
      <c r="A244" t="str">
        <f>VLOOKUP(C244,[1]ОКТМО!B:J,6,0)</f>
        <v>Усть-Алданский муниципальный район</v>
      </c>
      <c r="B244" t="str">
        <f>VLOOKUP(C244,[1]ОКТМО!B:J,9,0)</f>
        <v>Тюляхский наслег</v>
      </c>
      <c r="C244" s="70">
        <v>98652475101</v>
      </c>
      <c r="D244" t="s">
        <v>5354</v>
      </c>
      <c r="E244" t="s">
        <v>317</v>
      </c>
      <c r="F244" t="s">
        <v>2811</v>
      </c>
      <c r="G244" s="65">
        <v>2001</v>
      </c>
    </row>
    <row r="245" spans="1:7">
      <c r="A245" t="str">
        <f>VLOOKUP(C245,[1]ОКТМО!B:J,6,0)</f>
        <v>Усть-Алданский муниципальный район</v>
      </c>
      <c r="B245" t="str">
        <f>VLOOKUP(C245,[1]ОКТМО!B:J,9,0)</f>
        <v>Тюляхский наслег</v>
      </c>
      <c r="C245" s="70">
        <v>98652475101</v>
      </c>
      <c r="D245" t="s">
        <v>5354</v>
      </c>
      <c r="E245" t="s">
        <v>317</v>
      </c>
      <c r="F245" t="s">
        <v>2811</v>
      </c>
      <c r="G245" s="65">
        <v>2020</v>
      </c>
    </row>
    <row r="246" spans="1:7">
      <c r="A246" t="str">
        <f>VLOOKUP(C246,[1]ОКТМО!B:J,6,0)</f>
        <v>Кобяйский муниципальный район</v>
      </c>
      <c r="B246" t="str">
        <f>VLOOKUP(C246,[1]ОКТМО!B:J,9,0)</f>
        <v>Кировский эвенский национальный наслег</v>
      </c>
      <c r="C246" s="70">
        <v>98624414106</v>
      </c>
      <c r="D246" t="s">
        <v>5354</v>
      </c>
      <c r="E246" t="s">
        <v>317</v>
      </c>
      <c r="F246" t="s">
        <v>387</v>
      </c>
      <c r="G246" s="65">
        <v>2015</v>
      </c>
    </row>
    <row r="247" spans="1:7">
      <c r="A247" t="str">
        <f>VLOOKUP(C247,[1]ОКТМО!B:J,6,0)</f>
        <v>Верхнеколымский муниципальный район</v>
      </c>
      <c r="B247" t="str">
        <f>VLOOKUP(C247,[1]ОКТМО!B:J,9,0)</f>
        <v>поселок Зырянка</v>
      </c>
      <c r="C247" s="70">
        <v>98615151051</v>
      </c>
      <c r="D247" t="s">
        <v>5354</v>
      </c>
      <c r="E247" t="s">
        <v>666</v>
      </c>
      <c r="F247" t="s">
        <v>679</v>
      </c>
      <c r="G247" s="65">
        <v>2001</v>
      </c>
    </row>
    <row r="248" spans="1:7">
      <c r="A248" t="str">
        <f>VLOOKUP(C248,[1]ОКТМО!B:J,6,0)</f>
        <v>Верхнеколымский муниципальный район</v>
      </c>
      <c r="B248" t="str">
        <f>VLOOKUP(C248,[1]ОКТМО!B:J,9,0)</f>
        <v>поселок Зырянка</v>
      </c>
      <c r="C248" s="70">
        <v>98615151051</v>
      </c>
      <c r="D248" t="s">
        <v>5354</v>
      </c>
      <c r="E248" t="s">
        <v>666</v>
      </c>
      <c r="F248" t="s">
        <v>679</v>
      </c>
      <c r="G248" s="65">
        <v>2012</v>
      </c>
    </row>
    <row r="249" spans="1:7">
      <c r="A249" t="str">
        <f>VLOOKUP(C249,[1]ОКТМО!B:J,6,0)</f>
        <v>Верхнеколымский муниципальный район</v>
      </c>
      <c r="B249" t="str">
        <f>VLOOKUP(C249,[1]ОКТМО!B:J,9,0)</f>
        <v>поселок Зырянка</v>
      </c>
      <c r="C249" s="70">
        <v>98615151051</v>
      </c>
      <c r="D249" t="s">
        <v>5354</v>
      </c>
      <c r="E249" t="s">
        <v>666</v>
      </c>
      <c r="F249" t="s">
        <v>679</v>
      </c>
      <c r="G249" s="65">
        <v>2013</v>
      </c>
    </row>
    <row r="250" spans="1:7">
      <c r="A250" t="str">
        <f>VLOOKUP(C250,[1]ОКТМО!B:J,6,0)</f>
        <v>Верхнеколымский муниципальный район</v>
      </c>
      <c r="B250" t="str">
        <f>VLOOKUP(C250,[1]ОКТМО!B:J,9,0)</f>
        <v>поселок Зырянка</v>
      </c>
      <c r="C250" s="70">
        <v>98615151051</v>
      </c>
      <c r="D250" t="s">
        <v>5354</v>
      </c>
      <c r="E250" t="s">
        <v>666</v>
      </c>
      <c r="F250" t="s">
        <v>679</v>
      </c>
      <c r="G250" s="65">
        <v>2014</v>
      </c>
    </row>
    <row r="251" spans="1:7">
      <c r="A251" t="str">
        <f>VLOOKUP(C251,[1]ОКТМО!B:J,6,0)</f>
        <v>Верхнеколымский муниципальный район</v>
      </c>
      <c r="B251" t="str">
        <f>VLOOKUP(C251,[1]ОКТМО!B:J,9,0)</f>
        <v>поселок Зырянка</v>
      </c>
      <c r="C251" s="70">
        <v>98615151051</v>
      </c>
      <c r="D251" t="s">
        <v>5354</v>
      </c>
      <c r="E251" t="s">
        <v>666</v>
      </c>
      <c r="F251" t="s">
        <v>679</v>
      </c>
      <c r="G251" s="65">
        <v>2015</v>
      </c>
    </row>
    <row r="252" spans="1:7">
      <c r="A252" t="str">
        <f>VLOOKUP(C252,[1]ОКТМО!B:J,6,0)</f>
        <v>Верхнеколымский муниципальный район</v>
      </c>
      <c r="B252" t="str">
        <f>VLOOKUP(C252,[1]ОКТМО!B:J,9,0)</f>
        <v>поселок Зырянка</v>
      </c>
      <c r="C252" s="70">
        <v>98615151051</v>
      </c>
      <c r="D252" t="s">
        <v>5354</v>
      </c>
      <c r="E252" t="s">
        <v>666</v>
      </c>
      <c r="F252" t="s">
        <v>679</v>
      </c>
      <c r="G252" s="65">
        <v>2018</v>
      </c>
    </row>
    <row r="253" spans="1:7">
      <c r="A253" t="str">
        <f>VLOOKUP(C253,[1]ОКТМО!B:J,6,0)</f>
        <v>Верхнеколымский муниципальный район</v>
      </c>
      <c r="B253" t="str">
        <f>VLOOKUP(C253,[1]ОКТМО!B:J,9,0)</f>
        <v>поселок Зырянка</v>
      </c>
      <c r="C253" s="70">
        <v>98615151051</v>
      </c>
      <c r="D253" t="s">
        <v>5354</v>
      </c>
      <c r="E253" t="s">
        <v>666</v>
      </c>
      <c r="F253" t="s">
        <v>679</v>
      </c>
      <c r="G253" s="65">
        <v>2019</v>
      </c>
    </row>
    <row r="254" spans="1:7">
      <c r="A254" t="str">
        <f>VLOOKUP(C254,[1]ОКТМО!B:J,6,0)</f>
        <v>Верхнеколымский муниципальный район</v>
      </c>
      <c r="B254" t="str">
        <f>VLOOKUP(C254,[1]ОКТМО!B:J,9,0)</f>
        <v>поселок Зырянка</v>
      </c>
      <c r="C254" s="70">
        <v>98615151051</v>
      </c>
      <c r="D254" t="s">
        <v>5354</v>
      </c>
      <c r="E254" t="s">
        <v>666</v>
      </c>
      <c r="F254" t="s">
        <v>679</v>
      </c>
      <c r="G254" s="65">
        <v>2020</v>
      </c>
    </row>
    <row r="255" spans="1:7">
      <c r="A255" t="str">
        <f>VLOOKUP(C255,[1]ОКТМО!B:J,6,0)</f>
        <v>Верхнеколымский муниципальный район</v>
      </c>
      <c r="B255" t="str">
        <f>VLOOKUP(C255,[1]ОКТМО!B:J,9,0)</f>
        <v>Верхнеколымский наслег</v>
      </c>
      <c r="C255" s="70">
        <v>98615409101</v>
      </c>
      <c r="D255" t="s">
        <v>5354</v>
      </c>
      <c r="E255" t="s">
        <v>666</v>
      </c>
      <c r="F255" t="s">
        <v>1307</v>
      </c>
      <c r="G255" s="65">
        <v>2007</v>
      </c>
    </row>
    <row r="256" spans="1:7">
      <c r="A256" t="str">
        <f>VLOOKUP(C256,[1]ОКТМО!B:J,6,0)</f>
        <v>Верхнеколымский муниципальный район</v>
      </c>
      <c r="B256" t="str">
        <f>VLOOKUP(C256,[1]ОКТМО!B:J,9,0)</f>
        <v>Верхнеколымский наслег</v>
      </c>
      <c r="C256" s="70">
        <v>98615409101</v>
      </c>
      <c r="D256" t="s">
        <v>5354</v>
      </c>
      <c r="E256" t="s">
        <v>666</v>
      </c>
      <c r="F256" t="s">
        <v>1307</v>
      </c>
      <c r="G256" s="65">
        <v>2014</v>
      </c>
    </row>
    <row r="257" spans="1:7">
      <c r="A257" t="str">
        <f>VLOOKUP(C257,[1]ОКТМО!B:J,6,0)</f>
        <v>Верхнеколымский муниципальный район</v>
      </c>
      <c r="B257" t="str">
        <f>VLOOKUP(C257,[1]ОКТМО!B:J,9,0)</f>
        <v>Верхнеколымский наслег</v>
      </c>
      <c r="C257" s="70">
        <v>98615409101</v>
      </c>
      <c r="D257" t="s">
        <v>5354</v>
      </c>
      <c r="E257" t="s">
        <v>666</v>
      </c>
      <c r="F257" t="s">
        <v>1307</v>
      </c>
      <c r="G257" s="65">
        <v>2015</v>
      </c>
    </row>
    <row r="258" spans="1:7">
      <c r="A258" t="str">
        <f>VLOOKUP(C258,[1]ОКТМО!B:J,6,0)</f>
        <v>Верхнеколымский муниципальный район</v>
      </c>
      <c r="B258" t="str">
        <f>VLOOKUP(C258,[1]ОКТМО!B:J,9,0)</f>
        <v>Верхнеколымский наслег</v>
      </c>
      <c r="C258" s="70">
        <v>98615409101</v>
      </c>
      <c r="D258" t="s">
        <v>5354</v>
      </c>
      <c r="E258" t="s">
        <v>666</v>
      </c>
      <c r="F258" t="s">
        <v>1307</v>
      </c>
      <c r="G258" s="65">
        <v>2018</v>
      </c>
    </row>
    <row r="259" spans="1:7">
      <c r="A259" t="str">
        <f>VLOOKUP(C259,[1]ОКТМО!B:J,6,0)</f>
        <v>Среднеколымский муниципальный район</v>
      </c>
      <c r="B259" t="str">
        <f>VLOOKUP(C259,[1]ОКТМО!B:J,9,0)</f>
        <v>город Среднеколымск</v>
      </c>
      <c r="C259" s="70">
        <v>98646101001</v>
      </c>
      <c r="D259" t="s">
        <v>5354</v>
      </c>
      <c r="E259" t="s">
        <v>666</v>
      </c>
      <c r="F259" t="s">
        <v>682</v>
      </c>
      <c r="G259" s="65">
        <v>2012</v>
      </c>
    </row>
    <row r="260" spans="1:7">
      <c r="A260" t="str">
        <f>VLOOKUP(C260,[1]ОКТМО!B:J,6,0)</f>
        <v>Среднеколымский муниципальный район</v>
      </c>
      <c r="B260" t="str">
        <f>VLOOKUP(C260,[1]ОКТМО!B:J,9,0)</f>
        <v>город Среднеколымск</v>
      </c>
      <c r="C260" s="70">
        <v>98646101001</v>
      </c>
      <c r="D260" t="s">
        <v>5354</v>
      </c>
      <c r="E260" t="s">
        <v>666</v>
      </c>
      <c r="F260" t="s">
        <v>682</v>
      </c>
      <c r="G260" s="65">
        <v>2013</v>
      </c>
    </row>
    <row r="261" spans="1:7">
      <c r="A261" t="str">
        <f>VLOOKUP(C261,[1]ОКТМО!B:J,6,0)</f>
        <v>Среднеколымский муниципальный район</v>
      </c>
      <c r="B261" t="str">
        <f>VLOOKUP(C261,[1]ОКТМО!B:J,9,0)</f>
        <v>город Среднеколымск</v>
      </c>
      <c r="C261" s="70">
        <v>98646101001</v>
      </c>
      <c r="D261" t="s">
        <v>5354</v>
      </c>
      <c r="E261" t="s">
        <v>666</v>
      </c>
      <c r="F261" t="s">
        <v>682</v>
      </c>
      <c r="G261" s="65">
        <v>2018</v>
      </c>
    </row>
    <row r="262" spans="1:7">
      <c r="A262" t="str">
        <f>VLOOKUP(C262,[1]ОКТМО!B:J,6,0)</f>
        <v>Среднеколымский муниципальный район</v>
      </c>
      <c r="B262" t="str">
        <f>VLOOKUP(C262,[1]ОКТМО!B:J,9,0)</f>
        <v>город Среднеколымск</v>
      </c>
      <c r="C262" s="70">
        <v>98646101001</v>
      </c>
      <c r="D262" t="s">
        <v>5354</v>
      </c>
      <c r="E262" t="s">
        <v>666</v>
      </c>
      <c r="F262" t="s">
        <v>682</v>
      </c>
      <c r="G262" s="65">
        <v>2019</v>
      </c>
    </row>
    <row r="263" spans="1:7">
      <c r="A263" t="str">
        <f>VLOOKUP(C263,[1]ОКТМО!B:J,6,0)</f>
        <v>Среднеколымский муниципальный район</v>
      </c>
      <c r="B263" t="str">
        <f>VLOOKUP(C263,[1]ОКТМО!B:J,9,0)</f>
        <v>город Среднеколымск</v>
      </c>
      <c r="C263" s="70">
        <v>98646101001</v>
      </c>
      <c r="D263" t="s">
        <v>5354</v>
      </c>
      <c r="E263" t="s">
        <v>666</v>
      </c>
      <c r="F263" t="s">
        <v>682</v>
      </c>
      <c r="G263" s="65">
        <v>2020</v>
      </c>
    </row>
    <row r="264" spans="1:7">
      <c r="A264" t="str">
        <f>VLOOKUP(C264,[1]ОКТМО!B:J,6,0)</f>
        <v>Среднеколымский муниципальный район</v>
      </c>
      <c r="B264" t="str">
        <f>VLOOKUP(C264,[1]ОКТМО!B:J,9,0)</f>
        <v>город Среднеколымск</v>
      </c>
      <c r="C264" s="70">
        <v>98646101001</v>
      </c>
      <c r="D264" t="s">
        <v>5354</v>
      </c>
      <c r="E264" t="s">
        <v>666</v>
      </c>
      <c r="F264" t="s">
        <v>682</v>
      </c>
      <c r="G264" s="65">
        <v>2021</v>
      </c>
    </row>
    <row r="265" spans="1:7">
      <c r="A265" t="str">
        <f>VLOOKUP(C265,[1]ОКТМО!B:J,6,0)</f>
        <v>Среднеколымский муниципальный район</v>
      </c>
      <c r="B265" t="str">
        <f>VLOOKUP(C265,[1]ОКТМО!B:J,9,0)</f>
        <v>Байдинский наслег</v>
      </c>
      <c r="C265" s="70">
        <v>98646410101</v>
      </c>
      <c r="D265" t="s">
        <v>5354</v>
      </c>
      <c r="E265" t="s">
        <v>666</v>
      </c>
      <c r="F265" t="s">
        <v>2494</v>
      </c>
      <c r="G265" s="65">
        <v>2018</v>
      </c>
    </row>
    <row r="266" spans="1:7">
      <c r="A266" t="str">
        <f>VLOOKUP(C266,[1]ОКТМО!B:J,6,0)</f>
        <v>Нижнеколымский муниципальный район</v>
      </c>
      <c r="B266" t="str">
        <f>VLOOKUP(C266,[1]ОКТМО!B:J,9,0)</f>
        <v>Чукотский национальный Халарчинский наслег</v>
      </c>
      <c r="C266" s="70">
        <v>98637437101</v>
      </c>
      <c r="D266" t="s">
        <v>5354</v>
      </c>
      <c r="E266" t="s">
        <v>666</v>
      </c>
      <c r="F266" t="s">
        <v>2148</v>
      </c>
      <c r="G266" s="65">
        <v>2007</v>
      </c>
    </row>
    <row r="267" spans="1:7">
      <c r="A267" t="str">
        <f>VLOOKUP(C267,[1]ОКТМО!B:J,6,0)</f>
        <v>Нижнеколымский муниципальный район</v>
      </c>
      <c r="B267" t="str">
        <f>VLOOKUP(C267,[1]ОКТМО!B:J,9,0)</f>
        <v>Чукотский национальный Халарчинский наслег</v>
      </c>
      <c r="C267" s="70">
        <v>98637437101</v>
      </c>
      <c r="D267" t="s">
        <v>5354</v>
      </c>
      <c r="E267" t="s">
        <v>666</v>
      </c>
      <c r="F267" t="s">
        <v>2148</v>
      </c>
      <c r="G267" s="65">
        <v>2018</v>
      </c>
    </row>
    <row r="268" spans="1:7">
      <c r="A268" t="str">
        <f>VLOOKUP(C268,[1]ОКТМО!B:J,6,0)</f>
        <v>Нижнеколымский муниципальный район</v>
      </c>
      <c r="B268" t="str">
        <f>VLOOKUP(C268,[1]ОКТМО!B:J,9,0)</f>
        <v>Походский наслег</v>
      </c>
      <c r="C268" s="70">
        <v>98637424101</v>
      </c>
      <c r="D268" t="s">
        <v>5354</v>
      </c>
      <c r="E268" t="s">
        <v>666</v>
      </c>
      <c r="F268" t="s">
        <v>2120</v>
      </c>
      <c r="G268" s="65">
        <v>2018</v>
      </c>
    </row>
    <row r="269" spans="1:7">
      <c r="A269" t="str">
        <f>VLOOKUP(C269,[1]ОКТМО!B:J,6,0)</f>
        <v>Нижнеколымский муниципальный район</v>
      </c>
      <c r="B269" t="str">
        <f>VLOOKUP(C269,[1]ОКТМО!B:J,9,0)</f>
        <v>Походский наслег</v>
      </c>
      <c r="C269" s="70">
        <v>98637424101</v>
      </c>
      <c r="D269" t="s">
        <v>5354</v>
      </c>
      <c r="E269" t="s">
        <v>666</v>
      </c>
      <c r="F269" t="s">
        <v>2120</v>
      </c>
      <c r="G269" s="65">
        <v>2019</v>
      </c>
    </row>
    <row r="270" spans="1:7">
      <c r="A270" t="str">
        <f>VLOOKUP(C270,[1]ОКТМО!B:J,6,0)</f>
        <v>Амгинский муниципальный район</v>
      </c>
      <c r="B270" t="str">
        <f>VLOOKUP(C270,[1]ОКТМО!B:J,9,0)</f>
        <v>Абагинский наслег</v>
      </c>
      <c r="C270" s="70">
        <v>98608405101</v>
      </c>
      <c r="D270" t="s">
        <v>5354</v>
      </c>
      <c r="E270" t="s">
        <v>458</v>
      </c>
      <c r="F270" t="s">
        <v>1072</v>
      </c>
      <c r="G270" s="65">
        <v>2001</v>
      </c>
    </row>
    <row r="271" spans="1:7">
      <c r="A271" t="str">
        <f>VLOOKUP(C271,[1]ОКТМО!B:J,6,0)</f>
        <v>Амгинский муниципальный район</v>
      </c>
      <c r="B271" t="str">
        <f>VLOOKUP(C271,[1]ОКТМО!B:J,9,0)</f>
        <v>Абагинский наслег</v>
      </c>
      <c r="C271" s="70">
        <v>98608405101</v>
      </c>
      <c r="D271" t="s">
        <v>5354</v>
      </c>
      <c r="E271" t="s">
        <v>458</v>
      </c>
      <c r="F271" t="s">
        <v>1072</v>
      </c>
      <c r="G271" s="65">
        <v>2008</v>
      </c>
    </row>
    <row r="272" spans="1:7">
      <c r="A272" t="str">
        <f>VLOOKUP(C272,[1]ОКТМО!B:J,6,0)</f>
        <v>Амгинский муниципальный район</v>
      </c>
      <c r="B272" t="str">
        <f>VLOOKUP(C272,[1]ОКТМО!B:J,9,0)</f>
        <v>Абагинский наслег</v>
      </c>
      <c r="C272" s="70">
        <v>98608405101</v>
      </c>
      <c r="D272" t="s">
        <v>5354</v>
      </c>
      <c r="E272" t="s">
        <v>458</v>
      </c>
      <c r="F272" t="s">
        <v>1072</v>
      </c>
      <c r="G272" s="65">
        <v>2018</v>
      </c>
    </row>
    <row r="273" spans="1:7">
      <c r="A273" t="str">
        <f>VLOOKUP(C273,[1]ОКТМО!B:J,6,0)</f>
        <v>Амгинский муниципальный район</v>
      </c>
      <c r="B273" t="str">
        <f>VLOOKUP(C273,[1]ОКТМО!B:J,9,0)</f>
        <v>Амгинский наслег</v>
      </c>
      <c r="C273" s="70">
        <v>98608432101</v>
      </c>
      <c r="D273" t="s">
        <v>5354</v>
      </c>
      <c r="E273" t="s">
        <v>458</v>
      </c>
      <c r="F273" t="s">
        <v>458</v>
      </c>
      <c r="G273" s="65">
        <v>2008</v>
      </c>
    </row>
    <row r="274" spans="1:7">
      <c r="A274" t="str">
        <f>VLOOKUP(C274,[1]ОКТМО!B:J,6,0)</f>
        <v>Амгинский муниципальный район</v>
      </c>
      <c r="B274" t="str">
        <f>VLOOKUP(C274,[1]ОКТМО!B:J,9,0)</f>
        <v>Амгинский наслег</v>
      </c>
      <c r="C274" s="70">
        <v>98608432101</v>
      </c>
      <c r="D274" t="s">
        <v>5354</v>
      </c>
      <c r="E274" t="s">
        <v>458</v>
      </c>
      <c r="F274" t="s">
        <v>458</v>
      </c>
      <c r="G274" s="65">
        <v>2018</v>
      </c>
    </row>
    <row r="275" spans="1:7">
      <c r="A275" t="str">
        <f>VLOOKUP(C275,[1]ОКТМО!B:J,6,0)</f>
        <v>Амгинский муниципальный район</v>
      </c>
      <c r="B275" t="str">
        <f>VLOOKUP(C275,[1]ОКТМО!B:J,9,0)</f>
        <v>Амгинский наслег</v>
      </c>
      <c r="C275" s="70">
        <v>98608432101</v>
      </c>
      <c r="D275" t="s">
        <v>5354</v>
      </c>
      <c r="E275" t="s">
        <v>458</v>
      </c>
      <c r="F275" t="s">
        <v>458</v>
      </c>
      <c r="G275" s="65">
        <v>2023</v>
      </c>
    </row>
    <row r="276" spans="1:7">
      <c r="A276" t="str">
        <f>VLOOKUP(C276,[1]ОКТМО!B:J,6,0)</f>
        <v>Амгинский муниципальный район</v>
      </c>
      <c r="B276" t="str">
        <f>VLOOKUP(C276,[1]ОКТМО!B:J,9,0)</f>
        <v>Мяндигинский наслег</v>
      </c>
      <c r="C276" s="70">
        <v>98608455101</v>
      </c>
      <c r="D276" t="s">
        <v>5354</v>
      </c>
      <c r="E276" t="s">
        <v>458</v>
      </c>
      <c r="F276" t="s">
        <v>1109</v>
      </c>
      <c r="G276" s="65">
        <v>2008</v>
      </c>
    </row>
    <row r="277" spans="1:7">
      <c r="A277" t="str">
        <f>VLOOKUP(C277,[1]ОКТМО!B:J,6,0)</f>
        <v>Амгинский муниципальный район</v>
      </c>
      <c r="B277" t="str">
        <f>VLOOKUP(C277,[1]ОКТМО!B:J,9,0)</f>
        <v>Мяндигинский наслег</v>
      </c>
      <c r="C277" s="70">
        <v>98608455101</v>
      </c>
      <c r="D277" t="s">
        <v>5354</v>
      </c>
      <c r="E277" t="s">
        <v>458</v>
      </c>
      <c r="F277" t="s">
        <v>1109</v>
      </c>
      <c r="G277" s="65">
        <v>2018</v>
      </c>
    </row>
    <row r="278" spans="1:7">
      <c r="A278" t="str">
        <f>VLOOKUP(C278,[1]ОКТМО!B:J,6,0)</f>
        <v>Амгинский муниципальный район</v>
      </c>
      <c r="B278" t="str">
        <f>VLOOKUP(C278,[1]ОКТМО!B:J,9,0)</f>
        <v>Мяндигинский наслег</v>
      </c>
      <c r="C278" s="70">
        <v>98608455101</v>
      </c>
      <c r="D278" t="s">
        <v>5354</v>
      </c>
      <c r="E278" t="s">
        <v>458</v>
      </c>
      <c r="F278" t="s">
        <v>1109</v>
      </c>
      <c r="G278" s="65">
        <v>2023</v>
      </c>
    </row>
    <row r="279" spans="1:7">
      <c r="A279" t="str">
        <f>VLOOKUP(C279,[1]ОКТМО!B:J,6,0)</f>
        <v>Амгинский муниципальный район</v>
      </c>
      <c r="B279" t="str">
        <f>VLOOKUP(C279,[1]ОКТМО!B:J,9,0)</f>
        <v>Чапчылганский наслег</v>
      </c>
      <c r="C279" s="70">
        <v>98608472101</v>
      </c>
      <c r="D279" t="s">
        <v>5354</v>
      </c>
      <c r="E279" t="s">
        <v>458</v>
      </c>
      <c r="F279" t="s">
        <v>1132</v>
      </c>
      <c r="G279" s="65">
        <v>2008</v>
      </c>
    </row>
    <row r="280" spans="1:7">
      <c r="A280" t="str">
        <f>VLOOKUP(C280,[1]ОКТМО!B:J,6,0)</f>
        <v>Амгинский муниципальный район</v>
      </c>
      <c r="B280" t="str">
        <f>VLOOKUP(C280,[1]ОКТМО!B:J,9,0)</f>
        <v>Чапчылганский наслег</v>
      </c>
      <c r="C280" s="70">
        <v>98608472101</v>
      </c>
      <c r="D280" t="s">
        <v>5354</v>
      </c>
      <c r="E280" t="s">
        <v>458</v>
      </c>
      <c r="F280" t="s">
        <v>1132</v>
      </c>
      <c r="G280" s="65">
        <v>2018</v>
      </c>
    </row>
    <row r="281" spans="1:7">
      <c r="A281" t="str">
        <f>VLOOKUP(C281,[1]ОКТМО!B:J,6,0)</f>
        <v>Амгинский муниципальный район</v>
      </c>
      <c r="B281" t="str">
        <f>VLOOKUP(C281,[1]ОКТМО!B:J,9,0)</f>
        <v>Чапчылганский наслег</v>
      </c>
      <c r="C281" s="70">
        <v>98608472101</v>
      </c>
      <c r="D281" t="s">
        <v>5354</v>
      </c>
      <c r="E281" t="s">
        <v>458</v>
      </c>
      <c r="F281" t="s">
        <v>1132</v>
      </c>
      <c r="G281" s="65">
        <v>2023</v>
      </c>
    </row>
    <row r="282" spans="1:7">
      <c r="A282" t="str">
        <f>VLOOKUP(C282,[1]ОКТМО!B:J,6,0)</f>
        <v>Амгинский муниципальный район</v>
      </c>
      <c r="B282" t="str">
        <f>VLOOKUP(C282,[1]ОКТМО!B:J,9,0)</f>
        <v>Амгино-Нахаринский наслег</v>
      </c>
      <c r="C282" s="70">
        <v>98608429101</v>
      </c>
      <c r="D282" t="s">
        <v>5354</v>
      </c>
      <c r="E282" t="s">
        <v>458</v>
      </c>
      <c r="F282" t="s">
        <v>1080</v>
      </c>
      <c r="G282" s="65">
        <v>2018</v>
      </c>
    </row>
    <row r="283" spans="1:7">
      <c r="A283" t="str">
        <f>VLOOKUP(C283,[1]ОКТМО!B:J,6,0)</f>
        <v>Таттинский муниципальный район</v>
      </c>
      <c r="B283" t="str">
        <f>VLOOKUP(C283,[1]ОКТМО!B:J,9,0)</f>
        <v>Усть-Амгинский наслег</v>
      </c>
      <c r="C283" s="70">
        <v>98604460101</v>
      </c>
      <c r="D283" t="s">
        <v>5354</v>
      </c>
      <c r="E283" t="s">
        <v>458</v>
      </c>
      <c r="F283" t="s">
        <v>1034</v>
      </c>
      <c r="G283" s="65">
        <v>2007</v>
      </c>
    </row>
    <row r="284" spans="1:7">
      <c r="A284" t="str">
        <f>VLOOKUP(C284,[1]ОКТМО!B:J,6,0)</f>
        <v>Таттинский муниципальный район</v>
      </c>
      <c r="B284" t="str">
        <f>VLOOKUP(C284,[1]ОКТМО!B:J,9,0)</f>
        <v>Усть-Амгинский наслег</v>
      </c>
      <c r="C284" s="70">
        <v>98604460101</v>
      </c>
      <c r="D284" t="s">
        <v>5354</v>
      </c>
      <c r="E284" t="s">
        <v>458</v>
      </c>
      <c r="F284" t="s">
        <v>1034</v>
      </c>
      <c r="G284" s="65">
        <v>2008</v>
      </c>
    </row>
    <row r="285" spans="1:7">
      <c r="A285" t="str">
        <f>VLOOKUP(C285,[1]ОКТМО!B:J,6,0)</f>
        <v>Таттинский муниципальный район</v>
      </c>
      <c r="B285" t="str">
        <f>VLOOKUP(C285,[1]ОКТМО!B:J,9,0)</f>
        <v>Усть-Амгинский наслег</v>
      </c>
      <c r="C285" s="70">
        <v>98604460101</v>
      </c>
      <c r="D285" t="s">
        <v>5354</v>
      </c>
      <c r="E285" t="s">
        <v>458</v>
      </c>
      <c r="F285" t="s">
        <v>1034</v>
      </c>
      <c r="G285" s="65">
        <v>2020</v>
      </c>
    </row>
    <row r="286" spans="1:7">
      <c r="A286" t="str">
        <f>VLOOKUP(C286,[1]ОКТМО!B:J,6,0)</f>
        <v>Таттинский муниципальный район</v>
      </c>
      <c r="B286" t="str">
        <f>VLOOKUP(C286,[1]ОКТМО!B:J,9,0)</f>
        <v>Усть-Амгинский наслег</v>
      </c>
      <c r="C286" s="70">
        <v>98604460101</v>
      </c>
      <c r="D286" t="s">
        <v>5354</v>
      </c>
      <c r="E286" t="s">
        <v>458</v>
      </c>
      <c r="F286" t="s">
        <v>1034</v>
      </c>
      <c r="G286" s="65">
        <v>2021</v>
      </c>
    </row>
    <row r="287" spans="1:7">
      <c r="A287" t="str">
        <f>VLOOKUP(C287,[1]ОКТМО!B:J,6,0)</f>
        <v>Таттинский муниципальный район</v>
      </c>
      <c r="B287" t="str">
        <f>VLOOKUP(C287,[1]ОКТМО!B:J,9,0)</f>
        <v>Усть-Амгинский наслег</v>
      </c>
      <c r="C287" s="70">
        <v>98604460101</v>
      </c>
      <c r="D287" t="s">
        <v>5354</v>
      </c>
      <c r="E287" t="s">
        <v>458</v>
      </c>
      <c r="F287" t="s">
        <v>1034</v>
      </c>
      <c r="G287" s="65">
        <v>2023</v>
      </c>
    </row>
    <row r="288" spans="1:7">
      <c r="A288" t="str">
        <f>VLOOKUP(C288,[1]ОКТМО!B:J,6,0)</f>
        <v>Таттинский муниципальный район</v>
      </c>
      <c r="B288" t="str">
        <f>VLOOKUP(C288,[1]ОКТМО!B:J,9,0)</f>
        <v>Дайа-Амгинский наслег</v>
      </c>
      <c r="C288" s="70">
        <v>98604418101</v>
      </c>
      <c r="D288" t="s">
        <v>5354</v>
      </c>
      <c r="E288" t="s">
        <v>458</v>
      </c>
      <c r="F288" t="s">
        <v>3187</v>
      </c>
      <c r="G288" s="65">
        <v>2007</v>
      </c>
    </row>
    <row r="289" spans="1:7">
      <c r="A289" t="str">
        <f>VLOOKUP(C289,[1]ОКТМО!B:J,6,0)</f>
        <v>Таттинский муниципальный район</v>
      </c>
      <c r="B289" t="str">
        <f>VLOOKUP(C289,[1]ОКТМО!B:J,9,0)</f>
        <v>Дайа-Амгинский наслег</v>
      </c>
      <c r="C289" s="70">
        <v>98604418101</v>
      </c>
      <c r="D289" t="s">
        <v>5354</v>
      </c>
      <c r="E289" t="s">
        <v>458</v>
      </c>
      <c r="F289" t="s">
        <v>3187</v>
      </c>
      <c r="G289" s="65">
        <v>2018</v>
      </c>
    </row>
    <row r="290" spans="1:7">
      <c r="A290" t="str">
        <f>VLOOKUP(C290,[1]ОКТМО!B:J,6,0)</f>
        <v>Таттинский муниципальный район</v>
      </c>
      <c r="B290" t="str">
        <f>VLOOKUP(C290,[1]ОКТМО!B:J,9,0)</f>
        <v>Средне-Амгинский наслег</v>
      </c>
      <c r="C290" s="70">
        <v>98604440101</v>
      </c>
      <c r="D290" t="s">
        <v>5354</v>
      </c>
      <c r="E290" t="s">
        <v>458</v>
      </c>
      <c r="F290" t="s">
        <v>1018</v>
      </c>
      <c r="G290" s="65">
        <v>2007</v>
      </c>
    </row>
    <row r="291" spans="1:7">
      <c r="A291" t="str">
        <f>VLOOKUP(C291,[1]ОКТМО!B:J,6,0)</f>
        <v>Таттинский муниципальный район</v>
      </c>
      <c r="B291" t="str">
        <f>VLOOKUP(C291,[1]ОКТМО!B:J,9,0)</f>
        <v>Средне-Амгинский наслег</v>
      </c>
      <c r="C291" s="70">
        <v>98604440101</v>
      </c>
      <c r="D291" t="s">
        <v>5354</v>
      </c>
      <c r="E291" t="s">
        <v>458</v>
      </c>
      <c r="F291" t="s">
        <v>1018</v>
      </c>
      <c r="G291" s="65">
        <v>2008</v>
      </c>
    </row>
    <row r="292" spans="1:7">
      <c r="A292" t="str">
        <f>VLOOKUP(C292,[1]ОКТМО!B:J,6,0)</f>
        <v>Таттинский муниципальный район</v>
      </c>
      <c r="B292" t="str">
        <f>VLOOKUP(C292,[1]ОКТМО!B:J,9,0)</f>
        <v>Средне-Амгинский наслег</v>
      </c>
      <c r="C292" s="70">
        <v>98604440101</v>
      </c>
      <c r="D292" t="s">
        <v>5354</v>
      </c>
      <c r="E292" t="s">
        <v>458</v>
      </c>
      <c r="F292" t="s">
        <v>1018</v>
      </c>
      <c r="G292" s="65">
        <v>2018</v>
      </c>
    </row>
    <row r="293" spans="1:7">
      <c r="A293" t="str">
        <f>VLOOKUP(C293,[1]ОКТМО!B:J,6,0)</f>
        <v>Таттинский муниципальный район</v>
      </c>
      <c r="B293" t="str">
        <f>VLOOKUP(C293,[1]ОКТМО!B:J,9,0)</f>
        <v>Средне-Амгинский наслег</v>
      </c>
      <c r="C293" s="70">
        <v>98604440101</v>
      </c>
      <c r="D293" t="s">
        <v>5354</v>
      </c>
      <c r="E293" t="s">
        <v>458</v>
      </c>
      <c r="F293" t="s">
        <v>1018</v>
      </c>
      <c r="G293" s="65">
        <v>2020</v>
      </c>
    </row>
    <row r="294" spans="1:7">
      <c r="A294" t="str">
        <f>VLOOKUP(C294,[1]ОКТМО!B:J,6,0)</f>
        <v>Таттинский муниципальный район</v>
      </c>
      <c r="B294" t="str">
        <f>VLOOKUP(C294,[1]ОКТМО!B:J,9,0)</f>
        <v>Средне-Амгинский наслег</v>
      </c>
      <c r="C294" s="70">
        <v>98604440101</v>
      </c>
      <c r="D294" t="s">
        <v>5354</v>
      </c>
      <c r="E294" t="s">
        <v>458</v>
      </c>
      <c r="F294" t="s">
        <v>1018</v>
      </c>
      <c r="G294" s="65">
        <v>2021</v>
      </c>
    </row>
    <row r="295" spans="1:7">
      <c r="A295" t="str">
        <f>VLOOKUP(C295,[1]ОКТМО!B:J,6,0)</f>
        <v>Таттинский муниципальный район</v>
      </c>
      <c r="B295" t="str">
        <f>VLOOKUP(C295,[1]ОКТМО!B:J,9,0)</f>
        <v>Средне-Амгинский наслег</v>
      </c>
      <c r="C295" s="70">
        <v>98604440101</v>
      </c>
      <c r="D295" t="s">
        <v>5354</v>
      </c>
      <c r="E295" t="s">
        <v>458</v>
      </c>
      <c r="F295" t="s">
        <v>1018</v>
      </c>
      <c r="G295" s="65">
        <v>2023</v>
      </c>
    </row>
    <row r="296" spans="1:7">
      <c r="A296" t="str">
        <f>VLOOKUP(C296,[1]ОКТМО!B:J,6,0)</f>
        <v>Чурапчинский муниципальный район</v>
      </c>
      <c r="B296" t="str">
        <f>VLOOKUP(C296,[1]ОКТМО!B:J,9,0)</f>
        <v>Соловьевский наслег</v>
      </c>
      <c r="C296" s="70">
        <v>98658435101</v>
      </c>
      <c r="D296" t="s">
        <v>5354</v>
      </c>
      <c r="E296" t="s">
        <v>458</v>
      </c>
      <c r="F296" t="s">
        <v>2954</v>
      </c>
      <c r="G296" s="65">
        <v>2008</v>
      </c>
    </row>
    <row r="297" spans="1:7">
      <c r="A297" t="str">
        <f>VLOOKUP(C297,[1]ОКТМО!B:J,6,0)</f>
        <v>Чурапчинский муниципальный район</v>
      </c>
      <c r="B297" t="str">
        <f>VLOOKUP(C297,[1]ОКТМО!B:J,9,0)</f>
        <v>Соловьевский наслег</v>
      </c>
      <c r="C297" s="70">
        <v>98658435101</v>
      </c>
      <c r="D297" t="s">
        <v>5354</v>
      </c>
      <c r="E297" t="s">
        <v>458</v>
      </c>
      <c r="F297" t="s">
        <v>2954</v>
      </c>
      <c r="G297" s="65">
        <v>2018</v>
      </c>
    </row>
    <row r="298" spans="1:7">
      <c r="A298" t="str">
        <f>VLOOKUP(C298,[1]ОКТМО!B:J,6,0)</f>
        <v>Чурапчинский муниципальный район</v>
      </c>
      <c r="B298" t="str">
        <f>VLOOKUP(C298,[1]ОКТМО!B:J,9,0)</f>
        <v>Болугурский наслег</v>
      </c>
      <c r="C298" s="70">
        <v>98658415101</v>
      </c>
      <c r="D298" t="s">
        <v>5354</v>
      </c>
      <c r="E298" t="s">
        <v>458</v>
      </c>
      <c r="F298" t="s">
        <v>2927</v>
      </c>
      <c r="G298" s="65">
        <v>2001</v>
      </c>
    </row>
    <row r="299" spans="1:7">
      <c r="A299" t="str">
        <f>VLOOKUP(C299,[1]ОКТМО!B:J,6,0)</f>
        <v>Чурапчинский муниципальный район</v>
      </c>
      <c r="B299" t="str">
        <f>VLOOKUP(C299,[1]ОКТМО!B:J,9,0)</f>
        <v>Болугурский наслег</v>
      </c>
      <c r="C299" s="70">
        <v>98658415101</v>
      </c>
      <c r="D299" t="s">
        <v>5354</v>
      </c>
      <c r="E299" t="s">
        <v>458</v>
      </c>
      <c r="F299" t="s">
        <v>2927</v>
      </c>
      <c r="G299" s="65">
        <v>2008</v>
      </c>
    </row>
    <row r="300" spans="1:7">
      <c r="A300" t="str">
        <f>VLOOKUP(C300,[1]ОКТМО!B:J,6,0)</f>
        <v>Чурапчинский муниципальный район</v>
      </c>
      <c r="B300" t="str">
        <f>VLOOKUP(C300,[1]ОКТМО!B:J,9,0)</f>
        <v>Болугурский наслег</v>
      </c>
      <c r="C300" s="70">
        <v>98658415101</v>
      </c>
      <c r="D300" t="s">
        <v>5354</v>
      </c>
      <c r="E300" t="s">
        <v>458</v>
      </c>
      <c r="F300" t="s">
        <v>2927</v>
      </c>
      <c r="G300" s="65">
        <v>2013</v>
      </c>
    </row>
    <row r="301" spans="1:7">
      <c r="A301" t="str">
        <f>VLOOKUP(C301,[1]ОКТМО!B:J,6,0)</f>
        <v>Вилюйский муниципальный район</v>
      </c>
      <c r="B301" t="str">
        <f>VLOOKUP(C301,[1]ОКТМО!B:J,9,0)</f>
        <v>город Вилюйск</v>
      </c>
      <c r="C301" s="70">
        <v>98618101001</v>
      </c>
      <c r="D301" t="s">
        <v>5354</v>
      </c>
      <c r="E301" t="s">
        <v>513</v>
      </c>
      <c r="F301" t="s">
        <v>513</v>
      </c>
      <c r="G301" s="65">
        <v>2008</v>
      </c>
    </row>
    <row r="302" spans="1:7">
      <c r="A302" t="str">
        <f>VLOOKUP(C302,[1]ОКТМО!B:J,6,0)</f>
        <v>Нюрбинский муниципальный район</v>
      </c>
      <c r="B302" t="str">
        <f>VLOOKUP(C302,[1]ОКТМО!B:J,9,0)</f>
        <v>город Нюрба</v>
      </c>
      <c r="C302" s="70">
        <v>98626101001</v>
      </c>
      <c r="D302" t="s">
        <v>5354</v>
      </c>
      <c r="E302" t="s">
        <v>513</v>
      </c>
      <c r="F302" t="s">
        <v>504</v>
      </c>
      <c r="G302" s="65">
        <v>2004</v>
      </c>
    </row>
    <row r="303" spans="1:7">
      <c r="A303" t="str">
        <f>VLOOKUP(C303,[1]ОКТМО!B:J,6,0)</f>
        <v>Нюрбинский муниципальный район</v>
      </c>
      <c r="B303" t="str">
        <f>VLOOKUP(C303,[1]ОКТМО!B:J,9,0)</f>
        <v>город Нюрба</v>
      </c>
      <c r="C303" s="70">
        <v>98626101001</v>
      </c>
      <c r="D303" t="s">
        <v>5354</v>
      </c>
      <c r="E303" t="s">
        <v>513</v>
      </c>
      <c r="F303" t="s">
        <v>504</v>
      </c>
      <c r="G303" s="65">
        <v>2008</v>
      </c>
    </row>
    <row r="304" spans="1:7">
      <c r="A304" t="str">
        <f>VLOOKUP(C304,[1]ОКТМО!B:J,6,0)</f>
        <v>Нюрбинский муниципальный район</v>
      </c>
      <c r="B304" t="str">
        <f>VLOOKUP(C304,[1]ОКТМО!B:J,9,0)</f>
        <v>город Нюрба</v>
      </c>
      <c r="C304" s="70">
        <v>98626101001</v>
      </c>
      <c r="D304" t="s">
        <v>5354</v>
      </c>
      <c r="E304" t="s">
        <v>513</v>
      </c>
      <c r="F304" t="s">
        <v>504</v>
      </c>
      <c r="G304" s="65">
        <v>2011</v>
      </c>
    </row>
    <row r="305" spans="1:7">
      <c r="A305" t="str">
        <f>VLOOKUP(C305,[1]ОКТМО!B:J,6,0)</f>
        <v>Нюрбинский муниципальный район</v>
      </c>
      <c r="B305" t="str">
        <f>VLOOKUP(C305,[1]ОКТМО!B:J,9,0)</f>
        <v>город Нюрба</v>
      </c>
      <c r="C305" s="70">
        <v>98626101001</v>
      </c>
      <c r="D305" t="s">
        <v>5354</v>
      </c>
      <c r="E305" t="s">
        <v>513</v>
      </c>
      <c r="F305" t="s">
        <v>504</v>
      </c>
      <c r="G305" s="65">
        <v>2020</v>
      </c>
    </row>
    <row r="306" spans="1:7">
      <c r="A306" t="str">
        <f>VLOOKUP(C306,[1]ОКТМО!B:J,6,0)</f>
        <v>Нюрбинский муниципальный район</v>
      </c>
      <c r="B306" t="str">
        <f>VLOOKUP(C306,[1]ОКТМО!B:J,9,0)</f>
        <v>город Нюрба</v>
      </c>
      <c r="C306" s="70">
        <v>98626101001</v>
      </c>
      <c r="D306" t="s">
        <v>5354</v>
      </c>
      <c r="E306" t="s">
        <v>513</v>
      </c>
      <c r="F306" t="s">
        <v>504</v>
      </c>
      <c r="G306" s="65">
        <v>2024</v>
      </c>
    </row>
    <row r="307" spans="1:7">
      <c r="A307" t="str">
        <f>VLOOKUP(C307,[1]ОКТМО!B:J,6,0)</f>
        <v>Нюрбинский муниципальный район</v>
      </c>
      <c r="B307" t="str">
        <f>VLOOKUP(C307,[1]ОКТМО!B:J,9,0)</f>
        <v>Жарханский наслег</v>
      </c>
      <c r="C307" s="70">
        <v>98626415101</v>
      </c>
      <c r="D307" t="s">
        <v>5354</v>
      </c>
      <c r="E307" t="s">
        <v>513</v>
      </c>
      <c r="F307" t="s">
        <v>3190</v>
      </c>
      <c r="G307" s="65">
        <v>2024</v>
      </c>
    </row>
    <row r="308" spans="1:7">
      <c r="A308" t="str">
        <f>VLOOKUP(C308,[1]ОКТМО!B:J,6,0)</f>
        <v>Усть-Янский муниципальный район</v>
      </c>
      <c r="B308" t="str">
        <f>VLOOKUP(C308,[1]ОКТМО!B:J,9,0)</f>
        <v>Усть-Янский национальный наслег</v>
      </c>
      <c r="C308" s="70">
        <v>98656425101</v>
      </c>
      <c r="D308" t="s">
        <v>5354</v>
      </c>
      <c r="E308" t="s">
        <v>588</v>
      </c>
      <c r="F308" t="s">
        <v>2899</v>
      </c>
      <c r="G308" s="65">
        <v>2008</v>
      </c>
    </row>
    <row r="309" spans="1:7">
      <c r="A309" t="str">
        <f>VLOOKUP(C309,[1]ОКТМО!B:J,6,0)</f>
        <v>Усть-Янский муниципальный район</v>
      </c>
      <c r="B309" t="str">
        <f>VLOOKUP(C309,[1]ОКТМО!B:J,9,0)</f>
        <v>Усть-Янский национальный наслег</v>
      </c>
      <c r="C309" s="70">
        <v>98656425101</v>
      </c>
      <c r="D309" t="s">
        <v>5354</v>
      </c>
      <c r="E309" t="s">
        <v>588</v>
      </c>
      <c r="F309" t="s">
        <v>2899</v>
      </c>
      <c r="G309" s="65">
        <v>2012</v>
      </c>
    </row>
    <row r="310" spans="1:7">
      <c r="A310" t="str">
        <f>VLOOKUP(C310,[1]ОКТМО!B:J,6,0)</f>
        <v>Усть-Янский муниципальный район</v>
      </c>
      <c r="B310" t="str">
        <f>VLOOKUP(C310,[1]ОКТМО!B:J,9,0)</f>
        <v>Усть-Янский национальный наслег</v>
      </c>
      <c r="C310" s="70">
        <v>98656425101</v>
      </c>
      <c r="D310" t="s">
        <v>5354</v>
      </c>
      <c r="E310" t="s">
        <v>588</v>
      </c>
      <c r="F310" t="s">
        <v>2899</v>
      </c>
      <c r="G310" s="65">
        <v>2017</v>
      </c>
    </row>
    <row r="311" spans="1:7">
      <c r="A311" t="str">
        <f>VLOOKUP(C311,[1]ОКТМО!B:J,6,0)</f>
        <v>Усть-Янский муниципальный район</v>
      </c>
      <c r="B311" t="str">
        <f>VLOOKUP(C311,[1]ОКТМО!B:J,9,0)</f>
        <v>Усть-Янский национальный наслег</v>
      </c>
      <c r="C311" s="70">
        <v>98656425101</v>
      </c>
      <c r="D311" t="s">
        <v>5354</v>
      </c>
      <c r="E311" t="s">
        <v>588</v>
      </c>
      <c r="F311" t="s">
        <v>2899</v>
      </c>
      <c r="G311" s="65">
        <v>2018</v>
      </c>
    </row>
    <row r="312" spans="1:7">
      <c r="A312" t="str">
        <f>VLOOKUP(C312,[1]ОКТМО!B:J,6,0)</f>
        <v>Верхоянский муниципальный район</v>
      </c>
      <c r="B312" t="str">
        <f>VLOOKUP(C312,[1]ОКТМО!B:J,9,0)</f>
        <v>поселок Батагай</v>
      </c>
      <c r="C312" s="70">
        <v>98616151051</v>
      </c>
      <c r="D312" t="s">
        <v>5354</v>
      </c>
      <c r="E312" t="s">
        <v>588</v>
      </c>
      <c r="F312" t="s">
        <v>592</v>
      </c>
      <c r="G312" s="65">
        <v>2012</v>
      </c>
    </row>
    <row r="313" spans="1:7">
      <c r="A313" t="str">
        <f>VLOOKUP(C313,[1]ОКТМО!B:J,6,0)</f>
        <v>Усть-Янский муниципальный район</v>
      </c>
      <c r="B313" t="str">
        <f>VLOOKUP(C313,[1]ОКТМО!B:J,9,0)</f>
        <v>Казачинский национальный наслег</v>
      </c>
      <c r="C313" s="70">
        <v>98656405101</v>
      </c>
      <c r="D313" t="s">
        <v>5354</v>
      </c>
      <c r="E313" t="s">
        <v>588</v>
      </c>
      <c r="F313" t="s">
        <v>2884</v>
      </c>
      <c r="G313" s="65">
        <v>2018</v>
      </c>
    </row>
    <row r="314" spans="1:7">
      <c r="A314" t="e">
        <f>VLOOKUP(C314,[1]ОКТМО!B:J,6,0)</f>
        <v>#N/A</v>
      </c>
      <c r="B314" t="e">
        <f>VLOOKUP(C314,[1]ОКТМО!B:J,9,0)</f>
        <v>#N/A</v>
      </c>
      <c r="C314" s="76" t="s">
        <v>6581</v>
      </c>
      <c r="D314" t="s">
        <v>5354</v>
      </c>
      <c r="E314" t="s">
        <v>588</v>
      </c>
      <c r="F314" t="s">
        <v>3194</v>
      </c>
      <c r="G314" s="65">
        <v>2018</v>
      </c>
    </row>
    <row r="315" spans="1:7">
      <c r="A315" t="str">
        <f>VLOOKUP(C315,[1]ОКТМО!B:J,6,0)</f>
        <v>Анабарский национальный (долгано-эвенкийский) муниципальный район</v>
      </c>
      <c r="B315" t="str">
        <f>VLOOKUP(C315,[1]ОКТМО!B:J,9,0)</f>
        <v>Саскылахский национальный (эвенкийский) наслег</v>
      </c>
      <c r="C315" s="70">
        <v>98610411101</v>
      </c>
      <c r="D315" t="s">
        <v>5354</v>
      </c>
      <c r="E315" t="s">
        <v>566</v>
      </c>
      <c r="F315" t="s">
        <v>567</v>
      </c>
      <c r="G315" s="65">
        <v>2017</v>
      </c>
    </row>
    <row r="316" spans="1:7">
      <c r="A316" t="str">
        <f>VLOOKUP(C316,[1]ОКТМО!B:J,6,0)</f>
        <v>Анабарский национальный (долгано-эвенкийский) муниципальный район</v>
      </c>
      <c r="B316" t="str">
        <f>VLOOKUP(C316,[1]ОКТМО!B:J,9,0)</f>
        <v>Саскылахский национальный (эвенкийский) наслег</v>
      </c>
      <c r="C316" s="70">
        <v>98610411101</v>
      </c>
      <c r="D316" t="s">
        <v>5354</v>
      </c>
      <c r="E316" t="s">
        <v>566</v>
      </c>
      <c r="F316" t="s">
        <v>567</v>
      </c>
      <c r="G316" s="65">
        <v>2023</v>
      </c>
    </row>
    <row r="317" spans="1:7">
      <c r="A317" t="str">
        <f>VLOOKUP(C317,[1]ОКТМО!B:J,6,0)</f>
        <v>Анабарский национальный (долгано-эвенкийский) муниципальный район</v>
      </c>
      <c r="B317" t="str">
        <f>VLOOKUP(C317,[1]ОКТМО!B:J,9,0)</f>
        <v>Саскылахский национальный (эвенкийский) наслег</v>
      </c>
      <c r="C317" s="70">
        <v>98610411101</v>
      </c>
      <c r="D317" t="s">
        <v>5354</v>
      </c>
      <c r="E317" t="s">
        <v>566</v>
      </c>
      <c r="F317" t="s">
        <v>567</v>
      </c>
      <c r="G317" s="65">
        <v>2024</v>
      </c>
    </row>
    <row r="318" spans="1:7">
      <c r="A318" t="str">
        <f>VLOOKUP(C318,[1]ОКТМО!B:J,6,0)</f>
        <v>Анабарский национальный (долгано-эвенкийский) муниципальный район</v>
      </c>
      <c r="B318" t="str">
        <f>VLOOKUP(C318,[1]ОКТМО!B:J,9,0)</f>
        <v>Юрюнг-Хаинский национальный (долганский) наслег</v>
      </c>
      <c r="C318" s="70">
        <v>98610424101</v>
      </c>
      <c r="D318" t="s">
        <v>5354</v>
      </c>
      <c r="E318" t="s">
        <v>566</v>
      </c>
      <c r="F318" t="s">
        <v>1152</v>
      </c>
      <c r="G318" s="65">
        <v>2017</v>
      </c>
    </row>
    <row r="319" spans="1:7">
      <c r="A319" t="str">
        <f>VLOOKUP(C319,[1]ОКТМО!B:J,6,0)</f>
        <v>Момский муниципальный район</v>
      </c>
      <c r="B319" t="str">
        <f>VLOOKUP(C319,[1]ОКТМО!B:J,9,0)</f>
        <v>Соболохский национальный наслег</v>
      </c>
      <c r="C319" s="70">
        <v>98633428101</v>
      </c>
      <c r="D319" t="s">
        <v>5354</v>
      </c>
      <c r="E319" t="s">
        <v>632</v>
      </c>
      <c r="F319" t="s">
        <v>2014</v>
      </c>
      <c r="G319" s="65">
        <v>2020</v>
      </c>
    </row>
    <row r="320" spans="1:7">
      <c r="A320" t="str">
        <f>VLOOKUP(C320,[1]ОКТМО!B:J,6,0)</f>
        <v>Мирнинский муниципальный район</v>
      </c>
      <c r="B320" t="str">
        <f>VLOOKUP(C320,[1]ОКТМО!B:J,9,0)</f>
        <v>город Мирный</v>
      </c>
      <c r="C320" s="70">
        <v>98631101106</v>
      </c>
      <c r="D320" t="s">
        <v>5354</v>
      </c>
      <c r="E320" t="s">
        <v>810</v>
      </c>
      <c r="F320" t="s">
        <v>810</v>
      </c>
      <c r="G320" s="65">
        <v>2007</v>
      </c>
    </row>
    <row r="321" spans="1:7">
      <c r="A321" t="str">
        <f>VLOOKUP(C321,[1]ОКТМО!B:J,6,0)</f>
        <v>Мирнинский муниципальный район</v>
      </c>
      <c r="B321" t="str">
        <f>VLOOKUP(C321,[1]ОКТМО!B:J,9,0)</f>
        <v>город Мирный</v>
      </c>
      <c r="C321" s="70">
        <v>98631101106</v>
      </c>
      <c r="D321" t="s">
        <v>5354</v>
      </c>
      <c r="E321" t="s">
        <v>810</v>
      </c>
      <c r="F321" t="s">
        <v>810</v>
      </c>
      <c r="G321" s="65">
        <v>2011</v>
      </c>
    </row>
    <row r="322" spans="1:7">
      <c r="A322" t="str">
        <f>VLOOKUP(C322,[1]ОКТМО!B:J,6,0)</f>
        <v>Мирнинский муниципальный район</v>
      </c>
      <c r="B322" t="str">
        <f>VLOOKUP(C322,[1]ОКТМО!B:J,9,0)</f>
        <v>город Мирный</v>
      </c>
      <c r="C322" s="70">
        <v>98631101106</v>
      </c>
      <c r="D322" t="s">
        <v>5354</v>
      </c>
      <c r="E322" t="s">
        <v>810</v>
      </c>
      <c r="F322" t="s">
        <v>810</v>
      </c>
      <c r="G322" s="65">
        <v>2017</v>
      </c>
    </row>
    <row r="323" spans="1:7">
      <c r="A323" t="str">
        <f>VLOOKUP(C323,[1]ОКТМО!B:J,6,0)</f>
        <v>Мирнинский муниципальный район</v>
      </c>
      <c r="B323" t="str">
        <f>VLOOKUP(C323,[1]ОКТМО!B:J,9,0)</f>
        <v>город Мирный</v>
      </c>
      <c r="C323" s="70">
        <v>98631101106</v>
      </c>
      <c r="D323" t="s">
        <v>5354</v>
      </c>
      <c r="E323" t="s">
        <v>810</v>
      </c>
      <c r="F323" t="s">
        <v>810</v>
      </c>
      <c r="G323" s="65">
        <v>2018</v>
      </c>
    </row>
    <row r="324" spans="1:7">
      <c r="A324" t="str">
        <f>VLOOKUP(C324,[1]ОКТМО!B:J,6,0)</f>
        <v>Мирнинский муниципальный район</v>
      </c>
      <c r="B324" t="str">
        <f>VLOOKUP(C324,[1]ОКТМО!B:J,9,0)</f>
        <v>город Мирный</v>
      </c>
      <c r="C324" s="70">
        <v>98631101106</v>
      </c>
      <c r="D324" t="s">
        <v>5354</v>
      </c>
      <c r="E324" t="s">
        <v>810</v>
      </c>
      <c r="F324" t="s">
        <v>810</v>
      </c>
      <c r="G324" s="65">
        <v>2020</v>
      </c>
    </row>
    <row r="325" spans="1:7">
      <c r="A325" t="str">
        <f>VLOOKUP(C325,[1]ОКТМО!B:J,6,0)</f>
        <v>Ленский муниципальный район</v>
      </c>
      <c r="B325" t="str">
        <f>VLOOKUP(C325,[1]ОКТМО!B:J,9,0)</f>
        <v>Орто-Нахаринский наслег</v>
      </c>
      <c r="C325" s="70">
        <v>98627433101</v>
      </c>
      <c r="D325" t="s">
        <v>5354</v>
      </c>
      <c r="E325" t="s">
        <v>45</v>
      </c>
      <c r="F325" t="s">
        <v>1790</v>
      </c>
      <c r="G325" s="65">
        <v>2001</v>
      </c>
    </row>
    <row r="326" spans="1:7">
      <c r="A326" t="str">
        <f>VLOOKUP(C326,[1]ОКТМО!B:J,6,0)</f>
        <v>Олекминский муниципальный район</v>
      </c>
      <c r="B326" t="str">
        <f>VLOOKUP(C326,[1]ОКТМО!B:J,9,0)</f>
        <v>Тянский национальный наслег</v>
      </c>
      <c r="C326" s="70">
        <v>98641475101</v>
      </c>
      <c r="D326" t="s">
        <v>5354</v>
      </c>
      <c r="E326" t="s">
        <v>279</v>
      </c>
      <c r="F326" t="s">
        <v>279</v>
      </c>
      <c r="G326" s="65">
        <v>2023</v>
      </c>
    </row>
    <row r="327" spans="1:7">
      <c r="A327" t="str">
        <f>VLOOKUP(C327,[1]ОКТМО!B:J,6,0)</f>
        <v>Олекминский муниципальный район</v>
      </c>
      <c r="B327" t="str">
        <f>VLOOKUP(C327,[1]ОКТМО!B:J,9,0)</f>
        <v>Троицкий наслег</v>
      </c>
      <c r="C327" s="70">
        <v>98641470101</v>
      </c>
      <c r="D327" t="s">
        <v>5354</v>
      </c>
      <c r="E327" t="s">
        <v>3197</v>
      </c>
      <c r="F327" t="s">
        <v>2329</v>
      </c>
      <c r="G327" s="65">
        <v>2006</v>
      </c>
    </row>
    <row r="328" spans="1:7">
      <c r="A328" t="str">
        <f>VLOOKUP(C328,[1]ОКТМО!B:J,6,0)</f>
        <v>Олекминский муниципальный район</v>
      </c>
      <c r="B328" t="str">
        <f>VLOOKUP(C328,[1]ОКТМО!B:J,9,0)</f>
        <v>Троицкий наслег</v>
      </c>
      <c r="C328" s="70">
        <v>98641470101</v>
      </c>
      <c r="D328" t="s">
        <v>5354</v>
      </c>
      <c r="E328" t="s">
        <v>3197</v>
      </c>
      <c r="F328" t="s">
        <v>2329</v>
      </c>
      <c r="G328" s="65">
        <v>2011</v>
      </c>
    </row>
    <row r="329" spans="1:7">
      <c r="A329" t="str">
        <f>VLOOKUP(C329,[1]ОКТМО!B:J,6,0)</f>
        <v>Таттинский муниципальный район</v>
      </c>
      <c r="B329" t="str">
        <f>VLOOKUP(C329,[1]ОКТМО!B:J,9,0)</f>
        <v>Таттинский наслег</v>
      </c>
      <c r="C329" s="70">
        <v>98604445101</v>
      </c>
      <c r="D329" t="s">
        <v>5354</v>
      </c>
      <c r="E329" t="s">
        <v>448</v>
      </c>
      <c r="F329" t="s">
        <v>1022</v>
      </c>
      <c r="G329" s="65">
        <v>2007</v>
      </c>
    </row>
    <row r="330" spans="1:7">
      <c r="A330" t="str">
        <f>VLOOKUP(C330,[1]ОКТМО!B:J,6,0)</f>
        <v>Таттинский муниципальный район</v>
      </c>
      <c r="B330" t="str">
        <f>VLOOKUP(C330,[1]ОКТМО!B:J,9,0)</f>
        <v>Таттинский наслег</v>
      </c>
      <c r="C330" s="70">
        <v>98604445101</v>
      </c>
      <c r="D330" t="s">
        <v>5354</v>
      </c>
      <c r="E330" t="s">
        <v>448</v>
      </c>
      <c r="F330" t="s">
        <v>1022</v>
      </c>
      <c r="G330" s="65">
        <v>2008</v>
      </c>
    </row>
    <row r="331" spans="1:7">
      <c r="A331" t="str">
        <f>VLOOKUP(C331,[1]ОКТМО!B:J,6,0)</f>
        <v>Таттинский муниципальный район</v>
      </c>
      <c r="B331" t="str">
        <f>VLOOKUP(C331,[1]ОКТМО!B:J,9,0)</f>
        <v>Таттинский наслег</v>
      </c>
      <c r="C331" s="70">
        <v>98604445101</v>
      </c>
      <c r="D331" t="s">
        <v>5354</v>
      </c>
      <c r="E331" t="s">
        <v>448</v>
      </c>
      <c r="F331" t="s">
        <v>1022</v>
      </c>
      <c r="G331" s="65">
        <v>2023</v>
      </c>
    </row>
    <row r="332" spans="1:7">
      <c r="A332" t="str">
        <f>VLOOKUP(C332,[1]ОКТМО!B:J,6,0)</f>
        <v>Таттинский муниципальный район</v>
      </c>
      <c r="B332" t="str">
        <f>VLOOKUP(C332,[1]ОКТМО!B:J,9,0)</f>
        <v>Октябрьский наслег</v>
      </c>
      <c r="C332" s="70">
        <v>98604435101</v>
      </c>
      <c r="D332" t="s">
        <v>5354</v>
      </c>
      <c r="E332" t="s">
        <v>448</v>
      </c>
      <c r="F332" t="s">
        <v>1014</v>
      </c>
      <c r="G332" s="65">
        <v>2007</v>
      </c>
    </row>
    <row r="333" spans="1:7">
      <c r="A333" t="str">
        <f>VLOOKUP(C333,[1]ОКТМО!B:J,6,0)</f>
        <v>Таттинский муниципальный район</v>
      </c>
      <c r="B333" t="str">
        <f>VLOOKUP(C333,[1]ОКТМО!B:J,9,0)</f>
        <v>Октябрьский наслег</v>
      </c>
      <c r="C333" s="70">
        <v>98604435101</v>
      </c>
      <c r="D333" t="s">
        <v>5354</v>
      </c>
      <c r="E333" t="s">
        <v>448</v>
      </c>
      <c r="F333" t="s">
        <v>1014</v>
      </c>
      <c r="G333" s="65">
        <v>2008</v>
      </c>
    </row>
    <row r="334" spans="1:7">
      <c r="A334" t="str">
        <f>VLOOKUP(C334,[1]ОКТМО!B:J,6,0)</f>
        <v>Таттинский муниципальный район</v>
      </c>
      <c r="B334" t="str">
        <f>VLOOKUP(C334,[1]ОКТМО!B:J,9,0)</f>
        <v>Октябрьский наслег</v>
      </c>
      <c r="C334" s="70">
        <v>98604435101</v>
      </c>
      <c r="D334" t="s">
        <v>5354</v>
      </c>
      <c r="E334" t="s">
        <v>448</v>
      </c>
      <c r="F334" t="s">
        <v>1014</v>
      </c>
      <c r="G334" s="65">
        <v>2023</v>
      </c>
    </row>
    <row r="335" spans="1:7">
      <c r="A335" t="str">
        <f>VLOOKUP(C335,[1]ОКТМО!B:J,6,0)</f>
        <v>Таттинский муниципальный район</v>
      </c>
      <c r="B335" t="str">
        <f>VLOOKUP(C335,[1]ОКТМО!B:J,9,0)</f>
        <v>Жохсогонский наслег</v>
      </c>
      <c r="C335" s="70">
        <v>98604420101</v>
      </c>
      <c r="D335" t="s">
        <v>5354</v>
      </c>
      <c r="E335" t="s">
        <v>448</v>
      </c>
      <c r="F335" t="s">
        <v>996</v>
      </c>
      <c r="G335" s="65">
        <v>2007</v>
      </c>
    </row>
    <row r="336" spans="1:7">
      <c r="A336" t="str">
        <f>VLOOKUP(C336,[1]ОКТМО!B:J,6,0)</f>
        <v>Таттинский муниципальный район</v>
      </c>
      <c r="B336" t="str">
        <f>VLOOKUP(C336,[1]ОКТМО!B:J,9,0)</f>
        <v>Жохсогонский наслег</v>
      </c>
      <c r="C336" s="70">
        <v>98604420101</v>
      </c>
      <c r="D336" t="s">
        <v>5354</v>
      </c>
      <c r="E336" t="s">
        <v>448</v>
      </c>
      <c r="F336" t="s">
        <v>996</v>
      </c>
      <c r="G336" s="65">
        <v>2008</v>
      </c>
    </row>
    <row r="337" spans="1:7">
      <c r="A337" t="str">
        <f>VLOOKUP(C337,[1]ОКТМО!B:J,6,0)</f>
        <v>Таттинский муниципальный район</v>
      </c>
      <c r="B337" t="str">
        <f>VLOOKUP(C337,[1]ОКТМО!B:J,9,0)</f>
        <v>Жохсогонский наслег</v>
      </c>
      <c r="C337" s="70">
        <v>98604420101</v>
      </c>
      <c r="D337" t="s">
        <v>5354</v>
      </c>
      <c r="E337" t="s">
        <v>448</v>
      </c>
      <c r="F337" t="s">
        <v>996</v>
      </c>
      <c r="G337" s="65">
        <v>2023</v>
      </c>
    </row>
    <row r="338" spans="1:7">
      <c r="A338" t="str">
        <f>VLOOKUP(C338,[1]ОКТМО!B:J,6,0)</f>
        <v>Чурапчинский муниципальный район</v>
      </c>
      <c r="B338" t="str">
        <f>VLOOKUP(C338,[1]ОКТМО!B:J,9,0)</f>
        <v>Ожулунский наслег</v>
      </c>
      <c r="C338" s="70">
        <v>98658430101</v>
      </c>
      <c r="D338" t="s">
        <v>5354</v>
      </c>
      <c r="E338" t="s">
        <v>448</v>
      </c>
      <c r="F338" t="s">
        <v>2944</v>
      </c>
      <c r="G338" s="65">
        <v>2015</v>
      </c>
    </row>
    <row r="339" spans="1:7">
      <c r="A339" t="str">
        <f>VLOOKUP(C339,[1]ОКТМО!B:J,6,0)</f>
        <v>Чурапчинский муниципальный район</v>
      </c>
      <c r="B339" t="str">
        <f>VLOOKUP(C339,[1]ОКТМО!B:J,9,0)</f>
        <v>Болтогинский наслег</v>
      </c>
      <c r="C339" s="70">
        <v>98658410101</v>
      </c>
      <c r="D339" t="s">
        <v>5354</v>
      </c>
      <c r="E339" t="s">
        <v>448</v>
      </c>
      <c r="F339" t="s">
        <v>2921</v>
      </c>
      <c r="G339" s="65">
        <v>2008</v>
      </c>
    </row>
    <row r="340" spans="1:7">
      <c r="A340" t="str">
        <f>VLOOKUP(C340,[1]ОКТМО!B:J,6,0)</f>
        <v>Чурапчинский муниципальный район</v>
      </c>
      <c r="B340" t="str">
        <f>VLOOKUP(C340,[1]ОКТМО!B:J,9,0)</f>
        <v>Болтогинский наслег</v>
      </c>
      <c r="C340" s="70">
        <v>98658410101</v>
      </c>
      <c r="D340" t="s">
        <v>5354</v>
      </c>
      <c r="E340" t="s">
        <v>448</v>
      </c>
      <c r="F340" t="s">
        <v>2921</v>
      </c>
      <c r="G340" s="65">
        <v>2023</v>
      </c>
    </row>
    <row r="341" spans="1:7">
      <c r="A341" t="str">
        <f>VLOOKUP(C341,[1]ОКТМО!B:J,6,0)</f>
        <v>Верхоянский муниципальный район</v>
      </c>
      <c r="B341" t="str">
        <f>VLOOKUP(C341,[1]ОКТМО!B:J,9,0)</f>
        <v>Арылахский наслег</v>
      </c>
      <c r="C341" s="70">
        <v>98616409101</v>
      </c>
      <c r="D341" t="s">
        <v>5354</v>
      </c>
      <c r="E341" t="s">
        <v>610</v>
      </c>
      <c r="F341" t="s">
        <v>614</v>
      </c>
      <c r="G341" s="65">
        <v>2012</v>
      </c>
    </row>
    <row r="342" spans="1:7">
      <c r="A342" t="str">
        <f>VLOOKUP(C342,[1]ОКТМО!B:J,6,0)</f>
        <v>Абыйский муниципальный район</v>
      </c>
      <c r="B342" t="str">
        <f>VLOOKUP(C342,[1]ОКТМО!B:J,9,0)</f>
        <v>Уолбутский наслег</v>
      </c>
      <c r="C342" s="70">
        <v>98601422101</v>
      </c>
      <c r="D342" t="s">
        <v>5354</v>
      </c>
      <c r="E342" t="s">
        <v>3199</v>
      </c>
      <c r="F342" t="s">
        <v>867</v>
      </c>
      <c r="G342" s="65">
        <v>2017</v>
      </c>
    </row>
    <row r="343" spans="1:7">
      <c r="A343" t="str">
        <f>VLOOKUP(C343,[1]ОКТМО!B:J,6,0)</f>
        <v>Абыйский муниципальный район</v>
      </c>
      <c r="B343" t="str">
        <f>VLOOKUP(C343,[1]ОКТМО!B:J,9,0)</f>
        <v>Мугурдахский наслег</v>
      </c>
      <c r="C343" s="70">
        <v>98601417101</v>
      </c>
      <c r="D343" t="s">
        <v>5354</v>
      </c>
      <c r="E343" t="s">
        <v>3200</v>
      </c>
      <c r="F343" t="s">
        <v>859</v>
      </c>
      <c r="G343" s="65">
        <v>2017</v>
      </c>
    </row>
    <row r="344" spans="1:7">
      <c r="A344" t="str">
        <f>VLOOKUP(C344,[1]ОКТМО!B:J,6,0)</f>
        <v>Горный муниципальный район</v>
      </c>
      <c r="B344" t="str">
        <f>VLOOKUP(C344,[1]ОКТМО!B:J,9,0)</f>
        <v>Шологонский наслег</v>
      </c>
      <c r="C344" s="70">
        <v>98620465101</v>
      </c>
      <c r="D344" t="s">
        <v>5354</v>
      </c>
      <c r="E344" t="s">
        <v>3201</v>
      </c>
      <c r="F344" t="s">
        <v>1567</v>
      </c>
      <c r="G344" s="65">
        <v>2020</v>
      </c>
    </row>
    <row r="345" spans="1:7">
      <c r="A345" t="str">
        <f>VLOOKUP(C345,[1]ОКТМО!B:J,6,0)</f>
        <v>Горный муниципальный район</v>
      </c>
      <c r="B345" t="str">
        <f>VLOOKUP(C345,[1]ОКТМО!B:J,9,0)</f>
        <v>Шологонский наслег</v>
      </c>
      <c r="C345" s="70">
        <v>98620465101</v>
      </c>
      <c r="D345" t="s">
        <v>5354</v>
      </c>
      <c r="E345" t="s">
        <v>3201</v>
      </c>
      <c r="F345" t="s">
        <v>1567</v>
      </c>
      <c r="G345" s="65">
        <v>2022</v>
      </c>
    </row>
    <row r="346" spans="1:7">
      <c r="A346" t="str">
        <f>VLOOKUP(C346,[1]ОКТМО!B:J,6,0)</f>
        <v>Горный муниципальный район</v>
      </c>
      <c r="B346" t="str">
        <f>VLOOKUP(C346,[1]ОКТМО!B:J,9,0)</f>
        <v>Шологонский наслег</v>
      </c>
      <c r="C346" s="70">
        <v>98620465101</v>
      </c>
      <c r="D346" t="s">
        <v>5354</v>
      </c>
      <c r="E346" t="s">
        <v>3201</v>
      </c>
      <c r="F346" t="s">
        <v>1567</v>
      </c>
      <c r="G346" s="65">
        <v>2023</v>
      </c>
    </row>
    <row r="347" spans="1:7">
      <c r="A347" t="str">
        <f>VLOOKUP(C347,[1]ОКТМО!B:J,6,0)</f>
        <v>Алданский муниципальный район</v>
      </c>
      <c r="B347" t="str">
        <f>VLOOKUP(C347,[1]ОКТМО!B:J,9,0)</f>
        <v>Чагдинский наслег</v>
      </c>
      <c r="C347" s="70">
        <v>98603460101</v>
      </c>
      <c r="D347" t="s">
        <v>5354</v>
      </c>
      <c r="E347" t="s">
        <v>3202</v>
      </c>
      <c r="F347" t="s">
        <v>971</v>
      </c>
      <c r="G347" s="65">
        <v>2022</v>
      </c>
    </row>
    <row r="348" spans="1:7">
      <c r="A348" t="str">
        <f>VLOOKUP(C348,[1]ОКТМО!B:J,6,0)</f>
        <v>Алданский муниципальный район</v>
      </c>
      <c r="B348" t="str">
        <f>VLOOKUP(C348,[1]ОКТМО!B:J,9,0)</f>
        <v>Чагдинский наслег</v>
      </c>
      <c r="C348" s="70">
        <v>98603460101</v>
      </c>
      <c r="D348" t="s">
        <v>5354</v>
      </c>
      <c r="E348" t="s">
        <v>3202</v>
      </c>
      <c r="F348" t="s">
        <v>971</v>
      </c>
      <c r="G348" s="65">
        <v>2023</v>
      </c>
    </row>
    <row r="349" spans="1:7">
      <c r="A349" t="str">
        <f>VLOOKUP(C349,[1]ОКТМО!B:J,6,0)</f>
        <v>Горный муниципальный район</v>
      </c>
      <c r="B349" t="str">
        <f>VLOOKUP(C349,[1]ОКТМО!B:J,9,0)</f>
        <v>Одунунский наслег</v>
      </c>
      <c r="C349" s="70">
        <v>98620449101</v>
      </c>
      <c r="D349" t="s">
        <v>5354</v>
      </c>
      <c r="E349" t="s">
        <v>289</v>
      </c>
      <c r="F349" t="s">
        <v>1555</v>
      </c>
      <c r="G349" s="65">
        <v>2023</v>
      </c>
    </row>
    <row r="350" spans="1:7">
      <c r="A350" t="str">
        <f>VLOOKUP(C350,[1]ОКТМО!B:J,6,0)</f>
        <v>Горный муниципальный район</v>
      </c>
      <c r="B350" t="str">
        <f>VLOOKUP(C350,[1]ОКТМО!B:J,9,0)</f>
        <v>Атамайский наслег</v>
      </c>
      <c r="C350" s="70">
        <v>98620405101</v>
      </c>
      <c r="D350" t="s">
        <v>5354</v>
      </c>
      <c r="E350" t="s">
        <v>3204</v>
      </c>
      <c r="F350" t="s">
        <v>1518</v>
      </c>
      <c r="G350" s="65">
        <v>2023</v>
      </c>
    </row>
    <row r="351" spans="1:7">
      <c r="A351" t="str">
        <f>VLOOKUP(C351,[1]ОКТМО!B:J,6,0)</f>
        <v>Горный муниципальный район</v>
      </c>
      <c r="B351" t="str">
        <f>VLOOKUP(C351,[1]ОКТМО!B:J,9,0)</f>
        <v>Бердигестяхский наслег</v>
      </c>
      <c r="C351" s="70">
        <v>98620410101</v>
      </c>
      <c r="D351" t="s">
        <v>5354</v>
      </c>
      <c r="E351" t="s">
        <v>293</v>
      </c>
      <c r="F351" t="s">
        <v>1522</v>
      </c>
      <c r="G351" s="65">
        <v>2023</v>
      </c>
    </row>
    <row r="352" spans="1:7">
      <c r="A352" t="str">
        <f>VLOOKUP(C352,[1]ОКТМО!B:J,6,0)</f>
        <v>Чурапчинский муниципальный район</v>
      </c>
      <c r="B352" t="str">
        <f>VLOOKUP(C352,[1]ОКТМО!B:J,9,0)</f>
        <v>Чурапчинский наслег</v>
      </c>
      <c r="C352" s="70">
        <v>98658470101</v>
      </c>
      <c r="D352" t="s">
        <v>5354</v>
      </c>
      <c r="E352" t="s">
        <v>3207</v>
      </c>
      <c r="F352" t="s">
        <v>3004</v>
      </c>
      <c r="G352" s="65">
        <v>2007</v>
      </c>
    </row>
    <row r="353" spans="1:7">
      <c r="A353" t="str">
        <f>VLOOKUP(C353,[1]ОКТМО!B:J,6,0)</f>
        <v>Чурапчинский муниципальный район</v>
      </c>
      <c r="B353" t="str">
        <f>VLOOKUP(C353,[1]ОКТМО!B:J,9,0)</f>
        <v>Чурапчинский наслег</v>
      </c>
      <c r="C353" s="70">
        <v>98658470101</v>
      </c>
      <c r="D353" t="s">
        <v>5354</v>
      </c>
      <c r="E353" t="s">
        <v>3207</v>
      </c>
      <c r="F353" t="s">
        <v>3004</v>
      </c>
      <c r="G353" s="65">
        <v>2018</v>
      </c>
    </row>
    <row r="354" spans="1:7">
      <c r="A354" t="str">
        <f>VLOOKUP(C354,[1]ОКТМО!B:J,6,0)</f>
        <v>Амгинский муниципальный район</v>
      </c>
      <c r="B354" t="str">
        <f>VLOOKUP(C354,[1]ОКТМО!B:J,9,0)</f>
        <v>Сатагайский наслег</v>
      </c>
      <c r="C354" s="70">
        <v>98608458101</v>
      </c>
      <c r="D354" t="s">
        <v>5354</v>
      </c>
      <c r="E354" t="s">
        <v>304</v>
      </c>
      <c r="F354" t="s">
        <v>1113</v>
      </c>
      <c r="G354" s="65">
        <v>2018</v>
      </c>
    </row>
    <row r="355" spans="1:7">
      <c r="A355" t="str">
        <f>VLOOKUP(C355,[1]ОКТМО!B:J,6,0)</f>
        <v>Мегино-Кангаласский муниципальный район</v>
      </c>
      <c r="B355" t="str">
        <f>VLOOKUP(C355,[1]ОКТМО!B:J,9,0)</f>
        <v>Морукский наслег</v>
      </c>
      <c r="C355" s="70">
        <v>98629436101</v>
      </c>
      <c r="D355" t="s">
        <v>5354</v>
      </c>
      <c r="E355" t="s">
        <v>304</v>
      </c>
      <c r="F355" t="s">
        <v>3209</v>
      </c>
      <c r="G355" s="65">
        <v>2018</v>
      </c>
    </row>
    <row r="356" spans="1:7">
      <c r="A356" t="str">
        <f>VLOOKUP(C356,[1]ОКТМО!B:J,6,0)</f>
        <v>Мегино-Кангаласский муниципальный район</v>
      </c>
      <c r="B356" t="str">
        <f>VLOOKUP(C356,[1]ОКТМО!B:J,9,0)</f>
        <v>Батаринский 1-й наслег</v>
      </c>
      <c r="C356" s="70">
        <v>98629406101</v>
      </c>
      <c r="D356" t="s">
        <v>5354</v>
      </c>
      <c r="E356" t="s">
        <v>304</v>
      </c>
      <c r="F356" t="s">
        <v>3211</v>
      </c>
      <c r="G356" s="65">
        <v>2018</v>
      </c>
    </row>
    <row r="357" spans="1:7">
      <c r="A357" t="str">
        <f>VLOOKUP(C357,[1]ОКТМО!B:J,6,0)</f>
        <v>Мегино-Кангаласский муниципальный район</v>
      </c>
      <c r="B357" t="str">
        <f>VLOOKUP(C357,[1]ОКТМО!B:J,9,0)</f>
        <v>Батаринский 1-й наслег</v>
      </c>
      <c r="C357" s="70">
        <v>98629406101</v>
      </c>
      <c r="D357" t="s">
        <v>5354</v>
      </c>
      <c r="E357" t="s">
        <v>304</v>
      </c>
      <c r="F357" t="s">
        <v>3211</v>
      </c>
      <c r="G357" s="65">
        <v>2023</v>
      </c>
    </row>
    <row r="358" spans="1:7">
      <c r="A358" t="str">
        <f>VLOOKUP(C358,[1]ОКТМО!B:J,6,0)</f>
        <v>Мегино-Кангаласский муниципальный район</v>
      </c>
      <c r="B358" t="str">
        <f>VLOOKUP(C358,[1]ОКТМО!B:J,9,0)</f>
        <v>Хоробутский наслег</v>
      </c>
      <c r="C358" s="70">
        <v>98629430101</v>
      </c>
      <c r="D358" t="s">
        <v>5354</v>
      </c>
      <c r="E358" t="s">
        <v>304</v>
      </c>
      <c r="F358" t="s">
        <v>3213</v>
      </c>
      <c r="G358" s="65">
        <v>2023</v>
      </c>
    </row>
    <row r="359" spans="1:7">
      <c r="A359" t="str">
        <f>VLOOKUP(C359,[1]ОКТМО!B:J,6,0)</f>
        <v>Мегино-Кангаласский муниципальный район</v>
      </c>
      <c r="B359" t="str">
        <f>VLOOKUP(C359,[1]ОКТМО!B:J,9,0)</f>
        <v>Нахаринский 2-й наслег</v>
      </c>
      <c r="C359" s="70">
        <v>98629440101</v>
      </c>
      <c r="D359" t="s">
        <v>5354</v>
      </c>
      <c r="E359" t="s">
        <v>3214</v>
      </c>
      <c r="F359" t="s">
        <v>1895</v>
      </c>
      <c r="G359" s="65">
        <v>2023</v>
      </c>
    </row>
    <row r="360" spans="1:7">
      <c r="A360" t="str">
        <f>VLOOKUP(C360,[1]ОКТМО!B:J,6,0)</f>
        <v>Мегино-Кангаласский муниципальный район</v>
      </c>
      <c r="B360" t="str">
        <f>VLOOKUP(C360,[1]ОКТМО!B:J,9,0)</f>
        <v>Ходоринский наслег</v>
      </c>
      <c r="C360" s="70">
        <v>98629463101</v>
      </c>
      <c r="D360" t="s">
        <v>5354</v>
      </c>
      <c r="E360" t="s">
        <v>1867</v>
      </c>
      <c r="F360" t="s">
        <v>1938</v>
      </c>
      <c r="G360" s="65">
        <v>2023</v>
      </c>
    </row>
    <row r="361" spans="1:7">
      <c r="A361" t="str">
        <f>VLOOKUP(C361,[1]ОКТМО!B:J,6,0)</f>
        <v>Таттинский муниципальный район</v>
      </c>
      <c r="B361" t="str">
        <f>VLOOKUP(C361,[1]ОКТМО!B:J,9,0)</f>
        <v>Жулейский наслег</v>
      </c>
      <c r="C361" s="70">
        <v>98604425101</v>
      </c>
      <c r="D361" t="s">
        <v>5354</v>
      </c>
      <c r="E361" t="s">
        <v>3215</v>
      </c>
      <c r="F361" t="s">
        <v>3216</v>
      </c>
      <c r="G361" s="65">
        <v>2023</v>
      </c>
    </row>
    <row r="362" spans="1:7">
      <c r="A362" t="str">
        <f>VLOOKUP(C362,[1]ОКТМО!B:J,6,0)</f>
        <v>Намский муниципальный район</v>
      </c>
      <c r="B362" t="str">
        <f>VLOOKUP(C362,[1]ОКТМО!B:J,9,0)</f>
        <v>Салбанский наслег</v>
      </c>
      <c r="C362" s="70">
        <v>98635440101</v>
      </c>
      <c r="D362" t="s">
        <v>5354</v>
      </c>
      <c r="F362" t="s">
        <v>3217</v>
      </c>
      <c r="G362" s="65">
        <v>2023</v>
      </c>
    </row>
    <row r="363" spans="1:7">
      <c r="A363" t="str">
        <f>VLOOKUP(C363,[1]ОКТМО!B:J,6,0)</f>
        <v>Таттинский муниципальный район</v>
      </c>
      <c r="B363" t="str">
        <f>VLOOKUP(C363,[1]ОКТМО!B:J,9,0)</f>
        <v>Жулейский наслег</v>
      </c>
      <c r="C363" s="70">
        <v>98604425101</v>
      </c>
      <c r="D363" t="s">
        <v>6582</v>
      </c>
      <c r="E363" t="s">
        <v>3215</v>
      </c>
      <c r="F363" t="s">
        <v>3216</v>
      </c>
      <c r="G363" s="65">
        <v>2015</v>
      </c>
    </row>
    <row r="364" spans="1:7">
      <c r="A364" t="str">
        <f>VLOOKUP(C364,[1]ОКТМО!B:J,6,0)</f>
        <v>Таттинский муниципальный район</v>
      </c>
      <c r="B364" t="str">
        <f>VLOOKUP(C364,[1]ОКТМО!B:J,9,0)</f>
        <v>Таттинский наслег</v>
      </c>
      <c r="C364" s="70">
        <v>98604445101</v>
      </c>
      <c r="D364" t="s">
        <v>6582</v>
      </c>
      <c r="E364" t="s">
        <v>448</v>
      </c>
      <c r="F364" t="s">
        <v>1022</v>
      </c>
      <c r="G364" s="65">
        <v>2012</v>
      </c>
    </row>
    <row r="365" spans="1:7">
      <c r="A365" t="str">
        <f>VLOOKUP(C365,[1]ОКТМО!B:J,6,0)</f>
        <v>Таттинский муниципальный район</v>
      </c>
      <c r="B365" t="str">
        <f>VLOOKUP(C365,[1]ОКТМО!B:J,9,0)</f>
        <v>Баягинский наслег</v>
      </c>
      <c r="C365" s="70">
        <v>98604415101</v>
      </c>
      <c r="D365" t="s">
        <v>6582</v>
      </c>
      <c r="E365" t="s">
        <v>3218</v>
      </c>
      <c r="F365" t="s">
        <v>3218</v>
      </c>
      <c r="G365" s="65">
        <v>2012</v>
      </c>
    </row>
    <row r="366" spans="1:7">
      <c r="A366" t="str">
        <f>VLOOKUP(C366,[1]ОКТМО!B:J,6,0)</f>
        <v>Верхоянский муниципальный район</v>
      </c>
      <c r="B366" t="str">
        <f>VLOOKUP(C366,[1]ОКТМО!B:J,9,0)</f>
        <v>Суордахский наслег</v>
      </c>
      <c r="C366" s="70">
        <v>98616448101</v>
      </c>
      <c r="D366" t="s">
        <v>6582</v>
      </c>
      <c r="E366" t="s">
        <v>617</v>
      </c>
      <c r="F366" t="s">
        <v>1379</v>
      </c>
      <c r="G366" s="65">
        <v>2011</v>
      </c>
    </row>
    <row r="367" spans="1:7">
      <c r="A367" t="str">
        <f>VLOOKUP(C367,[1]ОКТМО!B:J,6,0)</f>
        <v>Верхоянский муниципальный район</v>
      </c>
      <c r="B367" t="str">
        <f>VLOOKUP(C367,[1]ОКТМО!B:J,9,0)</f>
        <v>Суордахский наслег</v>
      </c>
      <c r="C367" s="70">
        <v>98616448101</v>
      </c>
      <c r="D367" t="s">
        <v>6582</v>
      </c>
      <c r="E367" t="s">
        <v>617</v>
      </c>
      <c r="F367" t="s">
        <v>1379</v>
      </c>
      <c r="G367" s="65">
        <v>2012</v>
      </c>
    </row>
    <row r="368" spans="1:7">
      <c r="A368" t="str">
        <f>VLOOKUP(C368,[1]ОКТМО!B:J,6,0)</f>
        <v>Верхоянский муниципальный район</v>
      </c>
      <c r="B368" t="str">
        <f>VLOOKUP(C368,[1]ОКТМО!B:J,9,0)</f>
        <v>Суордахский наслег</v>
      </c>
      <c r="C368" s="70">
        <v>98616448101</v>
      </c>
      <c r="D368" t="s">
        <v>6582</v>
      </c>
      <c r="E368" t="s">
        <v>617</v>
      </c>
      <c r="F368" t="s">
        <v>1379</v>
      </c>
      <c r="G368" s="65">
        <v>2015</v>
      </c>
    </row>
    <row r="369" spans="1:7">
      <c r="A369" t="str">
        <f>VLOOKUP(C369,[1]ОКТМО!B:J,6,0)</f>
        <v>Верхоянский муниципальный район</v>
      </c>
      <c r="B369" t="str">
        <f>VLOOKUP(C369,[1]ОКТМО!B:J,9,0)</f>
        <v>Суордахский наслег</v>
      </c>
      <c r="C369" s="70">
        <v>98616448101</v>
      </c>
      <c r="D369" t="s">
        <v>6582</v>
      </c>
      <c r="E369" t="s">
        <v>617</v>
      </c>
      <c r="F369" t="s">
        <v>1379</v>
      </c>
      <c r="G369" s="65">
        <v>2022</v>
      </c>
    </row>
    <row r="370" spans="1:7">
      <c r="A370" t="str">
        <f>VLOOKUP(C370,[1]ОКТМО!B:J,6,0)</f>
        <v>Верхоянский муниципальный район</v>
      </c>
      <c r="B370" t="str">
        <f>VLOOKUP(C370,[1]ОКТМО!B:J,9,0)</f>
        <v>Борулахский наслег</v>
      </c>
      <c r="C370" s="70">
        <v>98616414101</v>
      </c>
      <c r="D370" t="s">
        <v>6582</v>
      </c>
      <c r="E370" t="s">
        <v>617</v>
      </c>
      <c r="F370" t="s">
        <v>3219</v>
      </c>
      <c r="G370" s="65">
        <v>2012</v>
      </c>
    </row>
    <row r="371" spans="1:7">
      <c r="A371" t="str">
        <f>VLOOKUP(C371,[1]ОКТМО!B:J,6,0)</f>
        <v>Верхоянский муниципальный район</v>
      </c>
      <c r="B371" t="str">
        <f>VLOOKUP(C371,[1]ОКТМО!B:J,9,0)</f>
        <v>Борулахский наслег</v>
      </c>
      <c r="C371" s="70">
        <v>98616414101</v>
      </c>
      <c r="D371" t="s">
        <v>6582</v>
      </c>
      <c r="E371" t="s">
        <v>617</v>
      </c>
      <c r="F371" t="s">
        <v>3219</v>
      </c>
      <c r="G371" s="65">
        <v>2021</v>
      </c>
    </row>
    <row r="372" spans="1:7">
      <c r="A372" t="str">
        <f>VLOOKUP(C372,[1]ОКТМО!B:J,6,0)</f>
        <v>Верхоянский муниципальный район</v>
      </c>
      <c r="B372" t="str">
        <f>VLOOKUP(C372,[1]ОКТМО!B:J,9,0)</f>
        <v>Борулахский наслег</v>
      </c>
      <c r="C372" s="70">
        <v>98616414101</v>
      </c>
      <c r="D372" t="s">
        <v>6582</v>
      </c>
      <c r="E372" t="s">
        <v>617</v>
      </c>
      <c r="F372" t="s">
        <v>3219</v>
      </c>
      <c r="G372" s="65">
        <v>2022</v>
      </c>
    </row>
    <row r="373" spans="1:7">
      <c r="A373" t="str">
        <f>VLOOKUP(C373,[1]ОКТМО!B:J,6,0)</f>
        <v>Верхоянский муниципальный район</v>
      </c>
      <c r="B373" t="str">
        <f>VLOOKUP(C373,[1]ОКТМО!B:J,9,0)</f>
        <v>Борулахский наслег</v>
      </c>
      <c r="C373" s="70">
        <v>98616414106</v>
      </c>
      <c r="D373" t="s">
        <v>6582</v>
      </c>
      <c r="E373" t="s">
        <v>3220</v>
      </c>
      <c r="F373" t="s">
        <v>1362</v>
      </c>
      <c r="G373" s="65">
        <v>2021</v>
      </c>
    </row>
    <row r="374" spans="1:7">
      <c r="A374" t="str">
        <f>VLOOKUP(C374,[1]ОКТМО!B:J,6,0)</f>
        <v>Верхоянский муниципальный район</v>
      </c>
      <c r="B374" t="str">
        <f>VLOOKUP(C374,[1]ОКТМО!B:J,9,0)</f>
        <v>Борулахский наслег</v>
      </c>
      <c r="C374" s="70">
        <v>98616414106</v>
      </c>
      <c r="D374" t="s">
        <v>6582</v>
      </c>
      <c r="E374" t="s">
        <v>3220</v>
      </c>
      <c r="F374" t="s">
        <v>1362</v>
      </c>
      <c r="G374" s="65">
        <v>2022</v>
      </c>
    </row>
    <row r="375" spans="1:7">
      <c r="A375" t="str">
        <f>VLOOKUP(C375,[1]ОКТМО!B:J,6,0)</f>
        <v>Верхоянский муниципальный район</v>
      </c>
      <c r="B375" t="str">
        <f>VLOOKUP(C375,[1]ОКТМО!B:J,9,0)</f>
        <v>Сартанский наслег</v>
      </c>
      <c r="C375" s="70">
        <v>98616442101</v>
      </c>
      <c r="D375" t="s">
        <v>6582</v>
      </c>
      <c r="E375" t="s">
        <v>610</v>
      </c>
      <c r="F375" t="s">
        <v>611</v>
      </c>
      <c r="G375" s="65">
        <v>2012</v>
      </c>
    </row>
    <row r="376" spans="1:7">
      <c r="A376" t="str">
        <f>VLOOKUP(C376,[1]ОКТМО!B:J,6,0)</f>
        <v>Верхоянский муниципальный район</v>
      </c>
      <c r="B376" t="str">
        <f>VLOOKUP(C376,[1]ОКТМО!B:J,9,0)</f>
        <v>Сартанский наслег</v>
      </c>
      <c r="C376" s="70">
        <v>98616442101</v>
      </c>
      <c r="D376" t="s">
        <v>6582</v>
      </c>
      <c r="E376" t="s">
        <v>610</v>
      </c>
      <c r="F376" t="s">
        <v>611</v>
      </c>
      <c r="G376" s="65">
        <v>2022</v>
      </c>
    </row>
    <row r="377" spans="1:7">
      <c r="A377" t="str">
        <f>VLOOKUP(C377,[1]ОКТМО!B:J,6,0)</f>
        <v>Верхоянский муниципальный район</v>
      </c>
      <c r="B377" t="str">
        <f>VLOOKUP(C377,[1]ОКТМО!B:J,9,0)</f>
        <v>Адычинский наслег</v>
      </c>
      <c r="C377" s="70">
        <v>98616404101</v>
      </c>
      <c r="D377" t="s">
        <v>6582</v>
      </c>
      <c r="E377" t="s">
        <v>621</v>
      </c>
      <c r="F377" t="s">
        <v>1341</v>
      </c>
      <c r="G377" s="65">
        <v>2012</v>
      </c>
    </row>
    <row r="378" spans="1:7">
      <c r="A378" t="str">
        <f>VLOOKUP(C378,[1]ОКТМО!B:J,6,0)</f>
        <v>Верхоянский муниципальный район</v>
      </c>
      <c r="B378" t="str">
        <f>VLOOKUP(C378,[1]ОКТМО!B:J,9,0)</f>
        <v>Адычинский наслег</v>
      </c>
      <c r="C378" s="70">
        <v>98616404101</v>
      </c>
      <c r="D378" t="s">
        <v>6582</v>
      </c>
      <c r="E378" t="s">
        <v>621</v>
      </c>
      <c r="F378" t="s">
        <v>1341</v>
      </c>
      <c r="G378" s="65">
        <v>2022</v>
      </c>
    </row>
    <row r="379" spans="1:7">
      <c r="A379" t="str">
        <f>VLOOKUP(C379,[1]ОКТМО!B:J,6,0)</f>
        <v>Верхоянский муниципальный район</v>
      </c>
      <c r="B379" t="str">
        <f>VLOOKUP(C379,[1]ОКТМО!B:J,9,0)</f>
        <v>Бабушкинский наслег</v>
      </c>
      <c r="C379" s="70">
        <v>98616477101</v>
      </c>
      <c r="D379" t="s">
        <v>6582</v>
      </c>
      <c r="E379" t="s">
        <v>588</v>
      </c>
      <c r="F379" t="s">
        <v>1406</v>
      </c>
      <c r="G379" s="65">
        <v>2022</v>
      </c>
    </row>
    <row r="380" spans="1:7">
      <c r="A380" t="str">
        <f>VLOOKUP(C380,[1]ОКТМО!B:J,6,0)</f>
        <v>Верхоянский муниципальный район</v>
      </c>
      <c r="B380" t="str">
        <f>VLOOKUP(C380,[1]ОКТМО!B:J,9,0)</f>
        <v>город Верхоянск</v>
      </c>
      <c r="C380" s="70">
        <v>98616103001</v>
      </c>
      <c r="D380" t="s">
        <v>6582</v>
      </c>
      <c r="E380" t="s">
        <v>588</v>
      </c>
      <c r="F380" t="s">
        <v>589</v>
      </c>
      <c r="G380" s="65">
        <v>2022</v>
      </c>
    </row>
    <row r="381" spans="1:7">
      <c r="A381" t="str">
        <f>VLOOKUP(C381,[1]ОКТМО!B:J,6,0)</f>
        <v>Верхоянский муниципальный район</v>
      </c>
      <c r="B381" t="str">
        <f>VLOOKUP(C381,[1]ОКТМО!B:J,9,0)</f>
        <v>Эльгесский наслег</v>
      </c>
      <c r="C381" s="70">
        <v>98616470101</v>
      </c>
      <c r="D381" t="s">
        <v>6582</v>
      </c>
      <c r="E381" t="s">
        <v>588</v>
      </c>
      <c r="F381" t="s">
        <v>1400</v>
      </c>
      <c r="G381" s="65">
        <v>2022</v>
      </c>
    </row>
    <row r="382" spans="1:7">
      <c r="A382" t="str">
        <f>VLOOKUP(C382,[1]ОКТМО!B:J,6,0)</f>
        <v>Верхоянский муниципальный район</v>
      </c>
      <c r="B382" t="str">
        <f>VLOOKUP(C382,[1]ОКТМО!B:J,9,0)</f>
        <v>Дулгалахский наслег</v>
      </c>
      <c r="C382" s="70">
        <v>98616425101</v>
      </c>
      <c r="D382" t="s">
        <v>6582</v>
      </c>
      <c r="E382" t="s">
        <v>617</v>
      </c>
      <c r="F382" t="s">
        <v>3221</v>
      </c>
      <c r="G382" s="65">
        <v>2022</v>
      </c>
    </row>
    <row r="383" spans="1:7">
      <c r="A383" t="str">
        <f>VLOOKUP(C383,[1]ОКТМО!B:J,6,0)</f>
        <v>Верхоянский муниципальный район</v>
      </c>
      <c r="B383" t="str">
        <f>VLOOKUP(C383,[1]ОКТМО!B:J,9,0)</f>
        <v>Сартанский наслег</v>
      </c>
      <c r="C383" s="70">
        <v>98616442106</v>
      </c>
      <c r="D383" t="s">
        <v>6582</v>
      </c>
      <c r="E383" t="s">
        <v>610</v>
      </c>
      <c r="F383" t="s">
        <v>1371</v>
      </c>
      <c r="G383" s="65">
        <v>2022</v>
      </c>
    </row>
    <row r="384" spans="1:7">
      <c r="A384" t="str">
        <f>VLOOKUP(C384,[1]ОКТМО!B:J,6,0)</f>
        <v>Абыйский муниципальный район</v>
      </c>
      <c r="B384" t="str">
        <f>VLOOKUP(C384,[1]ОКТМО!B:J,9,0)</f>
        <v>Мугурдахский наслег</v>
      </c>
      <c r="C384" s="70">
        <v>98601417101</v>
      </c>
      <c r="D384" t="s">
        <v>6582</v>
      </c>
      <c r="E384" t="s">
        <v>3222</v>
      </c>
      <c r="F384" t="s">
        <v>859</v>
      </c>
      <c r="G384" s="65">
        <v>2015</v>
      </c>
    </row>
    <row r="385" spans="1:7">
      <c r="A385" t="str">
        <f>VLOOKUP(C385,[1]ОКТМО!B:J,6,0)</f>
        <v>Абыйский муниципальный район</v>
      </c>
      <c r="B385" t="str">
        <f>VLOOKUP(C385,[1]ОКТМО!B:J,9,0)</f>
        <v>Майорский национальный наслег</v>
      </c>
      <c r="C385" s="70">
        <v>98601409101</v>
      </c>
      <c r="D385" t="s">
        <v>6582</v>
      </c>
      <c r="E385" t="s">
        <v>632</v>
      </c>
      <c r="F385" t="s">
        <v>850</v>
      </c>
      <c r="G385" s="65">
        <v>2012</v>
      </c>
    </row>
    <row r="386" spans="1:7">
      <c r="A386" t="str">
        <f>VLOOKUP(C386,[1]ОКТМО!B:J,6,0)</f>
        <v>Абыйский муниципальный район</v>
      </c>
      <c r="B386" t="str">
        <f>VLOOKUP(C386,[1]ОКТМО!B:J,9,0)</f>
        <v>Майорский национальный наслег</v>
      </c>
      <c r="C386" s="70">
        <v>98601409101</v>
      </c>
      <c r="D386" t="s">
        <v>6582</v>
      </c>
      <c r="E386" t="s">
        <v>632</v>
      </c>
      <c r="F386" t="s">
        <v>850</v>
      </c>
      <c r="G386" s="65">
        <v>2017</v>
      </c>
    </row>
    <row r="387" spans="1:7">
      <c r="A387" t="str">
        <f>VLOOKUP(C387,[1]ОКТМО!B:J,6,0)</f>
        <v>Абыйский муниципальный район</v>
      </c>
      <c r="B387" t="str">
        <f>VLOOKUP(C387,[1]ОКТМО!B:J,9,0)</f>
        <v>Майорский национальный наслег</v>
      </c>
      <c r="C387" s="70">
        <v>98601409101</v>
      </c>
      <c r="D387" t="s">
        <v>6582</v>
      </c>
      <c r="E387" t="s">
        <v>632</v>
      </c>
      <c r="F387" t="s">
        <v>850</v>
      </c>
      <c r="G387" s="65">
        <v>2025</v>
      </c>
    </row>
    <row r="388" spans="1:7">
      <c r="A388" t="str">
        <f>VLOOKUP(C388,[1]ОКТМО!B:J,6,0)</f>
        <v>Абыйский муниципальный район</v>
      </c>
      <c r="B388" t="str">
        <f>VLOOKUP(C388,[1]ОКТМО!B:J,9,0)</f>
        <v>Урасалахский наслег</v>
      </c>
      <c r="C388" s="70">
        <v>98601433101</v>
      </c>
      <c r="D388" t="s">
        <v>6582</v>
      </c>
      <c r="E388" t="s">
        <v>632</v>
      </c>
      <c r="F388" t="s">
        <v>876</v>
      </c>
      <c r="G388" s="65">
        <v>2017</v>
      </c>
    </row>
    <row r="389" spans="1:7">
      <c r="A389" t="str">
        <f>VLOOKUP(C389,[1]ОКТМО!B:J,6,0)</f>
        <v>Абыйский муниципальный район</v>
      </c>
      <c r="B389" t="str">
        <f>VLOOKUP(C389,[1]ОКТМО!B:J,9,0)</f>
        <v>поселок Белая Гора</v>
      </c>
      <c r="C389" s="70">
        <v>98601151051</v>
      </c>
      <c r="D389" t="s">
        <v>6582</v>
      </c>
      <c r="E389" t="s">
        <v>632</v>
      </c>
      <c r="F389" t="s">
        <v>642</v>
      </c>
      <c r="G389" s="65">
        <v>2017</v>
      </c>
    </row>
    <row r="390" spans="1:7">
      <c r="A390" t="str">
        <f>VLOOKUP(C390,[1]ОКТМО!B:J,6,0)</f>
        <v>Верхнеколымский муниципальный район</v>
      </c>
      <c r="B390" t="str">
        <f>VLOOKUP(C390,[1]ОКТМО!B:J,9,0)</f>
        <v>поселок Зырянка</v>
      </c>
      <c r="C390" s="70">
        <v>98615151051</v>
      </c>
      <c r="D390" t="s">
        <v>6582</v>
      </c>
      <c r="E390" t="s">
        <v>666</v>
      </c>
      <c r="F390" t="s">
        <v>679</v>
      </c>
      <c r="G390" s="65">
        <v>2012</v>
      </c>
    </row>
    <row r="391" spans="1:7">
      <c r="A391" t="str">
        <f>VLOOKUP(C391,[1]ОКТМО!B:J,6,0)</f>
        <v>Верхнеколымский муниципальный район</v>
      </c>
      <c r="B391" t="str">
        <f>VLOOKUP(C391,[1]ОКТМО!B:J,9,0)</f>
        <v>поселок Зырянка</v>
      </c>
      <c r="C391" s="70">
        <v>98615151051</v>
      </c>
      <c r="D391" t="s">
        <v>6582</v>
      </c>
      <c r="E391" t="s">
        <v>666</v>
      </c>
      <c r="F391" t="s">
        <v>679</v>
      </c>
      <c r="G391" s="65">
        <v>1014</v>
      </c>
    </row>
    <row r="392" spans="1:7">
      <c r="A392" t="str">
        <f>VLOOKUP(C392,[1]ОКТМО!B:J,6,0)</f>
        <v>Среднеколымский муниципальный район</v>
      </c>
      <c r="B392" t="str">
        <f>VLOOKUP(C392,[1]ОКТМО!B:J,9,0)</f>
        <v>город Среднеколымск</v>
      </c>
      <c r="C392" s="70">
        <v>98646101001</v>
      </c>
      <c r="D392" t="s">
        <v>6582</v>
      </c>
      <c r="E392" t="s">
        <v>666</v>
      </c>
      <c r="F392" t="s">
        <v>682</v>
      </c>
      <c r="G392" s="65">
        <v>2014</v>
      </c>
    </row>
    <row r="393" spans="1:7">
      <c r="A393" t="str">
        <f>VLOOKUP(C393,[1]ОКТМО!B:J,6,0)</f>
        <v>Среднеколымский муниципальный район</v>
      </c>
      <c r="B393" t="str">
        <f>VLOOKUP(C393,[1]ОКТМО!B:J,9,0)</f>
        <v>Мятисский 2-й наслег</v>
      </c>
      <c r="C393" s="70">
        <v>98646436101</v>
      </c>
      <c r="D393" t="s">
        <v>6582</v>
      </c>
      <c r="E393" t="s">
        <v>707</v>
      </c>
      <c r="F393" t="s">
        <v>708</v>
      </c>
      <c r="G393" s="65">
        <v>2011</v>
      </c>
    </row>
    <row r="394" spans="1:7">
      <c r="A394" t="str">
        <f>VLOOKUP(C394,[1]ОКТМО!B:J,6,0)</f>
        <v>Среднеколымский муниципальный район</v>
      </c>
      <c r="B394" t="str">
        <f>VLOOKUP(C394,[1]ОКТМО!B:J,9,0)</f>
        <v>Мятисский 2-й наслег</v>
      </c>
      <c r="C394" s="70">
        <v>98646436101</v>
      </c>
      <c r="D394" t="s">
        <v>6582</v>
      </c>
      <c r="E394" t="s">
        <v>707</v>
      </c>
      <c r="F394" t="s">
        <v>708</v>
      </c>
      <c r="G394" s="65">
        <v>2017</v>
      </c>
    </row>
    <row r="395" spans="1:7">
      <c r="A395" t="str">
        <f>VLOOKUP(C395,[1]ОКТМО!B:J,6,0)</f>
        <v>Среднеколымский муниципальный район</v>
      </c>
      <c r="B395" t="str">
        <f>VLOOKUP(C395,[1]ОКТМО!B:J,9,0)</f>
        <v>Мятисский 2-й наслег</v>
      </c>
      <c r="C395" s="70">
        <v>98646436101</v>
      </c>
      <c r="D395" t="s">
        <v>6582</v>
      </c>
      <c r="E395" t="s">
        <v>707</v>
      </c>
      <c r="F395" t="s">
        <v>708</v>
      </c>
      <c r="G395" s="65">
        <v>2018</v>
      </c>
    </row>
    <row r="396" spans="1:7">
      <c r="A396" t="str">
        <f>VLOOKUP(C396,[1]ОКТМО!B:J,6,0)</f>
        <v>Среднеколымский муниципальный район</v>
      </c>
      <c r="B396" t="str">
        <f>VLOOKUP(C396,[1]ОКТМО!B:J,9,0)</f>
        <v>Алазейский наслег</v>
      </c>
      <c r="C396" s="70">
        <v>98646405101</v>
      </c>
      <c r="D396" t="s">
        <v>6582</v>
      </c>
      <c r="E396" t="s">
        <v>707</v>
      </c>
      <c r="F396" t="s">
        <v>711</v>
      </c>
      <c r="G396" s="65">
        <v>2017</v>
      </c>
    </row>
    <row r="397" spans="1:7">
      <c r="A397" t="str">
        <f>VLOOKUP(C397,[1]ОКТМО!B:J,6,0)</f>
        <v>Среднеколымский муниципальный район</v>
      </c>
      <c r="B397" t="str">
        <f>VLOOKUP(C397,[1]ОКТМО!B:J,9,0)</f>
        <v>Алазейский наслег</v>
      </c>
      <c r="C397" s="70">
        <v>98646405101</v>
      </c>
      <c r="D397" t="s">
        <v>6582</v>
      </c>
      <c r="E397" t="s">
        <v>707</v>
      </c>
      <c r="F397" t="s">
        <v>711</v>
      </c>
      <c r="G397" s="65">
        <v>2018</v>
      </c>
    </row>
    <row r="398" spans="1:7">
      <c r="A398" t="str">
        <f>VLOOKUP(C398,[1]ОКТМО!B:J,6,0)</f>
        <v>Среднеколымский муниципальный район</v>
      </c>
      <c r="B398" t="str">
        <f>VLOOKUP(C398,[1]ОКТМО!B:J,9,0)</f>
        <v>Байдинский наслег</v>
      </c>
      <c r="C398" s="70">
        <v>98646410101</v>
      </c>
      <c r="D398" t="s">
        <v>6582</v>
      </c>
      <c r="E398" t="s">
        <v>3223</v>
      </c>
      <c r="F398" t="s">
        <v>2494</v>
      </c>
      <c r="G398" s="65">
        <v>2011</v>
      </c>
    </row>
    <row r="399" spans="1:7">
      <c r="A399" t="str">
        <f>VLOOKUP(C399,[1]ОКТМО!B:J,6,0)</f>
        <v>Среднеколымский муниципальный район</v>
      </c>
      <c r="B399" t="str">
        <f>VLOOKUP(C399,[1]ОКТМО!B:J,9,0)</f>
        <v>Байдинский наслег</v>
      </c>
      <c r="C399" s="70">
        <v>98646410101</v>
      </c>
      <c r="D399" t="s">
        <v>6582</v>
      </c>
      <c r="E399" t="s">
        <v>3223</v>
      </c>
      <c r="F399" t="s">
        <v>2494</v>
      </c>
      <c r="G399" s="65">
        <v>2017</v>
      </c>
    </row>
    <row r="400" spans="1:7">
      <c r="A400" t="str">
        <f>VLOOKUP(C400,[1]ОКТМО!B:J,6,0)</f>
        <v>Момский муниципальный район</v>
      </c>
      <c r="B400" t="str">
        <f>VLOOKUP(C400,[1]ОКТМО!B:J,9,0)</f>
        <v>Момский национальный наслег</v>
      </c>
      <c r="C400" s="70">
        <v>98633423101</v>
      </c>
      <c r="D400" t="s">
        <v>6582</v>
      </c>
      <c r="E400" t="s">
        <v>632</v>
      </c>
      <c r="F400" t="s">
        <v>2008</v>
      </c>
      <c r="G400" s="65">
        <v>2012</v>
      </c>
    </row>
    <row r="401" spans="1:7">
      <c r="A401" t="str">
        <f>VLOOKUP(C401,[1]ОКТМО!B:J,6,0)</f>
        <v>Момский муниципальный район</v>
      </c>
      <c r="B401" t="str">
        <f>VLOOKUP(C401,[1]ОКТМО!B:J,9,0)</f>
        <v>Момский национальный наслег</v>
      </c>
      <c r="C401" s="70">
        <v>98633423101</v>
      </c>
      <c r="D401" t="s">
        <v>6582</v>
      </c>
      <c r="E401" t="s">
        <v>632</v>
      </c>
      <c r="F401" t="s">
        <v>2008</v>
      </c>
      <c r="G401" s="65">
        <v>2014</v>
      </c>
    </row>
    <row r="402" spans="1:7">
      <c r="A402" t="str">
        <f>VLOOKUP(C402,[1]ОКТМО!B:J,6,0)</f>
        <v>Момский муниципальный район</v>
      </c>
      <c r="B402" t="str">
        <f>VLOOKUP(C402,[1]ОКТМО!B:J,9,0)</f>
        <v>Момский национальный наслег</v>
      </c>
      <c r="C402" s="70">
        <v>98633423101</v>
      </c>
      <c r="D402" t="s">
        <v>6582</v>
      </c>
      <c r="E402" t="s">
        <v>632</v>
      </c>
      <c r="F402" t="s">
        <v>2008</v>
      </c>
      <c r="G402" s="65">
        <v>2025</v>
      </c>
    </row>
    <row r="403" spans="1:7">
      <c r="A403" t="str">
        <f>VLOOKUP(C403,[1]ОКТМО!B:J,6,0)</f>
        <v>Момский муниципальный район</v>
      </c>
      <c r="B403" t="str">
        <f>VLOOKUP(C403,[1]ОКТМО!B:J,9,0)</f>
        <v>Чыбагалахский национальный наслег</v>
      </c>
      <c r="C403" s="70">
        <v>98633405101</v>
      </c>
      <c r="D403" t="s">
        <v>6582</v>
      </c>
      <c r="E403" t="s">
        <v>632</v>
      </c>
      <c r="F403" t="s">
        <v>2000</v>
      </c>
      <c r="G403" s="65">
        <v>2012</v>
      </c>
    </row>
    <row r="404" spans="1:7">
      <c r="A404" t="str">
        <f>VLOOKUP(C404,[1]ОКТМО!B:J,6,0)</f>
        <v>Момский муниципальный район</v>
      </c>
      <c r="B404" t="str">
        <f>VLOOKUP(C404,[1]ОКТМО!B:J,9,0)</f>
        <v>Чыбагалахский национальный наслег</v>
      </c>
      <c r="C404" s="70">
        <v>98633405101</v>
      </c>
      <c r="D404" t="s">
        <v>6582</v>
      </c>
      <c r="E404" t="s">
        <v>632</v>
      </c>
      <c r="F404" t="s">
        <v>2000</v>
      </c>
      <c r="G404" s="65">
        <v>2025</v>
      </c>
    </row>
    <row r="405" spans="1:7">
      <c r="A405" t="str">
        <f>VLOOKUP(C405,[1]ОКТМО!B:J,6,0)</f>
        <v>Момский муниципальный район</v>
      </c>
      <c r="B405" t="str">
        <f>VLOOKUP(C405,[1]ОКТМО!B:J,9,0)</f>
        <v>Индигирский национальный наслег</v>
      </c>
      <c r="C405" s="70">
        <v>98633414101</v>
      </c>
      <c r="D405" t="s">
        <v>6582</v>
      </c>
      <c r="E405" t="s">
        <v>632</v>
      </c>
      <c r="F405" t="s">
        <v>2004</v>
      </c>
      <c r="G405" s="65">
        <v>2012</v>
      </c>
    </row>
    <row r="406" spans="1:7">
      <c r="A406" t="str">
        <f>VLOOKUP(C406,[1]ОКТМО!B:J,6,0)</f>
        <v>Момский муниципальный район</v>
      </c>
      <c r="B406" t="str">
        <f>VLOOKUP(C406,[1]ОКТМО!B:J,9,0)</f>
        <v>Индигирский национальный наслег</v>
      </c>
      <c r="C406" s="70">
        <v>98633414101</v>
      </c>
      <c r="D406" t="s">
        <v>6582</v>
      </c>
      <c r="E406" t="s">
        <v>632</v>
      </c>
      <c r="F406" t="s">
        <v>2004</v>
      </c>
      <c r="G406" s="65">
        <v>2021</v>
      </c>
    </row>
    <row r="407" spans="1:7">
      <c r="A407" t="str">
        <f>VLOOKUP(C407,[1]ОКТМО!B:J,6,0)</f>
        <v>Момский муниципальный район</v>
      </c>
      <c r="B407" t="str">
        <f>VLOOKUP(C407,[1]ОКТМО!B:J,9,0)</f>
        <v>Индигирский национальный наслег</v>
      </c>
      <c r="C407" s="70">
        <v>98633414101</v>
      </c>
      <c r="D407" t="s">
        <v>6582</v>
      </c>
      <c r="E407" t="s">
        <v>632</v>
      </c>
      <c r="F407" t="s">
        <v>2004</v>
      </c>
      <c r="G407" s="65">
        <v>2025</v>
      </c>
    </row>
    <row r="408" spans="1:7">
      <c r="A408" t="str">
        <f>VLOOKUP(C408,[1]ОКТМО!B:J,6,0)</f>
        <v>Чурапчинский муниципальный район</v>
      </c>
      <c r="B408" t="str">
        <f>VLOOKUP(C408,[1]ОКТМО!B:J,9,0)</f>
        <v>Ожулунский наслег</v>
      </c>
      <c r="C408" s="70">
        <v>98658430101</v>
      </c>
      <c r="D408" t="s">
        <v>6582</v>
      </c>
      <c r="E408" t="s">
        <v>448</v>
      </c>
      <c r="F408" t="s">
        <v>2944</v>
      </c>
      <c r="G408" s="65">
        <v>2014</v>
      </c>
    </row>
    <row r="409" spans="1:7">
      <c r="A409" t="str">
        <f>VLOOKUP(C409,[1]ОКТМО!B:J,6,0)</f>
        <v>Оймяконский муниципальный район</v>
      </c>
      <c r="B409" t="str">
        <f>VLOOKUP(C409,[1]ОКТМО!B:J,9,0)</f>
        <v>поселок Усть-Нера</v>
      </c>
      <c r="C409" s="70">
        <v>98639151051</v>
      </c>
      <c r="D409" t="s">
        <v>6582</v>
      </c>
      <c r="E409" t="s">
        <v>3224</v>
      </c>
      <c r="F409" t="s">
        <v>2153</v>
      </c>
      <c r="G409" s="65">
        <v>2013</v>
      </c>
    </row>
    <row r="410" spans="1:7">
      <c r="A410" t="str">
        <f>VLOOKUP(C410,[1]ОКТМО!B:J,6,0)</f>
        <v>Оймяконский муниципальный район</v>
      </c>
      <c r="B410" t="str">
        <f>VLOOKUP(C410,[1]ОКТМО!B:J,9,0)</f>
        <v>поселок Усть-Нера</v>
      </c>
      <c r="C410" s="70">
        <v>98639151051</v>
      </c>
      <c r="D410" t="s">
        <v>6582</v>
      </c>
      <c r="E410" t="s">
        <v>3224</v>
      </c>
      <c r="F410" t="s">
        <v>2153</v>
      </c>
      <c r="G410" s="65">
        <v>2025</v>
      </c>
    </row>
    <row r="411" spans="1:7">
      <c r="A411" t="str">
        <f>VLOOKUP(C411,[1]ОКТМО!B:J,6,0)</f>
        <v>Оймяконский муниципальный район</v>
      </c>
      <c r="B411" t="str">
        <f>VLOOKUP(C411,[1]ОКТМО!B:J,9,0)</f>
        <v>Оймякон Полюс Холода</v>
      </c>
      <c r="C411" s="70">
        <v>98639405101</v>
      </c>
      <c r="D411" t="s">
        <v>6582</v>
      </c>
      <c r="E411" t="s">
        <v>632</v>
      </c>
      <c r="F411" t="s">
        <v>2165</v>
      </c>
      <c r="G411" s="65">
        <v>2013</v>
      </c>
    </row>
    <row r="412" spans="1:7">
      <c r="A412" t="str">
        <f>VLOOKUP(C412,[1]ОКТМО!B:J,6,0)</f>
        <v>Оймяконский муниципальный район</v>
      </c>
      <c r="B412" t="str">
        <f>VLOOKUP(C412,[1]ОКТМО!B:J,9,0)</f>
        <v>Оймякон Полюс Холода</v>
      </c>
      <c r="C412" s="70">
        <v>98639405101</v>
      </c>
      <c r="D412" t="s">
        <v>6582</v>
      </c>
      <c r="E412" t="s">
        <v>632</v>
      </c>
      <c r="F412" t="s">
        <v>2165</v>
      </c>
      <c r="G412" s="65">
        <v>2016</v>
      </c>
    </row>
    <row r="413" spans="1:7">
      <c r="A413" t="str">
        <f>VLOOKUP(C413,[1]ОКТМО!B:J,6,0)</f>
        <v>Оймяконский муниципальный район</v>
      </c>
      <c r="B413" t="str">
        <f>VLOOKUP(C413,[1]ОКТМО!B:J,9,0)</f>
        <v>Оймякон Полюс Холода</v>
      </c>
      <c r="C413" s="70">
        <v>98639405101</v>
      </c>
      <c r="D413" t="s">
        <v>6582</v>
      </c>
      <c r="E413" t="s">
        <v>632</v>
      </c>
      <c r="F413" t="s">
        <v>2165</v>
      </c>
      <c r="G413" s="65">
        <v>2018</v>
      </c>
    </row>
    <row r="414" spans="1:7">
      <c r="A414" t="str">
        <f>VLOOKUP(C414,[1]ОКТМО!B:J,6,0)</f>
        <v>Оймяконский муниципальный район</v>
      </c>
      <c r="B414" t="str">
        <f>VLOOKUP(C414,[1]ОКТМО!B:J,9,0)</f>
        <v>Оймякон Полюс Холода</v>
      </c>
      <c r="C414" s="70">
        <v>98639405101</v>
      </c>
      <c r="D414" t="s">
        <v>6582</v>
      </c>
      <c r="E414" t="s">
        <v>632</v>
      </c>
      <c r="F414" t="s">
        <v>2165</v>
      </c>
      <c r="G414" s="65">
        <v>2023</v>
      </c>
    </row>
    <row r="415" spans="1:7">
      <c r="A415" t="str">
        <f>VLOOKUP(C415,[1]ОКТМО!B:J,6,0)</f>
        <v>Оймяконский муниципальный район</v>
      </c>
      <c r="B415" t="str">
        <f>VLOOKUP(C415,[1]ОКТМО!B:J,9,0)</f>
        <v>Оймякон Полюс Холода</v>
      </c>
      <c r="C415" s="70">
        <v>98639405101</v>
      </c>
      <c r="D415" t="s">
        <v>6582</v>
      </c>
      <c r="E415" t="s">
        <v>632</v>
      </c>
      <c r="F415" t="s">
        <v>2165</v>
      </c>
      <c r="G415" s="65">
        <v>2025</v>
      </c>
    </row>
    <row r="416" spans="1:7">
      <c r="A416" t="str">
        <f>VLOOKUP(C416,[1]ОКТМО!B:J,6,0)</f>
        <v>Оймяконский муниципальный район</v>
      </c>
      <c r="B416" t="str">
        <f>VLOOKUP(C416,[1]ОКТМО!B:J,9,0)</f>
        <v>Борогонский 2-й наслег</v>
      </c>
      <c r="C416" s="70">
        <v>98639410116</v>
      </c>
      <c r="D416" t="s">
        <v>6582</v>
      </c>
      <c r="E416" t="s">
        <v>2182</v>
      </c>
      <c r="F416" t="s">
        <v>2182</v>
      </c>
      <c r="G416" s="65">
        <v>2013</v>
      </c>
    </row>
    <row r="417" spans="1:7">
      <c r="A417" t="str">
        <f>VLOOKUP(C417,[1]ОКТМО!B:J,6,0)</f>
        <v>Оймяконский муниципальный район</v>
      </c>
      <c r="B417" t="str">
        <f>VLOOKUP(C417,[1]ОКТМО!B:J,9,0)</f>
        <v>Борогонский 2-й наслег</v>
      </c>
      <c r="C417" s="70">
        <v>98639410116</v>
      </c>
      <c r="D417" t="s">
        <v>6582</v>
      </c>
      <c r="E417" t="s">
        <v>2182</v>
      </c>
      <c r="F417" t="s">
        <v>2182</v>
      </c>
      <c r="G417" s="65">
        <v>2017</v>
      </c>
    </row>
    <row r="418" spans="1:7">
      <c r="A418" t="str">
        <f>VLOOKUP(C418,[1]ОКТМО!B:J,6,0)</f>
        <v>Оймяконский муниципальный район</v>
      </c>
      <c r="B418" t="str">
        <f>VLOOKUP(C418,[1]ОКТМО!B:J,9,0)</f>
        <v>Борогонский 2-й наслег</v>
      </c>
      <c r="C418" s="70">
        <v>98639410116</v>
      </c>
      <c r="D418" t="s">
        <v>6582</v>
      </c>
      <c r="E418" t="s">
        <v>2182</v>
      </c>
      <c r="F418" t="s">
        <v>2182</v>
      </c>
      <c r="G418" s="65">
        <v>2023</v>
      </c>
    </row>
    <row r="419" spans="1:7">
      <c r="A419" t="str">
        <f>VLOOKUP(C419,[1]ОКТМО!B:J,6,0)</f>
        <v>Оймяконский муниципальный район</v>
      </c>
      <c r="B419" t="str">
        <f>VLOOKUP(C419,[1]ОКТМО!B:J,9,0)</f>
        <v>Борогонский 2-й наслег</v>
      </c>
      <c r="C419" s="70">
        <v>98639410116</v>
      </c>
      <c r="D419" t="s">
        <v>6582</v>
      </c>
      <c r="E419" t="s">
        <v>2182</v>
      </c>
      <c r="F419" t="s">
        <v>2182</v>
      </c>
      <c r="G419" s="65">
        <v>2025</v>
      </c>
    </row>
    <row r="420" spans="1:7">
      <c r="A420" t="str">
        <f>VLOOKUP(C420,[1]ОКТМО!B:J,6,0)</f>
        <v>Оймяконский муниципальный район</v>
      </c>
      <c r="B420" t="str">
        <f>VLOOKUP(C420,[1]ОКТМО!B:J,9,0)</f>
        <v>Оймякон Полюс Холода</v>
      </c>
      <c r="C420" s="70">
        <v>98639405106</v>
      </c>
      <c r="D420" t="s">
        <v>6582</v>
      </c>
      <c r="E420" t="s">
        <v>632</v>
      </c>
      <c r="F420" t="s">
        <v>2168</v>
      </c>
      <c r="G420" s="65">
        <v>2013</v>
      </c>
    </row>
    <row r="421" spans="1:7">
      <c r="A421" t="str">
        <f>VLOOKUP(C421,[1]ОКТМО!B:J,6,0)</f>
        <v>Оймяконский муниципальный район</v>
      </c>
      <c r="B421" t="str">
        <f>VLOOKUP(C421,[1]ОКТМО!B:J,9,0)</f>
        <v>Оймякон Полюс Холода</v>
      </c>
      <c r="C421" s="70">
        <v>98639405106</v>
      </c>
      <c r="D421" t="s">
        <v>6582</v>
      </c>
      <c r="E421" t="s">
        <v>632</v>
      </c>
      <c r="F421" t="s">
        <v>2168</v>
      </c>
      <c r="G421" s="65">
        <v>2016</v>
      </c>
    </row>
    <row r="422" spans="1:7">
      <c r="A422" t="str">
        <f>VLOOKUP(C422,[1]ОКТМО!B:J,6,0)</f>
        <v>Оймяконский муниципальный район</v>
      </c>
      <c r="B422" t="str">
        <f>VLOOKUP(C422,[1]ОКТМО!B:J,9,0)</f>
        <v>Оймякон Полюс Холода</v>
      </c>
      <c r="C422" s="70">
        <v>98639405106</v>
      </c>
      <c r="D422" t="s">
        <v>6582</v>
      </c>
      <c r="E422" t="s">
        <v>632</v>
      </c>
      <c r="F422" t="s">
        <v>2168</v>
      </c>
      <c r="G422" s="65">
        <v>2018</v>
      </c>
    </row>
    <row r="423" spans="1:7">
      <c r="A423" t="str">
        <f>VLOOKUP(C423,[1]ОКТМО!B:J,6,0)</f>
        <v>Оймяконский муниципальный район</v>
      </c>
      <c r="B423" t="str">
        <f>VLOOKUP(C423,[1]ОКТМО!B:J,9,0)</f>
        <v>Оймякон Полюс Холода</v>
      </c>
      <c r="C423" s="70">
        <v>98639405106</v>
      </c>
      <c r="D423" t="s">
        <v>6582</v>
      </c>
      <c r="E423" t="s">
        <v>632</v>
      </c>
      <c r="F423" t="s">
        <v>2168</v>
      </c>
      <c r="G423" s="65">
        <v>2025</v>
      </c>
    </row>
    <row r="424" spans="1:7">
      <c r="A424" t="str">
        <f>VLOOKUP(C424,[1]ОКТМО!B:J,6,0)</f>
        <v>Оймяконский муниципальный район</v>
      </c>
      <c r="B424" t="str">
        <f>VLOOKUP(C424,[1]ОКТМО!B:J,9,0)</f>
        <v>Оймякон Полюс Холода</v>
      </c>
      <c r="C424" s="70">
        <v>98639405111</v>
      </c>
      <c r="D424" t="s">
        <v>6582</v>
      </c>
      <c r="E424" t="s">
        <v>632</v>
      </c>
      <c r="F424" t="s">
        <v>2171</v>
      </c>
      <c r="G424" s="65">
        <v>2013</v>
      </c>
    </row>
    <row r="425" spans="1:7">
      <c r="A425" t="str">
        <f>VLOOKUP(C425,[1]ОКТМО!B:J,6,0)</f>
        <v>Оймяконский муниципальный район</v>
      </c>
      <c r="B425" t="str">
        <f>VLOOKUP(C425,[1]ОКТМО!B:J,9,0)</f>
        <v>Оймякон Полюс Холода</v>
      </c>
      <c r="C425" s="70">
        <v>98639405111</v>
      </c>
      <c r="D425" t="s">
        <v>6582</v>
      </c>
      <c r="E425" t="s">
        <v>632</v>
      </c>
      <c r="F425" t="s">
        <v>2171</v>
      </c>
      <c r="G425" s="65">
        <v>2016</v>
      </c>
    </row>
    <row r="426" spans="1:7">
      <c r="A426" t="str">
        <f>VLOOKUP(C426,[1]ОКТМО!B:J,6,0)</f>
        <v>Оймяконский муниципальный район</v>
      </c>
      <c r="B426" t="str">
        <f>VLOOKUP(C426,[1]ОКТМО!B:J,9,0)</f>
        <v>Оймякон Полюс Холода</v>
      </c>
      <c r="C426" s="70">
        <v>98639405111</v>
      </c>
      <c r="D426" t="s">
        <v>6582</v>
      </c>
      <c r="E426" t="s">
        <v>632</v>
      </c>
      <c r="F426" t="s">
        <v>2171</v>
      </c>
      <c r="G426" s="65">
        <v>2025</v>
      </c>
    </row>
    <row r="427" spans="1:7">
      <c r="A427" t="str">
        <f>VLOOKUP(C427,[1]ОКТМО!B:J,6,0)</f>
        <v>Оймяконский муниципальный район</v>
      </c>
      <c r="B427" t="str">
        <f>VLOOKUP(C427,[1]ОКТМО!B:J,9,0)</f>
        <v>Сордоннохский национальный наслег</v>
      </c>
      <c r="C427" s="70">
        <v>98639427101</v>
      </c>
      <c r="D427" t="s">
        <v>6582</v>
      </c>
      <c r="E427" t="s">
        <v>632</v>
      </c>
      <c r="F427" t="s">
        <v>2186</v>
      </c>
      <c r="G427" s="65">
        <v>2013</v>
      </c>
    </row>
    <row r="428" spans="1:7">
      <c r="A428" t="str">
        <f>VLOOKUP(C428,[1]ОКТМО!B:J,6,0)</f>
        <v>Оймяконский муниципальный район</v>
      </c>
      <c r="B428" t="str">
        <f>VLOOKUP(C428,[1]ОКТМО!B:J,9,0)</f>
        <v>Сордоннохский национальный наслег</v>
      </c>
      <c r="C428" s="70">
        <v>98639427101</v>
      </c>
      <c r="D428" t="s">
        <v>6582</v>
      </c>
      <c r="E428" t="s">
        <v>632</v>
      </c>
      <c r="F428" t="s">
        <v>2186</v>
      </c>
      <c r="G428" s="65">
        <v>2018</v>
      </c>
    </row>
    <row r="429" spans="1:7">
      <c r="A429" t="str">
        <f>VLOOKUP(C429,[1]ОКТМО!B:J,6,0)</f>
        <v>Оймяконский муниципальный район</v>
      </c>
      <c r="B429" t="str">
        <f>VLOOKUP(C429,[1]ОКТМО!B:J,9,0)</f>
        <v>Сордоннохский национальный наслег</v>
      </c>
      <c r="C429" s="70">
        <v>98639427101</v>
      </c>
      <c r="D429" t="s">
        <v>6582</v>
      </c>
      <c r="E429" t="s">
        <v>632</v>
      </c>
      <c r="F429" t="s">
        <v>2186</v>
      </c>
      <c r="G429" s="65">
        <v>2025</v>
      </c>
    </row>
    <row r="430" spans="1:7">
      <c r="A430" t="str">
        <f>VLOOKUP(C430,[1]ОКТМО!B:J,6,0)</f>
        <v>Олекминский муниципальный район</v>
      </c>
      <c r="B430" t="str">
        <f>VLOOKUP(C430,[1]ОКТМО!B:J,9,0)</f>
        <v>Жарханский национальный наслег</v>
      </c>
      <c r="C430" s="70">
        <v>98641420101</v>
      </c>
      <c r="D430" t="s">
        <v>6582</v>
      </c>
      <c r="E430" t="s">
        <v>269</v>
      </c>
      <c r="F430" t="s">
        <v>275</v>
      </c>
      <c r="G430" s="65">
        <v>2012</v>
      </c>
    </row>
    <row r="431" spans="1:7">
      <c r="A431" t="str">
        <f>VLOOKUP(C431,[1]ОКТМО!B:J,6,0)</f>
        <v>Олекминский муниципальный район</v>
      </c>
      <c r="B431" t="str">
        <f>VLOOKUP(C431,[1]ОКТМО!B:J,9,0)</f>
        <v>Жарханский национальный наслег</v>
      </c>
      <c r="C431" s="70">
        <v>98641420101</v>
      </c>
      <c r="D431" t="s">
        <v>6582</v>
      </c>
      <c r="E431" t="s">
        <v>269</v>
      </c>
      <c r="F431" t="s">
        <v>275</v>
      </c>
      <c r="G431" s="65">
        <v>2017</v>
      </c>
    </row>
    <row r="432" spans="1:7">
      <c r="A432" t="str">
        <f>VLOOKUP(C432,[1]ОКТМО!B:J,6,0)</f>
        <v>Горный муниципальный район</v>
      </c>
      <c r="B432" t="str">
        <f>VLOOKUP(C432,[1]ОКТМО!B:J,9,0)</f>
        <v>Атамайский наслег</v>
      </c>
      <c r="C432" s="70">
        <v>98620405101</v>
      </c>
      <c r="D432" t="s">
        <v>6582</v>
      </c>
      <c r="E432" t="s">
        <v>269</v>
      </c>
      <c r="F432" t="s">
        <v>1518</v>
      </c>
      <c r="G432" s="65">
        <v>2017</v>
      </c>
    </row>
    <row r="433" spans="1:7">
      <c r="A433" t="str">
        <f>VLOOKUP(C433,[1]ОКТМО!B:J,6,0)</f>
        <v>Кобяйский муниципальный район</v>
      </c>
      <c r="B433" t="str">
        <f>VLOOKUP(C433,[1]ОКТМО!B:J,9,0)</f>
        <v>Ламынхинский эвенский национальный наслег</v>
      </c>
      <c r="C433" s="70">
        <v>98624429101</v>
      </c>
      <c r="D433" t="s">
        <v>6582</v>
      </c>
      <c r="E433" t="s">
        <v>3225</v>
      </c>
      <c r="F433" t="s">
        <v>1633</v>
      </c>
      <c r="G433" s="65">
        <v>2012</v>
      </c>
    </row>
    <row r="434" spans="1:7">
      <c r="A434" t="str">
        <f>VLOOKUP(C434,[1]ОКТМО!B:J,6,0)</f>
        <v>Кобяйский муниципальный район</v>
      </c>
      <c r="B434" t="str">
        <f>VLOOKUP(C434,[1]ОКТМО!B:J,9,0)</f>
        <v>Ламынхинский эвенский национальный наслег</v>
      </c>
      <c r="C434" s="70">
        <v>98624429101</v>
      </c>
      <c r="D434" t="s">
        <v>6582</v>
      </c>
      <c r="E434" t="s">
        <v>3225</v>
      </c>
      <c r="F434" t="s">
        <v>1633</v>
      </c>
      <c r="G434" s="65">
        <v>2022</v>
      </c>
    </row>
    <row r="435" spans="1:7">
      <c r="A435" t="str">
        <f>VLOOKUP(C435,[1]ОКТМО!B:J,6,0)</f>
        <v>Усть-Майский муниципальный район</v>
      </c>
      <c r="B435" t="str">
        <f>VLOOKUP(C435,[1]ОКТМО!B:J,9,0)</f>
        <v>поселок Югоренок</v>
      </c>
      <c r="C435" s="70">
        <v>98654166051</v>
      </c>
      <c r="D435" t="s">
        <v>6582</v>
      </c>
      <c r="E435" t="s">
        <v>3226</v>
      </c>
      <c r="F435" t="s">
        <v>888</v>
      </c>
      <c r="G435" s="65">
        <v>2017</v>
      </c>
    </row>
    <row r="436" spans="1:7">
      <c r="A436" t="str">
        <f>VLOOKUP(C436,[1]ОКТМО!B:J,6,0)</f>
        <v>Нижнеколымский муниципальный район</v>
      </c>
      <c r="B436" t="str">
        <f>VLOOKUP(C436,[1]ОКТМО!B:J,9,0)</f>
        <v>Национальный юкагирский "Олеринский Суктул"</v>
      </c>
      <c r="C436" s="70">
        <v>98637411101</v>
      </c>
      <c r="D436" t="s">
        <v>6582</v>
      </c>
      <c r="E436" t="s">
        <v>707</v>
      </c>
      <c r="F436" t="s">
        <v>714</v>
      </c>
      <c r="G436" s="65">
        <v>2017</v>
      </c>
    </row>
    <row r="437" spans="1:7">
      <c r="A437" t="str">
        <f>VLOOKUP(C437,[1]ОКТМО!B:J,6,0)</f>
        <v>Нерюнгринский муниципальный район</v>
      </c>
      <c r="B437" t="str">
        <f>VLOOKUP(C437,[1]ОКТМО!B:J,9,0)</f>
        <v>поселок Чульман</v>
      </c>
      <c r="C437" s="70">
        <v>98660165051</v>
      </c>
      <c r="D437" t="s">
        <v>6582</v>
      </c>
      <c r="E437" t="s">
        <v>414</v>
      </c>
      <c r="F437" t="s">
        <v>414</v>
      </c>
      <c r="G437" s="65">
        <v>2010</v>
      </c>
    </row>
    <row r="438" spans="1:7">
      <c r="A438" t="str">
        <f>VLOOKUP(C438,[1]ОКТМО!B:J,6,0)</f>
        <v>Нерюнгринский муниципальный район</v>
      </c>
      <c r="B438" t="str">
        <f>VLOOKUP(C438,[1]ОКТМО!B:J,9,0)</f>
        <v>Иенгринский эвенкийский национальный наслег</v>
      </c>
      <c r="C438" s="70">
        <v>98660405101</v>
      </c>
      <c r="D438" t="s">
        <v>6582</v>
      </c>
      <c r="E438" t="s">
        <v>410</v>
      </c>
      <c r="F438" t="s">
        <v>410</v>
      </c>
      <c r="G438" s="65">
        <v>2010</v>
      </c>
    </row>
    <row r="439" spans="1:7">
      <c r="A439" t="str">
        <f>VLOOKUP(C439,[1]ОКТМО!B:J,6,0)</f>
        <v>Томпонский муниципальный район</v>
      </c>
      <c r="B439" t="str">
        <f>VLOOKUP(C439,[1]ОКТМО!B:J,9,0)</f>
        <v>Баягантайский наслег</v>
      </c>
      <c r="C439" s="70">
        <v>98650405101</v>
      </c>
      <c r="D439" t="s">
        <v>6582</v>
      </c>
      <c r="E439" t="s">
        <v>317</v>
      </c>
      <c r="F439" t="s">
        <v>369</v>
      </c>
      <c r="G439" s="65">
        <v>2016</v>
      </c>
    </row>
    <row r="440" spans="1:7">
      <c r="A440" t="str">
        <f>VLOOKUP(C440,[1]ОКТМО!B:J,6,0)</f>
        <v>Намский муниципальный район</v>
      </c>
      <c r="B440" t="str">
        <f>VLOOKUP(C440,[1]ОКТМО!B:J,9,0)</f>
        <v>Арбынский наслег</v>
      </c>
      <c r="C440" s="70">
        <v>98635405101</v>
      </c>
      <c r="D440" t="s">
        <v>6582</v>
      </c>
      <c r="E440" t="s">
        <v>11</v>
      </c>
      <c r="F440" t="s">
        <v>2027</v>
      </c>
      <c r="G440" s="65">
        <v>2022</v>
      </c>
    </row>
  </sheetData>
  <conditionalFormatting sqref="J1">
    <cfRule type="cellIs" dxfId="6" priority="1"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628D-3427-4C09-AD87-7EDF945B5E36}">
  <sheetPr>
    <tabColor rgb="FF92D050"/>
  </sheetPr>
  <dimension ref="A1:X221"/>
  <sheetViews>
    <sheetView topLeftCell="F211" zoomScale="70" zoomScaleNormal="70" workbookViewId="0">
      <selection activeCell="H244" sqref="H244"/>
    </sheetView>
  </sheetViews>
  <sheetFormatPr defaultRowHeight="15"/>
  <cols>
    <col min="1" max="1" width="5.42578125" style="1" customWidth="1"/>
    <col min="2" max="2" width="9.140625" style="23"/>
    <col min="3" max="3" width="76.140625" style="23" customWidth="1"/>
    <col min="4" max="4" width="66" style="23" customWidth="1"/>
    <col min="5" max="5" width="39" style="1" customWidth="1"/>
    <col min="6" max="9" width="26.140625" style="1" customWidth="1"/>
    <col min="10" max="10" width="28.140625" style="1" customWidth="1"/>
    <col min="11" max="11" width="23.7109375" style="1" customWidth="1"/>
    <col min="12" max="12" width="16.5703125" style="1" customWidth="1"/>
    <col min="13" max="13" width="12.140625" style="1" customWidth="1"/>
    <col min="14" max="14" width="35.5703125" style="88" customWidth="1"/>
    <col min="15" max="15" width="22.42578125" style="1" customWidth="1"/>
    <col min="16" max="16" width="28.85546875" style="88" customWidth="1"/>
    <col min="17" max="17" width="9.140625" style="1"/>
    <col min="18" max="18" width="22.28515625" style="88" customWidth="1"/>
    <col min="19" max="19" width="48" style="88" customWidth="1"/>
    <col min="20" max="20" width="30" style="1" customWidth="1"/>
    <col min="23" max="23" width="11.7109375" customWidth="1"/>
    <col min="24" max="24" width="14.7109375" customWidth="1"/>
  </cols>
  <sheetData>
    <row r="1" spans="1:24" ht="15.75">
      <c r="A1" s="266" t="s">
        <v>6583</v>
      </c>
      <c r="B1" s="266"/>
      <c r="C1" s="266"/>
      <c r="D1" s="266"/>
      <c r="E1" s="266"/>
      <c r="F1" s="266"/>
      <c r="G1" s="266"/>
      <c r="H1" s="266"/>
      <c r="I1" s="266"/>
      <c r="J1" s="266"/>
      <c r="K1" s="266"/>
      <c r="L1" s="266"/>
      <c r="M1" s="266"/>
      <c r="N1" s="266"/>
      <c r="O1" s="266"/>
      <c r="P1" s="266"/>
      <c r="Q1" s="266"/>
      <c r="R1" s="266"/>
      <c r="S1" s="266"/>
      <c r="T1" s="266"/>
      <c r="U1" s="266"/>
      <c r="V1" s="266"/>
      <c r="W1" s="266"/>
      <c r="X1" s="266"/>
    </row>
    <row r="2" spans="1:24" ht="15.75">
      <c r="A2" s="265" t="s">
        <v>717</v>
      </c>
      <c r="B2" s="265" t="s">
        <v>6584</v>
      </c>
      <c r="C2" s="265" t="s">
        <v>6818</v>
      </c>
      <c r="D2" s="265" t="s">
        <v>6585</v>
      </c>
      <c r="E2" s="265" t="s">
        <v>6586</v>
      </c>
      <c r="F2" s="265" t="s">
        <v>3</v>
      </c>
      <c r="G2" s="265" t="s">
        <v>4</v>
      </c>
      <c r="H2" s="268" t="s">
        <v>9</v>
      </c>
      <c r="I2" s="268" t="s">
        <v>10</v>
      </c>
      <c r="J2" s="265" t="s">
        <v>6587</v>
      </c>
      <c r="K2" s="265" t="s">
        <v>6588</v>
      </c>
      <c r="L2" s="265" t="s">
        <v>6589</v>
      </c>
      <c r="M2" s="265"/>
      <c r="N2" s="265"/>
      <c r="O2" s="265"/>
      <c r="P2" s="265"/>
      <c r="Q2" s="265"/>
      <c r="R2" s="265"/>
      <c r="S2" s="265"/>
    </row>
    <row r="3" spans="1:24" ht="51" customHeight="1">
      <c r="A3" s="267"/>
      <c r="B3" s="265"/>
      <c r="C3" s="265"/>
      <c r="D3" s="265"/>
      <c r="E3" s="265"/>
      <c r="F3" s="265"/>
      <c r="G3" s="265"/>
      <c r="H3" s="268"/>
      <c r="I3" s="268"/>
      <c r="J3" s="265"/>
      <c r="K3" s="265"/>
      <c r="L3" s="222" t="s">
        <v>6590</v>
      </c>
      <c r="M3" s="265" t="s">
        <v>6591</v>
      </c>
      <c r="N3" s="265"/>
      <c r="O3" s="265" t="s">
        <v>6592</v>
      </c>
      <c r="P3" s="265"/>
      <c r="Q3" s="265" t="s">
        <v>6593</v>
      </c>
      <c r="R3" s="265"/>
      <c r="S3" s="222" t="s">
        <v>6594</v>
      </c>
    </row>
    <row r="4" spans="1:24">
      <c r="A4" s="1">
        <v>1</v>
      </c>
      <c r="C4" s="23" t="s">
        <v>6851</v>
      </c>
      <c r="D4" s="23" t="str">
        <f>VLOOKUP(G4,ОКТМО!B:G,6,0)</f>
        <v>Амгинский муниципальный район</v>
      </c>
      <c r="E4" s="1" t="s">
        <v>458</v>
      </c>
      <c r="F4" s="1" t="str">
        <f>VLOOKUP(G4,ОКТМО!B:M,12,0)</f>
        <v>Амга</v>
      </c>
      <c r="G4" s="1">
        <v>98608432101</v>
      </c>
      <c r="H4" s="1" t="str">
        <f>VLOOKUP(G4,ОКТМО!N:R,4,0)</f>
        <v>60.8972222222222</v>
      </c>
      <c r="I4" s="1" t="str">
        <f>VLOOKUP(G4,ОКТМО!N:R,5,0)</f>
        <v>131.980555555556</v>
      </c>
      <c r="J4" s="1">
        <v>925</v>
      </c>
      <c r="K4" s="1">
        <v>413</v>
      </c>
      <c r="L4" s="1">
        <v>64</v>
      </c>
      <c r="M4" s="1">
        <v>3</v>
      </c>
      <c r="N4" s="88" t="s">
        <v>6865</v>
      </c>
      <c r="O4" s="1" t="s">
        <v>535</v>
      </c>
      <c r="P4" s="88" t="s">
        <v>6820</v>
      </c>
      <c r="Q4" s="1" t="s">
        <v>535</v>
      </c>
      <c r="R4" s="88" t="s">
        <v>535</v>
      </c>
      <c r="S4" s="88" t="s">
        <v>535</v>
      </c>
      <c r="T4" s="1" t="str">
        <f>F4</f>
        <v>Амга</v>
      </c>
    </row>
    <row r="5" spans="1:24">
      <c r="A5" s="1">
        <v>2</v>
      </c>
      <c r="C5" s="23" t="s">
        <v>6851</v>
      </c>
      <c r="D5" s="23" t="str">
        <f>VLOOKUP(G5,ОКТМО!B:G,6,0)</f>
        <v>Амгинский муниципальный район</v>
      </c>
      <c r="E5" s="1" t="s">
        <v>458</v>
      </c>
      <c r="F5" s="1" t="str">
        <f>VLOOKUP(G5,ОКТМО!B:M,12,0)</f>
        <v>Чапчылган</v>
      </c>
      <c r="G5" s="1">
        <v>98608472101</v>
      </c>
      <c r="H5" s="1" t="str">
        <f>VLOOKUP(G5,ОКТМО!N:R,4,0)</f>
        <v>60.9133333333333</v>
      </c>
      <c r="I5" s="1" t="str">
        <f>VLOOKUP(G5,ОКТМО!N:R,5,0)</f>
        <v>132.031111111111</v>
      </c>
      <c r="J5" s="1">
        <v>925</v>
      </c>
      <c r="K5" s="1">
        <v>338</v>
      </c>
      <c r="L5" s="1">
        <v>109</v>
      </c>
      <c r="M5" s="1" t="s">
        <v>535</v>
      </c>
      <c r="N5" s="88" t="s">
        <v>535</v>
      </c>
      <c r="O5" s="1" t="s">
        <v>535</v>
      </c>
      <c r="P5" s="88" t="s">
        <v>535</v>
      </c>
      <c r="Q5" s="1" t="s">
        <v>535</v>
      </c>
      <c r="R5" s="88" t="s">
        <v>535</v>
      </c>
      <c r="S5" s="88" t="s">
        <v>535</v>
      </c>
      <c r="T5" s="1" t="str">
        <f t="shared" ref="T5:T68" si="0">F5</f>
        <v>Чапчылган</v>
      </c>
    </row>
    <row r="6" spans="1:24">
      <c r="A6" s="1">
        <v>3</v>
      </c>
      <c r="C6" s="23" t="s">
        <v>6851</v>
      </c>
      <c r="D6" s="23" t="str">
        <f>VLOOKUP(G6,ОКТМО!B:G,6,0)</f>
        <v>Амгинский муниципальный район</v>
      </c>
      <c r="E6" s="1" t="s">
        <v>458</v>
      </c>
      <c r="F6" s="1" t="str">
        <f>VLOOKUP(G6,ОКТМО!B:M,12,0)</f>
        <v>Абага</v>
      </c>
      <c r="G6" s="1">
        <v>98608405101</v>
      </c>
      <c r="H6" s="1" t="str">
        <f>VLOOKUP(G6,ОКТМО!N:R,4,0)</f>
        <v>61.0430555555556</v>
      </c>
      <c r="I6" s="1" t="str">
        <f>VLOOKUP(G6,ОКТМО!N:R,5,0)</f>
        <v>132.283333333333</v>
      </c>
      <c r="J6" s="1">
        <v>960</v>
      </c>
      <c r="K6" s="1">
        <v>174</v>
      </c>
      <c r="L6" s="1">
        <v>45</v>
      </c>
      <c r="M6" s="1" t="s">
        <v>535</v>
      </c>
      <c r="N6" s="88" t="s">
        <v>535</v>
      </c>
      <c r="O6" s="1" t="s">
        <v>535</v>
      </c>
      <c r="P6" s="88" t="s">
        <v>535</v>
      </c>
      <c r="Q6" s="1">
        <v>1</v>
      </c>
      <c r="R6" s="88" t="s">
        <v>6866</v>
      </c>
      <c r="S6" s="88" t="s">
        <v>535</v>
      </c>
      <c r="T6" s="1" t="str">
        <f t="shared" si="0"/>
        <v>Абага</v>
      </c>
    </row>
    <row r="7" spans="1:24" ht="30">
      <c r="A7" s="1">
        <v>4</v>
      </c>
      <c r="C7" s="23" t="s">
        <v>6851</v>
      </c>
      <c r="D7" s="23" t="str">
        <f>VLOOKUP(G7,ОКТМО!B:G,6,0)</f>
        <v>Амгинский муниципальный район</v>
      </c>
      <c r="E7" s="1" t="s">
        <v>458</v>
      </c>
      <c r="F7" s="1" t="str">
        <f>VLOOKUP(G7,ОКТМО!B:M,12,0)</f>
        <v>Мяндиги</v>
      </c>
      <c r="G7" s="1">
        <v>98608455101</v>
      </c>
      <c r="H7" s="1" t="str">
        <f>VLOOKUP(G7,ОКТМО!N:R,4,0)</f>
        <v>61.1808333333333</v>
      </c>
      <c r="I7" s="1" t="str">
        <f>VLOOKUP(G7,ОКТМО!N:R,5,0)</f>
        <v>132.551388888889</v>
      </c>
      <c r="J7" s="1">
        <v>1000</v>
      </c>
      <c r="K7" s="1">
        <v>63</v>
      </c>
      <c r="L7" s="1">
        <v>22</v>
      </c>
      <c r="M7" s="1" t="s">
        <v>535</v>
      </c>
      <c r="N7" s="88" t="s">
        <v>535</v>
      </c>
      <c r="O7" s="1" t="s">
        <v>535</v>
      </c>
      <c r="P7" s="88" t="s">
        <v>535</v>
      </c>
      <c r="Q7" s="1">
        <v>2</v>
      </c>
      <c r="R7" s="88" t="s">
        <v>6867</v>
      </c>
      <c r="S7" s="88" t="s">
        <v>535</v>
      </c>
      <c r="T7" s="1" t="str">
        <f t="shared" si="0"/>
        <v>Мяндиги</v>
      </c>
    </row>
    <row r="8" spans="1:24">
      <c r="A8" s="1">
        <v>5</v>
      </c>
      <c r="C8" s="23" t="s">
        <v>6851</v>
      </c>
      <c r="D8" s="23" t="str">
        <f>VLOOKUP(G8,ОКТМО!B:G,6,0)</f>
        <v>Амгинский муниципальный район</v>
      </c>
      <c r="E8" s="1" t="s">
        <v>458</v>
      </c>
      <c r="F8" s="1" t="str">
        <f>VLOOKUP(G8,ОКТМО!B:M,12,0)</f>
        <v>Оннёс</v>
      </c>
      <c r="G8" s="1">
        <v>98608429101</v>
      </c>
      <c r="H8" s="1" t="str">
        <f>VLOOKUP(G8,ОКТМО!N:R,4,0)</f>
        <v>60.4613888888889</v>
      </c>
      <c r="I8" s="1" t="str">
        <f>VLOOKUP(G8,ОКТМО!N:R,5,0)</f>
        <v>131.099444444444</v>
      </c>
      <c r="J8" s="1" t="s">
        <v>535</v>
      </c>
      <c r="K8" s="1">
        <v>3</v>
      </c>
      <c r="L8" s="1">
        <v>12</v>
      </c>
      <c r="M8" s="1" t="s">
        <v>535</v>
      </c>
      <c r="N8" s="88" t="s">
        <v>535</v>
      </c>
      <c r="O8" s="1" t="s">
        <v>535</v>
      </c>
      <c r="P8" s="88" t="s">
        <v>535</v>
      </c>
      <c r="Q8" s="1" t="s">
        <v>535</v>
      </c>
      <c r="R8" s="88" t="s">
        <v>535</v>
      </c>
      <c r="S8" s="88" t="s">
        <v>535</v>
      </c>
      <c r="T8" s="1" t="str">
        <f t="shared" si="0"/>
        <v>Оннёс</v>
      </c>
    </row>
    <row r="9" spans="1:24">
      <c r="A9" s="1">
        <v>6</v>
      </c>
      <c r="C9" s="23" t="s">
        <v>6851</v>
      </c>
      <c r="D9" s="23" t="str">
        <f>VLOOKUP(G9,ОКТМО!B:G,6,0)</f>
        <v>Амгинский муниципальный район</v>
      </c>
      <c r="E9" s="1" t="s">
        <v>458</v>
      </c>
      <c r="F9" s="1" t="str">
        <f>VLOOKUP(G9,ОКТМО!B:M,12,0)</f>
        <v>Сатагай</v>
      </c>
      <c r="G9" s="1">
        <v>98608458101</v>
      </c>
      <c r="H9" s="1" t="str">
        <f>VLOOKUP(G9,ОКТМО!N:R,4,0)</f>
        <v>61.5658333333333</v>
      </c>
      <c r="I9" s="1" t="str">
        <f>VLOOKUP(G9,ОКТМО!N:R,5,0)</f>
        <v>131.529722222222</v>
      </c>
      <c r="J9" s="1">
        <v>433</v>
      </c>
      <c r="K9" s="1">
        <v>93</v>
      </c>
      <c r="L9" s="1">
        <v>22</v>
      </c>
      <c r="M9" s="1" t="s">
        <v>535</v>
      </c>
      <c r="N9" s="88" t="s">
        <v>535</v>
      </c>
      <c r="O9" s="1" t="s">
        <v>535</v>
      </c>
      <c r="P9" s="88" t="s">
        <v>535</v>
      </c>
      <c r="Q9" s="1" t="s">
        <v>535</v>
      </c>
      <c r="R9" s="88" t="s">
        <v>535</v>
      </c>
      <c r="S9" s="88" t="s">
        <v>535</v>
      </c>
      <c r="T9" s="1" t="str">
        <f t="shared" si="0"/>
        <v>Сатагай</v>
      </c>
    </row>
    <row r="10" spans="1:24">
      <c r="A10" s="1">
        <v>7</v>
      </c>
      <c r="C10" s="23" t="s">
        <v>6851</v>
      </c>
      <c r="D10" s="23" t="str">
        <f>VLOOKUP(G10,ОКТМО!B:G,6,0)</f>
        <v>Амгинский муниципальный район</v>
      </c>
      <c r="E10" s="1" t="s">
        <v>458</v>
      </c>
      <c r="F10" s="1" t="str">
        <f>VLOOKUP(G10,ОКТМО!B:M,12,0)</f>
        <v>Алтанцы</v>
      </c>
      <c r="G10" s="1">
        <v>98608414101</v>
      </c>
      <c r="H10" s="1" t="str">
        <f>VLOOKUP(G10,ОКТМО!N:R,4,0)</f>
        <v>61.4702777777778</v>
      </c>
      <c r="I10" s="1" t="str">
        <f>VLOOKUP(G10,ОКТМО!N:R,5,0)</f>
        <v>131.501944444444</v>
      </c>
      <c r="J10" s="1">
        <v>632</v>
      </c>
      <c r="K10" s="1">
        <v>145</v>
      </c>
      <c r="L10" s="1">
        <v>49</v>
      </c>
      <c r="M10" s="1" t="s">
        <v>535</v>
      </c>
      <c r="N10" s="88" t="s">
        <v>535</v>
      </c>
      <c r="O10" s="1" t="s">
        <v>535</v>
      </c>
      <c r="P10" s="88" t="s">
        <v>535</v>
      </c>
      <c r="Q10" s="1">
        <v>1</v>
      </c>
      <c r="R10" s="88" t="s">
        <v>6868</v>
      </c>
      <c r="S10" s="88" t="s">
        <v>535</v>
      </c>
      <c r="T10" s="1" t="str">
        <f t="shared" si="0"/>
        <v>Алтанцы</v>
      </c>
    </row>
    <row r="11" spans="1:24" ht="45">
      <c r="A11" s="1">
        <v>8</v>
      </c>
      <c r="C11" s="23" t="s">
        <v>6851</v>
      </c>
      <c r="D11" s="23" t="str">
        <f>VLOOKUP(G11,ОКТМО!B:G,6,0)</f>
        <v>Анабарский национальный (долгано-эвенкийский) муниципальный район</v>
      </c>
      <c r="E11" s="1" t="s">
        <v>566</v>
      </c>
      <c r="F11" s="1" t="str">
        <f>VLOOKUP(G11,ОКТМО!B:M,12,0)</f>
        <v>Саскылах</v>
      </c>
      <c r="G11" s="1">
        <v>98610411101</v>
      </c>
      <c r="H11" s="1" t="str">
        <f>VLOOKUP(G11,ОКТМО!N:R,4,0)</f>
        <v>71.9652777777778</v>
      </c>
      <c r="I11" s="1" t="str">
        <f>VLOOKUP(G11,ОКТМО!N:R,5,0)</f>
        <v>114.092222222222</v>
      </c>
      <c r="J11" s="1">
        <v>1170</v>
      </c>
      <c r="K11" s="1">
        <v>98</v>
      </c>
      <c r="L11" s="1">
        <v>15</v>
      </c>
      <c r="M11" s="1" t="s">
        <v>535</v>
      </c>
      <c r="N11" s="88" t="s">
        <v>535</v>
      </c>
      <c r="O11" s="1">
        <v>3</v>
      </c>
      <c r="P11" s="88" t="s">
        <v>6870</v>
      </c>
      <c r="Q11" s="1">
        <v>1</v>
      </c>
      <c r="R11" s="88" t="s">
        <v>6869</v>
      </c>
      <c r="S11" s="88" t="s">
        <v>535</v>
      </c>
      <c r="T11" s="1" t="str">
        <f t="shared" si="0"/>
        <v>Саскылах</v>
      </c>
    </row>
    <row r="12" spans="1:24">
      <c r="A12" s="1">
        <v>9</v>
      </c>
      <c r="C12" s="23" t="s">
        <v>6851</v>
      </c>
      <c r="D12" s="23" t="str">
        <f>VLOOKUP(G12,ОКТМО!B:G,6,0)</f>
        <v>Анабарский национальный (долгано-эвенкийский) муниципальный район</v>
      </c>
      <c r="E12" s="1" t="s">
        <v>566</v>
      </c>
      <c r="F12" s="1" t="str">
        <f>VLOOKUP(G12,ОКТМО!B:M,12,0)</f>
        <v>Юрюнг-Хая</v>
      </c>
      <c r="G12" s="1">
        <v>98610424101</v>
      </c>
      <c r="H12" s="1" t="str">
        <f>VLOOKUP(G12,ОКТМО!N:R,4,0)</f>
        <v>72.8119444444444</v>
      </c>
      <c r="I12" s="1" t="str">
        <f>VLOOKUP(G12,ОКТМО!N:R,5,0)</f>
        <v>113.232222222222</v>
      </c>
      <c r="J12" s="1" t="s">
        <v>535</v>
      </c>
      <c r="K12" s="1" t="s">
        <v>535</v>
      </c>
      <c r="L12" s="1" t="s">
        <v>535</v>
      </c>
      <c r="M12" s="1" t="s">
        <v>535</v>
      </c>
      <c r="N12" s="88" t="s">
        <v>535</v>
      </c>
      <c r="O12" s="1" t="s">
        <v>535</v>
      </c>
      <c r="P12" s="88" t="s">
        <v>535</v>
      </c>
      <c r="Q12" s="1" t="s">
        <v>535</v>
      </c>
      <c r="R12" s="88" t="s">
        <v>535</v>
      </c>
      <c r="S12" s="88" t="s">
        <v>535</v>
      </c>
      <c r="T12" s="1" t="str">
        <f t="shared" si="0"/>
        <v>Юрюнг-Хая</v>
      </c>
    </row>
    <row r="13" spans="1:24">
      <c r="A13" s="1">
        <v>10</v>
      </c>
      <c r="C13" s="23" t="s">
        <v>6851</v>
      </c>
      <c r="D13" s="23" t="str">
        <f>VLOOKUP(G13,ОКТМО!B:G,6,0)</f>
        <v>Аллаиховский муниципальный район</v>
      </c>
      <c r="E13" s="1" t="s">
        <v>6819</v>
      </c>
      <c r="F13" s="1" t="str">
        <f>VLOOKUP(G13,ОКТМО!B:M,12,0)</f>
        <v>Чкалов</v>
      </c>
      <c r="G13" s="1">
        <v>98606424101</v>
      </c>
      <c r="H13" s="1" t="str">
        <f>VLOOKUP(G13,ОКТМО!N:R,4,0)</f>
        <v>70.5327777777778</v>
      </c>
      <c r="I13" s="1" t="str">
        <f>VLOOKUP(G13,ОКТМО!N:R,5,0)</f>
        <v>144.7025</v>
      </c>
      <c r="J13" s="1">
        <v>187</v>
      </c>
      <c r="K13" s="1">
        <v>81</v>
      </c>
      <c r="L13" s="1">
        <v>16</v>
      </c>
      <c r="M13" s="1">
        <v>5</v>
      </c>
      <c r="N13" s="88">
        <v>5</v>
      </c>
      <c r="O13" s="1">
        <v>2</v>
      </c>
      <c r="P13" s="88">
        <v>2</v>
      </c>
      <c r="Q13" s="1">
        <v>2</v>
      </c>
      <c r="R13" s="88">
        <v>2</v>
      </c>
      <c r="S13" s="88" t="s">
        <v>535</v>
      </c>
      <c r="T13" s="1" t="str">
        <f t="shared" si="0"/>
        <v>Чкалов</v>
      </c>
    </row>
    <row r="14" spans="1:24">
      <c r="A14" s="1">
        <v>11</v>
      </c>
      <c r="C14" s="23" t="s">
        <v>6851</v>
      </c>
      <c r="D14" s="23" t="str">
        <f>VLOOKUP(G14,ОКТМО!B:G,6,0)</f>
        <v>Алданский муниципальный район</v>
      </c>
      <c r="E14" s="1" t="s">
        <v>317</v>
      </c>
      <c r="F14" s="1" t="str">
        <f>VLOOKUP(G14,ОКТМО!B:M,12,0)</f>
        <v>Хатыстыр</v>
      </c>
      <c r="G14" s="1">
        <v>98603407101</v>
      </c>
      <c r="H14" s="1" t="str">
        <f>VLOOKUP(G14,ОКТМО!N:R,4,0)</f>
        <v>58.9230555555556</v>
      </c>
      <c r="I14" s="1" t="str">
        <f>VLOOKUP(G14,ОКТМО!N:R,5,0)</f>
        <v>125.16</v>
      </c>
      <c r="J14" s="1" t="s">
        <v>535</v>
      </c>
      <c r="K14" s="1">
        <v>32</v>
      </c>
      <c r="L14" s="1">
        <v>15</v>
      </c>
      <c r="M14" s="1" t="s">
        <v>535</v>
      </c>
      <c r="N14" s="88" t="s">
        <v>535</v>
      </c>
      <c r="O14" s="1" t="s">
        <v>535</v>
      </c>
      <c r="P14" s="88" t="s">
        <v>535</v>
      </c>
      <c r="Q14" s="1" t="s">
        <v>535</v>
      </c>
      <c r="R14" s="88" t="s">
        <v>535</v>
      </c>
      <c r="S14" s="88" t="s">
        <v>6822</v>
      </c>
      <c r="T14" s="1" t="str">
        <f t="shared" si="0"/>
        <v>Хатыстыр</v>
      </c>
    </row>
    <row r="15" spans="1:24">
      <c r="A15" s="1">
        <v>12</v>
      </c>
      <c r="C15" s="23" t="s">
        <v>6851</v>
      </c>
      <c r="D15" s="23" t="str">
        <f>VLOOKUP(G15,ОКТМО!B:G,6,0)</f>
        <v>Алданский муниципальный район</v>
      </c>
      <c r="E15" s="1" t="s">
        <v>317</v>
      </c>
      <c r="F15" s="1" t="str">
        <f>VLOOKUP(G15,ОКТМО!B:M,12,0)</f>
        <v>Угоян</v>
      </c>
      <c r="G15" s="1">
        <v>98603407106</v>
      </c>
      <c r="H15" s="1" t="str">
        <f>VLOOKUP(G15,ОКТМО!N:R,4,0)</f>
        <v>59.2536111111111</v>
      </c>
      <c r="I15" s="1" t="str">
        <f>VLOOKUP(G15,ОКТМО!N:R,5,0)</f>
        <v>125.290555555556</v>
      </c>
      <c r="J15" s="1" t="s">
        <v>535</v>
      </c>
      <c r="K15" s="1">
        <v>375</v>
      </c>
      <c r="L15" s="1">
        <v>62</v>
      </c>
      <c r="M15" s="1" t="s">
        <v>535</v>
      </c>
      <c r="N15" s="88" t="s">
        <v>535</v>
      </c>
      <c r="O15" s="1" t="s">
        <v>535</v>
      </c>
      <c r="P15" s="88" t="s">
        <v>535</v>
      </c>
      <c r="Q15" s="1" t="s">
        <v>535</v>
      </c>
      <c r="R15" s="88" t="s">
        <v>535</v>
      </c>
      <c r="S15" s="88" t="s">
        <v>6822</v>
      </c>
      <c r="T15" s="1" t="str">
        <f t="shared" si="0"/>
        <v>Угоян</v>
      </c>
    </row>
    <row r="16" spans="1:24">
      <c r="A16" s="1">
        <v>13</v>
      </c>
      <c r="C16" s="23" t="s">
        <v>6851</v>
      </c>
      <c r="D16" s="23" t="str">
        <f>VLOOKUP(G16,ОКТМО!B:G,6,0)</f>
        <v>Алданский муниципальный район</v>
      </c>
      <c r="E16" s="1" t="s">
        <v>317</v>
      </c>
      <c r="F16" s="1" t="str">
        <f>VLOOKUP(G16,ОКТМО!B:M,12,0)</f>
        <v>Чагда</v>
      </c>
      <c r="G16" s="1">
        <v>98603460101</v>
      </c>
      <c r="H16" s="1" t="str">
        <f>VLOOKUP(G16,ОКТМО!N:R,4,0)</f>
        <v>58.7494444444444</v>
      </c>
      <c r="I16" s="1" t="str">
        <f>VLOOKUP(G16,ОКТМО!N:R,5,0)</f>
        <v>130.608333333333</v>
      </c>
      <c r="J16" s="1">
        <v>1530</v>
      </c>
      <c r="K16" s="1">
        <v>39</v>
      </c>
      <c r="L16" s="1">
        <v>18</v>
      </c>
      <c r="M16" s="1" t="s">
        <v>535</v>
      </c>
      <c r="N16" s="88" t="s">
        <v>535</v>
      </c>
      <c r="O16" s="1" t="s">
        <v>535</v>
      </c>
      <c r="P16" s="88" t="s">
        <v>535</v>
      </c>
      <c r="Q16" s="1" t="s">
        <v>535</v>
      </c>
      <c r="R16" s="88" t="s">
        <v>535</v>
      </c>
      <c r="S16" s="88" t="s">
        <v>535</v>
      </c>
      <c r="T16" s="1" t="str">
        <f t="shared" si="0"/>
        <v>Чагда</v>
      </c>
    </row>
    <row r="17" spans="1:20">
      <c r="A17" s="1">
        <v>14</v>
      </c>
      <c r="C17" s="23" t="s">
        <v>6851</v>
      </c>
      <c r="D17" s="23" t="str">
        <f>VLOOKUP(G17,ОКТМО!B:G,6,0)</f>
        <v>Алданский муниципальный район</v>
      </c>
      <c r="E17" s="1" t="s">
        <v>317</v>
      </c>
      <c r="F17" s="1" t="str">
        <f>VLOOKUP(G17,ОКТМО!B:M,12,0)</f>
        <v>Кутана</v>
      </c>
      <c r="G17" s="1">
        <v>98603404101</v>
      </c>
      <c r="H17" s="1" t="str">
        <f>VLOOKUP(G17,ОКТМО!N:R,4,0)</f>
        <v>59.015</v>
      </c>
      <c r="I17" s="1" t="str">
        <f>VLOOKUP(G17,ОКТМО!N:R,5,0)</f>
        <v>131.744444444444</v>
      </c>
      <c r="J17" s="1" t="s">
        <v>535</v>
      </c>
      <c r="K17" s="1">
        <v>332</v>
      </c>
      <c r="L17" s="1">
        <v>107</v>
      </c>
      <c r="M17" s="1" t="s">
        <v>535</v>
      </c>
      <c r="N17" s="88" t="s">
        <v>535</v>
      </c>
      <c r="O17" s="1" t="s">
        <v>535</v>
      </c>
      <c r="P17" s="88" t="s">
        <v>535</v>
      </c>
      <c r="Q17" s="1" t="s">
        <v>535</v>
      </c>
      <c r="R17" s="88" t="s">
        <v>535</v>
      </c>
      <c r="S17" s="88" t="s">
        <v>535</v>
      </c>
      <c r="T17" s="1" t="str">
        <f t="shared" si="0"/>
        <v>Кутана</v>
      </c>
    </row>
    <row r="18" spans="1:20">
      <c r="A18" s="1">
        <v>15</v>
      </c>
      <c r="C18" s="23" t="s">
        <v>6851</v>
      </c>
      <c r="D18" s="23" t="str">
        <f>VLOOKUP(G18,ОКТМО!B:G,6,0)</f>
        <v>Булунский муниципальный район</v>
      </c>
      <c r="E18" s="1" t="s">
        <v>832</v>
      </c>
      <c r="F18" s="1" t="str">
        <f>VLOOKUP(G18,ОКТМО!B:M,12,0)</f>
        <v>Таймылыр</v>
      </c>
      <c r="G18" s="1">
        <v>98612445101</v>
      </c>
      <c r="H18" s="1" t="str">
        <f>VLOOKUP(G18,ОКТМО!N:R,4,0)</f>
        <v>72.6119444444444</v>
      </c>
      <c r="I18" s="1" t="str">
        <f>VLOOKUP(G18,ОКТМО!N:R,5,0)</f>
        <v>121.911944444444</v>
      </c>
      <c r="J18" s="1">
        <v>1400</v>
      </c>
      <c r="K18" s="1">
        <v>10</v>
      </c>
      <c r="L18" s="1">
        <v>2</v>
      </c>
      <c r="M18" s="1">
        <v>1</v>
      </c>
      <c r="N18" s="88" t="s">
        <v>6872</v>
      </c>
      <c r="O18" s="1" t="s">
        <v>535</v>
      </c>
      <c r="P18" s="88" t="s">
        <v>535</v>
      </c>
      <c r="Q18" s="1">
        <v>1</v>
      </c>
      <c r="R18" s="88" t="s">
        <v>6871</v>
      </c>
      <c r="S18" s="88" t="s">
        <v>535</v>
      </c>
      <c r="T18" s="1" t="str">
        <f t="shared" si="0"/>
        <v>Таймылыр</v>
      </c>
    </row>
    <row r="19" spans="1:20" ht="75">
      <c r="A19" s="1">
        <v>16</v>
      </c>
      <c r="C19" s="23" t="s">
        <v>6851</v>
      </c>
      <c r="D19" s="23" t="str">
        <f>VLOOKUP(G19,ОКТМО!B:G,6,0)</f>
        <v>Булунский муниципальный район</v>
      </c>
      <c r="E19" s="1" t="s">
        <v>11</v>
      </c>
      <c r="F19" s="1" t="str">
        <f>VLOOKUP(G19,ОКТМО!B:M,12,0)</f>
        <v>Кюсюр</v>
      </c>
      <c r="G19" s="1">
        <v>98612412101</v>
      </c>
      <c r="H19" s="1" t="str">
        <f>VLOOKUP(G19,ОКТМО!N:R,4,0)</f>
        <v>70.6861111111111</v>
      </c>
      <c r="I19" s="1" t="str">
        <f>VLOOKUP(G19,ОКТМО!N:R,5,0)</f>
        <v>127.361666666667</v>
      </c>
      <c r="J19" s="1">
        <v>3100</v>
      </c>
      <c r="K19" s="1">
        <v>175</v>
      </c>
      <c r="L19" s="1">
        <v>32</v>
      </c>
      <c r="M19" s="1">
        <v>2</v>
      </c>
      <c r="N19" s="88" t="s">
        <v>6873</v>
      </c>
      <c r="O19" s="1" t="s">
        <v>535</v>
      </c>
      <c r="P19" s="88" t="s">
        <v>535</v>
      </c>
      <c r="Q19" s="1">
        <v>3</v>
      </c>
      <c r="R19" s="88" t="s">
        <v>6874</v>
      </c>
      <c r="S19" s="88" t="s">
        <v>535</v>
      </c>
      <c r="T19" s="1" t="str">
        <f t="shared" si="0"/>
        <v>Кюсюр</v>
      </c>
    </row>
    <row r="20" spans="1:20" ht="60">
      <c r="A20" s="1">
        <v>17</v>
      </c>
      <c r="C20" s="23" t="s">
        <v>6851</v>
      </c>
      <c r="D20" s="23" t="str">
        <f>VLOOKUP(G20,ОКТМО!B:G,6,0)</f>
        <v>Верхоянский муниципальный район</v>
      </c>
      <c r="E20" s="1" t="s">
        <v>588</v>
      </c>
      <c r="F20" s="1" t="str">
        <f>VLOOKUP(G20,ОКТМО!B:M,12,0)</f>
        <v>Верхоянск</v>
      </c>
      <c r="G20" s="1">
        <v>98616103001</v>
      </c>
      <c r="H20" s="1" t="str">
        <f>VLOOKUP(G20,ОКТМО!N:R,4,0)</f>
        <v>67.55</v>
      </c>
      <c r="I20" s="1" t="str">
        <f>VLOOKUP(G20,ОКТМО!N:R,5,0)</f>
        <v>133.383333333333</v>
      </c>
      <c r="J20" s="1">
        <v>1020</v>
      </c>
      <c r="K20" s="1">
        <v>450</v>
      </c>
      <c r="L20" s="1">
        <v>98</v>
      </c>
      <c r="M20" s="1">
        <v>6</v>
      </c>
      <c r="N20" s="88" t="s">
        <v>6875</v>
      </c>
      <c r="O20" s="1" t="s">
        <v>535</v>
      </c>
      <c r="P20" s="88" t="s">
        <v>535</v>
      </c>
      <c r="Q20" s="1">
        <v>3</v>
      </c>
      <c r="R20" s="88" t="s">
        <v>6876</v>
      </c>
      <c r="S20" s="88" t="s">
        <v>6824</v>
      </c>
      <c r="T20" s="1" t="str">
        <f t="shared" si="0"/>
        <v>Верхоянск</v>
      </c>
    </row>
    <row r="21" spans="1:20">
      <c r="A21" s="1">
        <v>18</v>
      </c>
      <c r="C21" s="23" t="s">
        <v>6851</v>
      </c>
      <c r="D21" s="23" t="str">
        <f>VLOOKUP(G21,ОКТМО!B:G,6,0)</f>
        <v>Верхоянский муниципальный район</v>
      </c>
      <c r="E21" s="1" t="s">
        <v>588</v>
      </c>
      <c r="F21" s="1" t="str">
        <f>VLOOKUP(G21,ОКТМО!B:M,12,0)</f>
        <v>Батагай</v>
      </c>
      <c r="G21" s="1">
        <v>98616151051</v>
      </c>
      <c r="H21" s="1" t="str">
        <f>VLOOKUP(G21,ОКТМО!N:R,4,0)</f>
        <v>67.6536111111111</v>
      </c>
      <c r="I21" s="1" t="str">
        <f>VLOOKUP(G21,ОКТМО!N:R,5,0)</f>
        <v>134.631944444444</v>
      </c>
      <c r="J21" s="1">
        <v>970</v>
      </c>
      <c r="K21" s="1">
        <v>16</v>
      </c>
      <c r="L21" s="1">
        <v>10</v>
      </c>
      <c r="M21" s="1" t="s">
        <v>535</v>
      </c>
      <c r="N21" s="88" t="s">
        <v>535</v>
      </c>
      <c r="O21" s="1">
        <v>1</v>
      </c>
      <c r="P21" s="88">
        <v>1</v>
      </c>
      <c r="Q21" s="1" t="s">
        <v>535</v>
      </c>
      <c r="R21" s="88" t="s">
        <v>535</v>
      </c>
      <c r="S21" s="88" t="s">
        <v>535</v>
      </c>
      <c r="T21" s="1" t="str">
        <f t="shared" si="0"/>
        <v>Батагай</v>
      </c>
    </row>
    <row r="22" spans="1:20" ht="45">
      <c r="A22" s="1">
        <v>19</v>
      </c>
      <c r="C22" s="23" t="s">
        <v>6851</v>
      </c>
      <c r="D22" s="23" t="str">
        <f>VLOOKUP(G22,ОКТМО!B:G,6,0)</f>
        <v>Верхнеколымский муниципальный район</v>
      </c>
      <c r="E22" s="1" t="s">
        <v>666</v>
      </c>
      <c r="F22" s="1" t="str">
        <f>VLOOKUP(G22,ОКТМО!B:M,12,0)</f>
        <v>Зырянка</v>
      </c>
      <c r="G22" s="1">
        <v>98615151051</v>
      </c>
      <c r="H22" s="1" t="str">
        <f>VLOOKUP(G22,ОКТМО!N:R,4,0)</f>
        <v>65.7344444444444</v>
      </c>
      <c r="I22" s="1" t="str">
        <f>VLOOKUP(G22,ОКТМО!N:R,5,0)</f>
        <v>150.897777777778</v>
      </c>
      <c r="J22" s="1">
        <v>770</v>
      </c>
      <c r="K22" s="1">
        <v>806</v>
      </c>
      <c r="L22" s="1">
        <v>54</v>
      </c>
      <c r="M22" s="1">
        <v>1</v>
      </c>
      <c r="N22" s="88" t="s">
        <v>6877</v>
      </c>
      <c r="O22" s="1">
        <v>2</v>
      </c>
      <c r="P22" s="88" t="s">
        <v>6878</v>
      </c>
      <c r="Q22" s="1">
        <v>2</v>
      </c>
      <c r="R22" s="88" t="s">
        <v>6879</v>
      </c>
      <c r="S22" s="88" t="s">
        <v>535</v>
      </c>
      <c r="T22" s="1" t="str">
        <f t="shared" si="0"/>
        <v>Зырянка</v>
      </c>
    </row>
    <row r="23" spans="1:20">
      <c r="A23" s="1">
        <v>20</v>
      </c>
      <c r="C23" s="23" t="s">
        <v>6851</v>
      </c>
      <c r="D23" s="23" t="str">
        <f>VLOOKUP(G23,ОКТМО!B:G,6,0)</f>
        <v>Верхнеколымский муниципальный район</v>
      </c>
      <c r="E23" s="1" t="s">
        <v>697</v>
      </c>
      <c r="F23" s="1" t="str">
        <f>VLOOKUP(G23,ОКТМО!B:M,12,0)</f>
        <v>Верхнеколымск</v>
      </c>
      <c r="G23" s="1">
        <v>98615409101</v>
      </c>
      <c r="H23" s="1" t="str">
        <f>VLOOKUP(G23,ОКТМО!N:R,4,0)</f>
        <v>65.7183333333333</v>
      </c>
      <c r="I23" s="1" t="str">
        <f>VLOOKUP(G23,ОКТМО!N:R,5,0)</f>
        <v>150.833055555556</v>
      </c>
      <c r="J23" s="1" t="s">
        <v>535</v>
      </c>
      <c r="K23" s="1">
        <v>188</v>
      </c>
      <c r="L23" s="1">
        <v>33</v>
      </c>
      <c r="M23" s="1">
        <v>3</v>
      </c>
      <c r="N23" s="88" t="s">
        <v>6880</v>
      </c>
      <c r="O23" s="1">
        <v>1</v>
      </c>
      <c r="P23" s="88" t="s">
        <v>6881</v>
      </c>
      <c r="Q23" s="1" t="s">
        <v>535</v>
      </c>
      <c r="R23" s="88" t="s">
        <v>535</v>
      </c>
      <c r="S23" s="88" t="s">
        <v>535</v>
      </c>
      <c r="T23" s="1" t="str">
        <f t="shared" si="0"/>
        <v>Верхнеколымск</v>
      </c>
    </row>
    <row r="24" spans="1:20" ht="45">
      <c r="A24" s="1">
        <v>21</v>
      </c>
      <c r="C24" s="23" t="s">
        <v>6851</v>
      </c>
      <c r="D24" s="23" t="str">
        <f>VLOOKUP(G24,ОКТМО!B:G,6,0)</f>
        <v>Вилюйский муниципальный район</v>
      </c>
      <c r="E24" s="88" t="s">
        <v>488</v>
      </c>
      <c r="F24" s="1" t="str">
        <f>VLOOKUP(G24,ОКТМО!B:M,12,0)</f>
        <v>Староватово</v>
      </c>
      <c r="G24" s="1">
        <v>98618462106</v>
      </c>
      <c r="H24" s="1" t="str">
        <f>VLOOKUP(G24,ОКТМО!N:R,4,0)</f>
        <v>63.7836111111111</v>
      </c>
      <c r="I24" s="1" t="str">
        <f>VLOOKUP(G24,ОКТМО!N:R,5,0)</f>
        <v>121.624444444444</v>
      </c>
      <c r="J24" s="1">
        <v>980</v>
      </c>
      <c r="K24" s="1">
        <v>38</v>
      </c>
      <c r="L24" s="1">
        <v>10</v>
      </c>
      <c r="M24" s="1">
        <v>1</v>
      </c>
      <c r="N24" s="88" t="s">
        <v>6882</v>
      </c>
      <c r="O24" s="1">
        <v>1</v>
      </c>
      <c r="P24" s="88" t="s">
        <v>6883</v>
      </c>
      <c r="Q24" s="1">
        <v>1</v>
      </c>
      <c r="R24" s="88" t="s">
        <v>6884</v>
      </c>
      <c r="S24" s="88">
        <v>1</v>
      </c>
      <c r="T24" s="1" t="str">
        <f t="shared" si="0"/>
        <v>Староватово</v>
      </c>
    </row>
    <row r="25" spans="1:20">
      <c r="A25" s="1">
        <v>22</v>
      </c>
      <c r="C25" s="23" t="s">
        <v>6851</v>
      </c>
      <c r="D25" s="23" t="str">
        <f>VLOOKUP(G25,ОКТМО!B:G,6,0)</f>
        <v>Кобяйский муниципальный район</v>
      </c>
      <c r="E25" s="1" t="s">
        <v>11</v>
      </c>
      <c r="F25" s="1" t="str">
        <f>VLOOKUP(G25,ОКТМО!B:M,12,0)</f>
        <v>Батамай</v>
      </c>
      <c r="G25" s="1">
        <v>98624414106</v>
      </c>
      <c r="H25" s="1" t="str">
        <f>VLOOKUP(G25,ОКТМО!N:R,4,0)</f>
        <v>63.5247222222222</v>
      </c>
      <c r="I25" s="1" t="str">
        <f>VLOOKUP(G25,ОКТМО!N:R,5,0)</f>
        <v>129.418611111111</v>
      </c>
      <c r="J25" s="1" t="s">
        <v>535</v>
      </c>
      <c r="K25" s="1" t="s">
        <v>535</v>
      </c>
      <c r="L25" s="1" t="s">
        <v>535</v>
      </c>
      <c r="M25" s="1">
        <v>3</v>
      </c>
      <c r="N25" s="88" t="s">
        <v>6885</v>
      </c>
      <c r="O25" s="1" t="s">
        <v>535</v>
      </c>
      <c r="P25" s="88" t="s">
        <v>535</v>
      </c>
      <c r="Q25" s="1" t="s">
        <v>535</v>
      </c>
      <c r="R25" s="88" t="s">
        <v>535</v>
      </c>
      <c r="S25" s="88" t="s">
        <v>535</v>
      </c>
      <c r="T25" s="1" t="str">
        <f t="shared" si="0"/>
        <v>Батамай</v>
      </c>
    </row>
    <row r="26" spans="1:20">
      <c r="A26" s="1">
        <v>23</v>
      </c>
      <c r="C26" s="23" t="s">
        <v>6851</v>
      </c>
      <c r="D26" s="23" t="str">
        <f>VLOOKUP(G26,ОКТМО!B:G,6,0)</f>
        <v>Кобяйский муниципальный район</v>
      </c>
      <c r="E26" s="1" t="s">
        <v>11</v>
      </c>
      <c r="F26" s="1" t="str">
        <f>VLOOKUP(G26,ОКТМО!B:M,12,0)</f>
        <v>Ситте</v>
      </c>
      <c r="G26" s="1">
        <v>98624450101</v>
      </c>
      <c r="H26" s="1" t="str">
        <f>VLOOKUP(G26,ОКТМО!N:R,4,0)</f>
        <v>63.4883333333333</v>
      </c>
      <c r="I26" s="1" t="str">
        <f>VLOOKUP(G26,ОКТМО!N:R,5,0)</f>
        <v>128.035277777778</v>
      </c>
      <c r="J26" s="1">
        <v>1140</v>
      </c>
      <c r="K26" s="1">
        <v>215</v>
      </c>
      <c r="L26" s="1">
        <v>73</v>
      </c>
      <c r="M26" s="1">
        <v>3</v>
      </c>
      <c r="N26" s="88" t="s">
        <v>6886</v>
      </c>
      <c r="O26" s="1" t="s">
        <v>535</v>
      </c>
      <c r="P26" s="88" t="s">
        <v>535</v>
      </c>
      <c r="Q26" s="1" t="s">
        <v>535</v>
      </c>
      <c r="R26" s="88" t="s">
        <v>535</v>
      </c>
      <c r="S26" s="88" t="s">
        <v>535</v>
      </c>
      <c r="T26" s="1" t="str">
        <f t="shared" si="0"/>
        <v>Ситте</v>
      </c>
    </row>
    <row r="27" spans="1:20">
      <c r="A27" s="1">
        <v>24</v>
      </c>
      <c r="C27" s="23" t="s">
        <v>6851</v>
      </c>
      <c r="D27" s="23" t="str">
        <f>VLOOKUP(G27,ОКТМО!B:G,6,0)</f>
        <v>Кобяйский муниципальный район</v>
      </c>
      <c r="E27" s="1" t="s">
        <v>11</v>
      </c>
      <c r="F27" s="1" t="str">
        <f>VLOOKUP(G27,ОКТМО!B:M,12,0)</f>
        <v>Сангар</v>
      </c>
      <c r="G27" s="1">
        <v>98624151051</v>
      </c>
      <c r="H27" s="1" t="str">
        <f>VLOOKUP(G27,ОКТМО!N:R,4,0)</f>
        <v>63.9194444444444</v>
      </c>
      <c r="I27" s="1" t="str">
        <f>VLOOKUP(G27,ОКТМО!N:R,5,0)</f>
        <v>127.485833333333</v>
      </c>
      <c r="J27" s="1" t="s">
        <v>535</v>
      </c>
      <c r="K27" s="1">
        <v>57</v>
      </c>
      <c r="L27" s="1">
        <v>15</v>
      </c>
      <c r="M27" s="1">
        <v>3</v>
      </c>
      <c r="N27" s="88" t="s">
        <v>6887</v>
      </c>
      <c r="O27" s="1">
        <v>1</v>
      </c>
      <c r="P27" s="88" t="s">
        <v>6888</v>
      </c>
      <c r="Q27" s="1" t="s">
        <v>535</v>
      </c>
      <c r="R27" s="88" t="s">
        <v>535</v>
      </c>
      <c r="S27" s="88" t="s">
        <v>535</v>
      </c>
      <c r="T27" s="1" t="str">
        <f t="shared" si="0"/>
        <v>Сангар</v>
      </c>
    </row>
    <row r="28" spans="1:20">
      <c r="A28" s="1">
        <v>25</v>
      </c>
      <c r="C28" s="23" t="s">
        <v>6851</v>
      </c>
      <c r="D28" s="23" t="str">
        <f>VLOOKUP(G28,ОКТМО!B:G,6,0)</f>
        <v>Кобяйский муниципальный район</v>
      </c>
      <c r="E28" s="1" t="s">
        <v>11</v>
      </c>
      <c r="F28" s="1" t="str">
        <f>VLOOKUP(G28,ОКТМО!B:M,12,0)</f>
        <v>Аргас</v>
      </c>
      <c r="G28" s="1">
        <v>98624424101</v>
      </c>
      <c r="H28" s="1" t="str">
        <f>VLOOKUP(G28,ОКТМО!N:R,4,0)</f>
        <v>63.9633333333333</v>
      </c>
      <c r="I28" s="1" t="str">
        <f>VLOOKUP(G28,ОКТМО!N:R,5,0)</f>
        <v>126.621944444444</v>
      </c>
      <c r="J28" s="1">
        <v>1315</v>
      </c>
      <c r="K28" s="1">
        <v>70</v>
      </c>
      <c r="L28" s="1">
        <v>26</v>
      </c>
      <c r="M28" s="1">
        <v>2</v>
      </c>
      <c r="N28" s="88" t="s">
        <v>6889</v>
      </c>
      <c r="O28" s="1" t="s">
        <v>535</v>
      </c>
      <c r="P28" s="88" t="s">
        <v>535</v>
      </c>
      <c r="Q28" s="1" t="s">
        <v>535</v>
      </c>
      <c r="R28" s="88" t="s">
        <v>535</v>
      </c>
      <c r="S28" s="88" t="s">
        <v>535</v>
      </c>
      <c r="T28" s="1" t="str">
        <f t="shared" si="0"/>
        <v>Аргас</v>
      </c>
    </row>
    <row r="29" spans="1:20">
      <c r="A29" s="1">
        <v>26</v>
      </c>
      <c r="C29" s="23" t="s">
        <v>6851</v>
      </c>
      <c r="D29" s="23" t="str">
        <f>VLOOKUP(G29,ОКТМО!B:G,6,0)</f>
        <v>Ленский муниципальный район</v>
      </c>
      <c r="E29" s="1" t="s">
        <v>45</v>
      </c>
      <c r="F29" s="1" t="str">
        <f>VLOOKUP(G29,ОКТМО!B:M,12,0)</f>
        <v>Орто-Нахара</v>
      </c>
      <c r="G29" s="1">
        <v>98627433101</v>
      </c>
      <c r="H29" s="1" t="str">
        <f>VLOOKUP(G29,ОКТМО!N:R,4,0)</f>
        <v>60.8236111111111</v>
      </c>
      <c r="I29" s="1" t="str">
        <f>VLOOKUP(G29,ОКТМО!N:R,5,0)</f>
        <v>114.324166666667</v>
      </c>
      <c r="J29" s="1">
        <v>575</v>
      </c>
      <c r="K29" s="1">
        <v>29</v>
      </c>
      <c r="L29" s="1">
        <v>20</v>
      </c>
      <c r="M29" s="1">
        <v>1</v>
      </c>
      <c r="N29" s="88" t="s">
        <v>6890</v>
      </c>
      <c r="O29" s="1" t="s">
        <v>535</v>
      </c>
      <c r="P29" s="88" t="s">
        <v>535</v>
      </c>
      <c r="Q29" s="1" t="s">
        <v>535</v>
      </c>
      <c r="R29" s="88" t="s">
        <v>535</v>
      </c>
      <c r="S29" s="88" t="s">
        <v>535</v>
      </c>
      <c r="T29" s="1" t="str">
        <f t="shared" si="0"/>
        <v>Орто-Нахара</v>
      </c>
    </row>
    <row r="30" spans="1:20" ht="30">
      <c r="A30" s="1">
        <v>27</v>
      </c>
      <c r="C30" s="23" t="s">
        <v>6851</v>
      </c>
      <c r="D30" s="23" t="str">
        <f>VLOOKUP(G30,ОКТМО!B:G,6,0)</f>
        <v>Ленский муниципальный район</v>
      </c>
      <c r="E30" s="1" t="s">
        <v>11</v>
      </c>
      <c r="F30" s="1" t="str">
        <f>VLOOKUP(G30,ОКТМО!B:M,12,0)</f>
        <v>Витим</v>
      </c>
      <c r="G30" s="1">
        <v>98627153051</v>
      </c>
      <c r="H30" s="1" t="str">
        <f>VLOOKUP(G30,ОКТМО!N:R,4,0)</f>
        <v>59.4380555555556</v>
      </c>
      <c r="I30" s="1" t="str">
        <f>VLOOKUP(G30,ОКТМО!N:R,5,0)</f>
        <v>112.560277777778</v>
      </c>
      <c r="J30" s="1">
        <v>950</v>
      </c>
      <c r="K30" s="1">
        <v>809</v>
      </c>
      <c r="L30" s="1">
        <v>157</v>
      </c>
      <c r="M30" s="1">
        <v>1</v>
      </c>
      <c r="N30" s="88" t="s">
        <v>6893</v>
      </c>
      <c r="O30" s="1">
        <v>1</v>
      </c>
      <c r="P30" s="88" t="s">
        <v>6891</v>
      </c>
      <c r="Q30" s="1">
        <v>1</v>
      </c>
      <c r="R30" s="88" t="s">
        <v>6892</v>
      </c>
      <c r="S30" s="88" t="s">
        <v>535</v>
      </c>
      <c r="T30" s="1" t="str">
        <f t="shared" si="0"/>
        <v>Витим</v>
      </c>
    </row>
    <row r="31" spans="1:20">
      <c r="A31" s="1">
        <v>28</v>
      </c>
      <c r="C31" s="23" t="s">
        <v>6851</v>
      </c>
      <c r="D31" s="23" t="str">
        <f>VLOOKUP(G31,ОКТМО!B:G,6,0)</f>
        <v>Ленский муниципальный район</v>
      </c>
      <c r="E31" s="1" t="s">
        <v>11</v>
      </c>
      <c r="F31" s="1" t="str">
        <f>VLOOKUP(G31,ОКТМО!B:M,12,0)</f>
        <v>Пеледуй</v>
      </c>
      <c r="G31" s="1">
        <v>98627157051</v>
      </c>
      <c r="H31" s="1" t="str">
        <f>VLOOKUP(G31,ОКТМО!N:R,4,0)</f>
        <v>59.6266666666667</v>
      </c>
      <c r="I31" s="1" t="str">
        <f>VLOOKUP(G31,ОКТМО!N:R,5,0)</f>
        <v>112.750555555556</v>
      </c>
      <c r="J31" s="1">
        <v>1200</v>
      </c>
      <c r="K31" s="1">
        <v>52</v>
      </c>
      <c r="L31" s="1">
        <v>19</v>
      </c>
      <c r="M31" s="1" t="s">
        <v>535</v>
      </c>
      <c r="N31" s="88" t="s">
        <v>535</v>
      </c>
      <c r="O31" s="1" t="s">
        <v>535</v>
      </c>
      <c r="P31" s="88" t="s">
        <v>535</v>
      </c>
      <c r="Q31" s="1" t="s">
        <v>535</v>
      </c>
      <c r="R31" s="88" t="s">
        <v>535</v>
      </c>
      <c r="S31" s="88" t="s">
        <v>535</v>
      </c>
      <c r="T31" s="1" t="str">
        <f t="shared" si="0"/>
        <v>Пеледуй</v>
      </c>
    </row>
    <row r="32" spans="1:20" ht="34.5" customHeight="1">
      <c r="A32" s="1">
        <v>29</v>
      </c>
      <c r="C32" s="23" t="s">
        <v>6851</v>
      </c>
      <c r="D32" s="23" t="str">
        <f>VLOOKUP(G32,ОКТМО!B:G,6,0)</f>
        <v>Намский муниципальный район</v>
      </c>
      <c r="E32" s="1" t="s">
        <v>11</v>
      </c>
      <c r="F32" s="1" t="str">
        <f>VLOOKUP(G32,ОКТМО!B:M,12,0)</f>
        <v>Ымыяхтах</v>
      </c>
      <c r="G32" s="1">
        <v>98635415101</v>
      </c>
      <c r="H32" s="1" t="str">
        <f>VLOOKUP(G32,ОКТМО!N:R,4,0)</f>
        <v>62.4561111111111</v>
      </c>
      <c r="I32" s="1" t="str">
        <f>VLOOKUP(G32,ОКТМО!N:R,5,0)</f>
        <v>129.885277777778</v>
      </c>
      <c r="J32" s="1">
        <v>800</v>
      </c>
      <c r="K32" s="1">
        <v>1156</v>
      </c>
      <c r="L32" s="1">
        <v>219</v>
      </c>
      <c r="M32" s="1">
        <v>20</v>
      </c>
      <c r="N32" s="88" t="s">
        <v>6894</v>
      </c>
      <c r="O32" s="1" t="s">
        <v>535</v>
      </c>
      <c r="P32" s="88" t="s">
        <v>535</v>
      </c>
      <c r="Q32" s="1" t="s">
        <v>535</v>
      </c>
      <c r="R32" s="88" t="s">
        <v>535</v>
      </c>
      <c r="S32" s="88" t="s">
        <v>6825</v>
      </c>
      <c r="T32" s="1" t="str">
        <f t="shared" si="0"/>
        <v>Ымыяхтах</v>
      </c>
    </row>
    <row r="33" spans="1:20" ht="77.25" customHeight="1">
      <c r="A33" s="1">
        <v>30</v>
      </c>
      <c r="C33" s="23" t="s">
        <v>6851</v>
      </c>
      <c r="D33" s="23" t="str">
        <f>VLOOKUP(G33,ОКТМО!B:G,6,0)</f>
        <v>Намский муниципальный район</v>
      </c>
      <c r="E33" s="1" t="s">
        <v>11</v>
      </c>
      <c r="F33" s="1" t="str">
        <f>VLOOKUP(G33,ОКТМО!B:M,12,0)</f>
        <v>Партизан</v>
      </c>
      <c r="G33" s="1">
        <v>98635435101</v>
      </c>
      <c r="H33" s="1" t="str">
        <f>VLOOKUP(G33,ОКТМО!N:R,4,0)</f>
        <v>62.5861111111111</v>
      </c>
      <c r="I33" s="1" t="str">
        <f>VLOOKUP(G33,ОКТМО!N:R,5,0)</f>
        <v>129.771111111111</v>
      </c>
      <c r="J33" s="1" t="s">
        <v>535</v>
      </c>
      <c r="K33" s="1" t="s">
        <v>535</v>
      </c>
      <c r="L33" s="1" t="s">
        <v>535</v>
      </c>
      <c r="M33" s="1">
        <v>12</v>
      </c>
      <c r="N33" s="88" t="s">
        <v>6895</v>
      </c>
      <c r="O33" s="1" t="s">
        <v>535</v>
      </c>
      <c r="P33" s="88" t="s">
        <v>535</v>
      </c>
      <c r="Q33" s="1" t="s">
        <v>535</v>
      </c>
      <c r="R33" s="88" t="s">
        <v>535</v>
      </c>
      <c r="S33" s="88" t="s">
        <v>535</v>
      </c>
      <c r="T33" s="1" t="str">
        <f t="shared" si="0"/>
        <v>Партизан</v>
      </c>
    </row>
    <row r="34" spans="1:20">
      <c r="A34" s="1">
        <v>31</v>
      </c>
      <c r="C34" s="23" t="s">
        <v>6851</v>
      </c>
      <c r="D34" s="23" t="str">
        <f>VLOOKUP(G34,ОКТМО!B:G,6,0)</f>
        <v>Намский муниципальный район</v>
      </c>
      <c r="E34" s="1" t="s">
        <v>11</v>
      </c>
      <c r="F34" s="1" t="str">
        <f>VLOOKUP(G34,ОКТМО!B:M,12,0)</f>
        <v>Никольский</v>
      </c>
      <c r="G34" s="1">
        <v>98635432101</v>
      </c>
      <c r="H34" s="1" t="str">
        <f>VLOOKUP(G34,ОКТМО!N:R,4,0)</f>
        <v>62.6288888888889</v>
      </c>
      <c r="I34" s="1" t="str">
        <f>VLOOKUP(G34,ОКТМО!N:R,5,0)</f>
        <v>129.713055555556</v>
      </c>
      <c r="J34" s="1">
        <v>632</v>
      </c>
      <c r="K34" s="1">
        <v>982</v>
      </c>
      <c r="L34" s="1">
        <v>232</v>
      </c>
      <c r="M34" s="1" t="s">
        <v>535</v>
      </c>
      <c r="N34" s="88" t="s">
        <v>535</v>
      </c>
      <c r="O34" s="1" t="s">
        <v>535</v>
      </c>
      <c r="P34" s="88" t="s">
        <v>535</v>
      </c>
      <c r="Q34" s="1" t="s">
        <v>535</v>
      </c>
      <c r="R34" s="88" t="s">
        <v>535</v>
      </c>
      <c r="S34" s="88" t="s">
        <v>535</v>
      </c>
      <c r="T34" s="1" t="str">
        <f t="shared" si="0"/>
        <v>Никольский</v>
      </c>
    </row>
    <row r="35" spans="1:20" ht="30">
      <c r="A35" s="1">
        <v>32</v>
      </c>
      <c r="C35" s="23" t="s">
        <v>6851</v>
      </c>
      <c r="D35" s="23" t="str">
        <f>VLOOKUP(G35,ОКТМО!B:G,6,0)</f>
        <v>Намский муниципальный район</v>
      </c>
      <c r="E35" s="1" t="s">
        <v>11</v>
      </c>
      <c r="F35" s="1" t="str">
        <f>VLOOKUP(G35,ОКТМО!B:M,12,0)</f>
        <v>Хатас</v>
      </c>
      <c r="G35" s="1">
        <v>98635466101</v>
      </c>
      <c r="H35" s="1" t="str">
        <f>VLOOKUP(G35,ОКТМО!N:R,4,0)</f>
        <v>62.6805555555556</v>
      </c>
      <c r="I35" s="1" t="str">
        <f>VLOOKUP(G35,ОКТМО!N:R,5,0)</f>
        <v>129.911944444444</v>
      </c>
      <c r="J35" s="1">
        <v>883</v>
      </c>
      <c r="K35" s="1">
        <v>108</v>
      </c>
      <c r="L35" s="1">
        <v>116</v>
      </c>
      <c r="M35" s="1">
        <v>4</v>
      </c>
      <c r="N35" s="88" t="s">
        <v>6896</v>
      </c>
      <c r="O35" s="1" t="s">
        <v>535</v>
      </c>
      <c r="P35" s="88" t="s">
        <v>535</v>
      </c>
      <c r="Q35" s="1">
        <v>2</v>
      </c>
      <c r="R35" s="88" t="s">
        <v>6897</v>
      </c>
      <c r="S35" s="88" t="s">
        <v>6826</v>
      </c>
      <c r="T35" s="1" t="str">
        <f t="shared" si="0"/>
        <v>Хатас</v>
      </c>
    </row>
    <row r="36" spans="1:20" ht="30">
      <c r="A36" s="1">
        <v>33</v>
      </c>
      <c r="C36" s="23" t="s">
        <v>6851</v>
      </c>
      <c r="D36" s="23" t="str">
        <f>VLOOKUP(G36,ОКТМО!B:G,6,0)</f>
        <v>Намский муниципальный район</v>
      </c>
      <c r="E36" s="1" t="s">
        <v>11</v>
      </c>
      <c r="F36" s="1" t="str">
        <f>VLOOKUP(G36,ОКТМО!B:M,12,0)</f>
        <v>Крест-Кытыл</v>
      </c>
      <c r="G36" s="1">
        <v>98635450101</v>
      </c>
      <c r="H36" s="1" t="str">
        <f>VLOOKUP(G36,ОКТМО!N:R,4,0)</f>
        <v>62.6647222222222</v>
      </c>
      <c r="I36" s="1" t="str">
        <f>VLOOKUP(G36,ОКТМО!N:R,5,0)</f>
        <v>129.703611111111</v>
      </c>
      <c r="J36" s="1">
        <v>620</v>
      </c>
      <c r="K36" s="1">
        <v>898</v>
      </c>
      <c r="L36" s="1">
        <v>269</v>
      </c>
      <c r="M36" s="1">
        <v>5</v>
      </c>
      <c r="N36" s="88" t="s">
        <v>6898</v>
      </c>
      <c r="O36" s="1" t="s">
        <v>535</v>
      </c>
      <c r="P36" s="88" t="s">
        <v>535</v>
      </c>
      <c r="Q36" s="1" t="s">
        <v>535</v>
      </c>
      <c r="R36" s="88" t="s">
        <v>535</v>
      </c>
      <c r="S36" s="88" t="s">
        <v>535</v>
      </c>
      <c r="T36" s="1" t="str">
        <f t="shared" si="0"/>
        <v>Крест-Кытыл</v>
      </c>
    </row>
    <row r="37" spans="1:20">
      <c r="A37" s="1">
        <v>34</v>
      </c>
      <c r="C37" s="23" t="s">
        <v>6851</v>
      </c>
      <c r="D37" s="23" t="str">
        <f>VLOOKUP(G37,ОКТМО!B:G,6,0)</f>
        <v>Намский муниципальный район</v>
      </c>
      <c r="E37" s="1" t="s">
        <v>11</v>
      </c>
      <c r="F37" s="1" t="str">
        <f>VLOOKUP(G37,ОКТМО!B:M,12,0)</f>
        <v>Намцы</v>
      </c>
      <c r="G37" s="1">
        <v>98635425101</v>
      </c>
      <c r="H37" s="1" t="str">
        <f>VLOOKUP(G37,ОКТМО!N:R,4,0)</f>
        <v>62.7186111111111</v>
      </c>
      <c r="I37" s="1" t="str">
        <f>VLOOKUP(G37,ОКТМО!N:R,5,0)</f>
        <v>129.665</v>
      </c>
      <c r="J37" s="1">
        <v>925</v>
      </c>
      <c r="K37" s="1">
        <v>1135</v>
      </c>
      <c r="L37" s="1">
        <v>227</v>
      </c>
      <c r="M37" s="1">
        <v>14</v>
      </c>
      <c r="N37" s="88">
        <v>14</v>
      </c>
      <c r="O37" s="1">
        <v>1</v>
      </c>
      <c r="P37" s="88" t="s">
        <v>6899</v>
      </c>
      <c r="Q37" s="1" t="s">
        <v>535</v>
      </c>
      <c r="R37" s="88" t="s">
        <v>535</v>
      </c>
      <c r="S37" s="88" t="s">
        <v>535</v>
      </c>
      <c r="T37" s="1" t="str">
        <f t="shared" si="0"/>
        <v>Намцы</v>
      </c>
    </row>
    <row r="38" spans="1:20" ht="30">
      <c r="A38" s="1">
        <v>35</v>
      </c>
      <c r="C38" s="23" t="s">
        <v>6851</v>
      </c>
      <c r="D38" s="23" t="str">
        <f>VLOOKUP(G38,ОКТМО!B:G,6,0)</f>
        <v>Намский муниципальный район</v>
      </c>
      <c r="E38" s="1" t="s">
        <v>11</v>
      </c>
      <c r="F38" s="1" t="str">
        <f>VLOOKUP(G38,ОКТМО!B:M,12,0)</f>
        <v>Аппаны</v>
      </c>
      <c r="G38" s="1">
        <v>98635455101</v>
      </c>
      <c r="H38" s="1" t="str">
        <f>VLOOKUP(G38,ОКТМО!N:R,4,0)</f>
        <v>62.7594444444444</v>
      </c>
      <c r="I38" s="1" t="str">
        <f>VLOOKUP(G38,ОКТМО!N:R,5,0)</f>
        <v>129.651111111111</v>
      </c>
      <c r="J38" s="1">
        <v>950</v>
      </c>
      <c r="K38" s="1">
        <v>1668</v>
      </c>
      <c r="L38" s="1">
        <v>446</v>
      </c>
      <c r="M38" s="1">
        <v>7</v>
      </c>
      <c r="N38" s="88" t="s">
        <v>6900</v>
      </c>
      <c r="O38" s="1">
        <v>2</v>
      </c>
      <c r="P38" s="88" t="s">
        <v>6899</v>
      </c>
      <c r="Q38" s="1">
        <v>5</v>
      </c>
      <c r="R38" s="88" t="s">
        <v>6897</v>
      </c>
      <c r="S38" s="88" t="s">
        <v>6825</v>
      </c>
      <c r="T38" s="1" t="str">
        <f t="shared" si="0"/>
        <v>Аппаны</v>
      </c>
    </row>
    <row r="39" spans="1:20">
      <c r="A39" s="1">
        <v>36</v>
      </c>
      <c r="C39" s="23" t="s">
        <v>6851</v>
      </c>
      <c r="D39" s="23" t="str">
        <f>VLOOKUP(G39,ОКТМО!B:G,6,0)</f>
        <v>Намский муниципальный район</v>
      </c>
      <c r="E39" s="1" t="s">
        <v>11</v>
      </c>
      <c r="F39" s="1" t="str">
        <f>VLOOKUP(G39,ОКТМО!B:M,12,0)</f>
        <v>Графский Берег</v>
      </c>
      <c r="G39" s="1">
        <v>98635455106</v>
      </c>
      <c r="H39" s="1" t="str">
        <f>VLOOKUP(G39,ОКТМО!N:R,4,0)</f>
        <v>62.7747222222222</v>
      </c>
      <c r="I39" s="1" t="str">
        <f>VLOOKUP(G39,ОКТМО!N:R,5,0)</f>
        <v>129.689722222222</v>
      </c>
      <c r="J39" s="1">
        <v>950</v>
      </c>
      <c r="K39" s="1">
        <v>629</v>
      </c>
      <c r="L39" s="1">
        <v>163</v>
      </c>
      <c r="M39" s="1">
        <v>5</v>
      </c>
      <c r="N39" s="88" t="s">
        <v>6901</v>
      </c>
      <c r="O39" s="1">
        <v>1</v>
      </c>
      <c r="P39" s="88" t="s">
        <v>6899</v>
      </c>
      <c r="Q39" s="1">
        <v>2</v>
      </c>
      <c r="R39" s="88" t="s">
        <v>6897</v>
      </c>
      <c r="S39" s="88" t="s">
        <v>6825</v>
      </c>
      <c r="T39" s="1" t="str">
        <f t="shared" si="0"/>
        <v>Графский Берег</v>
      </c>
    </row>
    <row r="40" spans="1:20">
      <c r="A40" s="1">
        <v>37</v>
      </c>
      <c r="C40" s="23" t="s">
        <v>6851</v>
      </c>
      <c r="D40" s="23" t="str">
        <f>VLOOKUP(G40,ОКТМО!B:G,6,0)</f>
        <v>Намский муниципальный район</v>
      </c>
      <c r="E40" s="1" t="s">
        <v>11</v>
      </c>
      <c r="F40" s="1" t="str">
        <f>VLOOKUP(G40,ОКТМО!B:M,12,0)</f>
        <v>Кысыл-Деревня</v>
      </c>
      <c r="G40" s="1">
        <v>98635455111</v>
      </c>
      <c r="H40" s="1" t="str">
        <f>VLOOKUP(G40,ОКТМО!N:R,4,0)</f>
        <v>62.7830555555556</v>
      </c>
      <c r="I40" s="1" t="str">
        <f>VLOOKUP(G40,ОКТМО!N:R,5,0)</f>
        <v>129.642222222222</v>
      </c>
      <c r="J40" s="1">
        <v>950</v>
      </c>
      <c r="K40" s="1">
        <v>101</v>
      </c>
      <c r="L40" s="1">
        <v>23</v>
      </c>
      <c r="M40" s="1">
        <v>2</v>
      </c>
      <c r="N40" s="88" t="s">
        <v>6902</v>
      </c>
      <c r="O40" s="1" t="s">
        <v>535</v>
      </c>
      <c r="P40" s="88" t="s">
        <v>535</v>
      </c>
      <c r="Q40" s="1" t="s">
        <v>535</v>
      </c>
      <c r="R40" s="88" t="s">
        <v>535</v>
      </c>
      <c r="S40" s="88" t="s">
        <v>6825</v>
      </c>
      <c r="T40" s="1" t="str">
        <f t="shared" si="0"/>
        <v>Кысыл-Деревня</v>
      </c>
    </row>
    <row r="41" spans="1:20" ht="30">
      <c r="A41" s="1">
        <v>38</v>
      </c>
      <c r="C41" s="23" t="s">
        <v>6851</v>
      </c>
      <c r="D41" s="23" t="str">
        <f>VLOOKUP(G41,ОКТМО!B:G,6,0)</f>
        <v>Намский муниципальный район</v>
      </c>
      <c r="E41" s="1" t="s">
        <v>11</v>
      </c>
      <c r="F41" s="1" t="str">
        <f>VLOOKUP(G41,ОКТМО!B:M,12,0)</f>
        <v>Бютяй-Юрдя</v>
      </c>
      <c r="G41" s="1">
        <v>98635410101</v>
      </c>
      <c r="H41" s="1" t="str">
        <f>VLOOKUP(G41,ОКТМО!N:R,4,0)</f>
        <v>62.8272222222222</v>
      </c>
      <c r="I41" s="1" t="str">
        <f>VLOOKUP(G41,ОКТМО!N:R,5,0)</f>
        <v>129.601111111111</v>
      </c>
      <c r="J41" s="1" t="s">
        <v>535</v>
      </c>
      <c r="K41" s="1">
        <v>91</v>
      </c>
      <c r="L41" s="1">
        <v>23</v>
      </c>
      <c r="M41" s="1">
        <v>4</v>
      </c>
      <c r="N41" s="88" t="s">
        <v>6903</v>
      </c>
      <c r="O41" s="1" t="s">
        <v>535</v>
      </c>
      <c r="P41" s="88" t="s">
        <v>535</v>
      </c>
      <c r="Q41" s="1">
        <v>4</v>
      </c>
      <c r="R41" s="88" t="s">
        <v>6906</v>
      </c>
      <c r="S41" s="88" t="s">
        <v>535</v>
      </c>
      <c r="T41" s="1" t="str">
        <f t="shared" si="0"/>
        <v>Бютяй-Юрдя</v>
      </c>
    </row>
    <row r="42" spans="1:20">
      <c r="A42" s="1">
        <v>39</v>
      </c>
      <c r="C42" s="23" t="s">
        <v>6851</v>
      </c>
      <c r="D42" s="23" t="str">
        <f>VLOOKUP(G42,ОКТМО!B:G,6,0)</f>
        <v>Намский муниципальный район</v>
      </c>
      <c r="E42" s="1" t="s">
        <v>11</v>
      </c>
      <c r="F42" s="1" t="str">
        <f>VLOOKUP(G42,ОКТМО!B:M,12,0)</f>
        <v>Тумул</v>
      </c>
      <c r="G42" s="1">
        <v>98635430101</v>
      </c>
      <c r="H42" s="1" t="str">
        <f>VLOOKUP(G42,ОКТМО!N:R,4,0)</f>
        <v>62.9025</v>
      </c>
      <c r="I42" s="1" t="str">
        <f>VLOOKUP(G42,ОКТМО!N:R,5,0)</f>
        <v>129.559722222222</v>
      </c>
      <c r="J42" s="1" t="s">
        <v>535</v>
      </c>
      <c r="K42" s="1">
        <v>25</v>
      </c>
      <c r="L42" s="1">
        <v>10</v>
      </c>
      <c r="M42" s="1" t="s">
        <v>535</v>
      </c>
      <c r="N42" s="88" t="s">
        <v>535</v>
      </c>
      <c r="O42" s="1" t="s">
        <v>535</v>
      </c>
      <c r="P42" s="88" t="s">
        <v>535</v>
      </c>
      <c r="Q42" s="1" t="s">
        <v>535</v>
      </c>
      <c r="R42" s="88" t="s">
        <v>535</v>
      </c>
      <c r="S42" s="88" t="s">
        <v>535</v>
      </c>
      <c r="T42" s="1" t="str">
        <f t="shared" si="0"/>
        <v>Тумул</v>
      </c>
    </row>
    <row r="43" spans="1:20" ht="30">
      <c r="A43" s="1">
        <v>40</v>
      </c>
      <c r="C43" s="23" t="s">
        <v>6851</v>
      </c>
      <c r="D43" s="23" t="str">
        <f>VLOOKUP(G43,ОКТМО!B:G,6,0)</f>
        <v>Намский муниципальный район</v>
      </c>
      <c r="E43" s="1" t="s">
        <v>11</v>
      </c>
      <c r="F43" s="1" t="str">
        <f>VLOOKUP(G43,ОКТМО!B:M,12,0)</f>
        <v>Сыгыннах</v>
      </c>
      <c r="G43" s="1">
        <v>98635405101</v>
      </c>
      <c r="H43" s="1" t="str">
        <f>VLOOKUP(G43,ОКТМО!N:R,4,0)</f>
        <v>63.3677777777778</v>
      </c>
      <c r="I43" s="1" t="str">
        <f>VLOOKUP(G43,ОКТМО!N:R,5,0)</f>
        <v>129.657777777778</v>
      </c>
      <c r="J43" s="1">
        <v>771</v>
      </c>
      <c r="K43" s="1">
        <v>168</v>
      </c>
      <c r="L43" s="1">
        <v>70</v>
      </c>
      <c r="M43" s="1">
        <v>5</v>
      </c>
      <c r="N43" s="88" t="s">
        <v>6904</v>
      </c>
      <c r="O43" s="1" t="s">
        <v>535</v>
      </c>
      <c r="P43" s="88" t="s">
        <v>535</v>
      </c>
      <c r="Q43" s="1">
        <v>2</v>
      </c>
      <c r="R43" s="88" t="s">
        <v>6897</v>
      </c>
      <c r="S43" s="88" t="s">
        <v>6825</v>
      </c>
      <c r="T43" s="1" t="str">
        <f t="shared" si="0"/>
        <v>Сыгыннах</v>
      </c>
    </row>
    <row r="44" spans="1:20" ht="30">
      <c r="A44" s="1">
        <v>41</v>
      </c>
      <c r="C44" s="23" t="s">
        <v>6851</v>
      </c>
      <c r="D44" s="23" t="str">
        <f>VLOOKUP(G44,ОКТМО!B:G,6,0)</f>
        <v>Нижнеколымский муниципальный район</v>
      </c>
      <c r="E44" s="1" t="s">
        <v>666</v>
      </c>
      <c r="F44" s="1" t="str">
        <f>VLOOKUP(G44,ОКТМО!B:M,12,0)</f>
        <v>Колымское</v>
      </c>
      <c r="G44" s="1">
        <v>98637437101</v>
      </c>
      <c r="H44" s="1" t="str">
        <f>VLOOKUP(G44,ОКТМО!N:R,4,0)</f>
        <v>68.7277777777778</v>
      </c>
      <c r="I44" s="1" t="str">
        <f>VLOOKUP(G44,ОКТМО!N:R,5,0)</f>
        <v>158.703611111111</v>
      </c>
      <c r="J44" s="1">
        <v>1010</v>
      </c>
      <c r="K44" s="1">
        <v>166</v>
      </c>
      <c r="L44" s="1">
        <v>47</v>
      </c>
      <c r="M44" s="1">
        <v>6</v>
      </c>
      <c r="N44" s="88" t="s">
        <v>6905</v>
      </c>
      <c r="O44" s="1" t="s">
        <v>535</v>
      </c>
      <c r="P44" s="88" t="s">
        <v>535</v>
      </c>
      <c r="Q44" s="1" t="s">
        <v>535</v>
      </c>
      <c r="R44" s="88" t="s">
        <v>535</v>
      </c>
      <c r="S44" s="88" t="s">
        <v>535</v>
      </c>
      <c r="T44" s="1" t="str">
        <f t="shared" si="0"/>
        <v>Колымское</v>
      </c>
    </row>
    <row r="45" spans="1:20">
      <c r="A45" s="1">
        <v>42</v>
      </c>
      <c r="C45" s="23" t="s">
        <v>6851</v>
      </c>
      <c r="D45" s="23" t="str">
        <f>VLOOKUP(G45,ОКТМО!B:G,6,0)</f>
        <v>Нижнеколымский муниципальный район</v>
      </c>
      <c r="E45" s="1" t="s">
        <v>666</v>
      </c>
      <c r="F45" s="1" t="str">
        <f>VLOOKUP(G45,ОКТМО!B:M,12,0)</f>
        <v>Походск</v>
      </c>
      <c r="G45" s="1">
        <v>98637424101</v>
      </c>
      <c r="H45" s="1" t="str">
        <f>VLOOKUP(G45,ОКТМО!N:R,4,0)</f>
        <v>69.0794444444444</v>
      </c>
      <c r="I45" s="1" t="str">
        <f>VLOOKUP(G45,ОКТМО!N:R,5,0)</f>
        <v>160.969444444444</v>
      </c>
      <c r="J45" s="1" t="s">
        <v>535</v>
      </c>
      <c r="K45" s="1">
        <v>89</v>
      </c>
      <c r="L45" s="1">
        <v>14</v>
      </c>
      <c r="M45" s="1" t="s">
        <v>535</v>
      </c>
      <c r="N45" s="88" t="s">
        <v>535</v>
      </c>
      <c r="O45" s="1" t="s">
        <v>535</v>
      </c>
      <c r="P45" s="88" t="s">
        <v>535</v>
      </c>
      <c r="Q45" s="1" t="s">
        <v>535</v>
      </c>
      <c r="R45" s="88" t="s">
        <v>535</v>
      </c>
      <c r="S45" s="88" t="s">
        <v>535</v>
      </c>
      <c r="T45" s="1" t="str">
        <f t="shared" si="0"/>
        <v>Походск</v>
      </c>
    </row>
    <row r="46" spans="1:20" ht="30">
      <c r="A46" s="1">
        <v>43</v>
      </c>
      <c r="C46" s="23" t="s">
        <v>6851</v>
      </c>
      <c r="D46" s="23" t="str">
        <f>VLOOKUP(G46,ОКТМО!B:G,6,0)</f>
        <v>Олекминский муниципальный район</v>
      </c>
      <c r="E46" s="1" t="s">
        <v>279</v>
      </c>
      <c r="F46" s="1" t="str">
        <f>VLOOKUP(G46,ОКТМО!B:M,12,0)</f>
        <v>Тяня</v>
      </c>
      <c r="G46" s="1">
        <v>98641475101</v>
      </c>
      <c r="H46" s="1" t="str">
        <f>VLOOKUP(G46,ОКТМО!N:R,4,0)</f>
        <v>59.0555555555556</v>
      </c>
      <c r="I46" s="1" t="str">
        <f>VLOOKUP(G46,ОКТМО!N:R,5,0)</f>
        <v>119.795277777778</v>
      </c>
      <c r="J46" s="1">
        <v>550</v>
      </c>
      <c r="K46" s="1">
        <v>171</v>
      </c>
      <c r="L46" s="1">
        <v>41</v>
      </c>
      <c r="M46" s="1">
        <v>4</v>
      </c>
      <c r="N46" s="88" t="s">
        <v>6907</v>
      </c>
      <c r="O46" s="1" t="s">
        <v>535</v>
      </c>
      <c r="P46" s="88" t="s">
        <v>535</v>
      </c>
      <c r="Q46" s="1" t="s">
        <v>535</v>
      </c>
      <c r="R46" s="88" t="s">
        <v>535</v>
      </c>
      <c r="S46" s="88" t="s">
        <v>535</v>
      </c>
      <c r="T46" s="1" t="str">
        <f t="shared" si="0"/>
        <v>Тяня</v>
      </c>
    </row>
    <row r="47" spans="1:20">
      <c r="A47" s="1">
        <v>44</v>
      </c>
      <c r="C47" s="23" t="s">
        <v>6851</v>
      </c>
      <c r="D47" s="23" t="str">
        <f>VLOOKUP(G47,ОКТМО!B:G,6,0)</f>
        <v>Олекминский муниципальный район</v>
      </c>
      <c r="E47" s="1" t="s">
        <v>3197</v>
      </c>
      <c r="F47" s="1" t="str">
        <f>VLOOKUP(G47,ОКТМО!B:M,12,0)</f>
        <v>Троицк</v>
      </c>
      <c r="G47" s="1">
        <v>98641470101</v>
      </c>
      <c r="H47" s="1" t="str">
        <f>VLOOKUP(G47,ОКТМО!N:R,4,0)</f>
        <v>60.3513888888889</v>
      </c>
      <c r="I47" s="1" t="str">
        <f>VLOOKUP(G47,ОКТМО!N:R,5,0)</f>
        <v>120.671666666667</v>
      </c>
      <c r="J47" s="1">
        <v>1000</v>
      </c>
      <c r="K47" s="1">
        <v>51</v>
      </c>
      <c r="L47" s="1">
        <v>27</v>
      </c>
      <c r="M47" s="1" t="s">
        <v>535</v>
      </c>
      <c r="N47" s="88" t="s">
        <v>535</v>
      </c>
      <c r="O47" s="1" t="s">
        <v>535</v>
      </c>
      <c r="P47" s="88" t="s">
        <v>535</v>
      </c>
      <c r="Q47" s="1">
        <v>1</v>
      </c>
      <c r="R47" s="88" t="s">
        <v>6908</v>
      </c>
      <c r="S47" s="88" t="s">
        <v>535</v>
      </c>
      <c r="T47" s="1" t="str">
        <f t="shared" si="0"/>
        <v>Троицк</v>
      </c>
    </row>
    <row r="48" spans="1:20">
      <c r="A48" s="1">
        <v>45</v>
      </c>
      <c r="C48" s="23" t="s">
        <v>6851</v>
      </c>
      <c r="D48" s="23" t="str">
        <f>VLOOKUP(G48,ОКТМО!B:G,6,0)</f>
        <v>Олекминский муниципальный район</v>
      </c>
      <c r="E48" s="1" t="s">
        <v>11</v>
      </c>
      <c r="F48" s="1" t="str">
        <f>VLOOKUP(G48,ОКТМО!B:M,12,0)</f>
        <v>Бирюк</v>
      </c>
      <c r="G48" s="1">
        <v>98641445106</v>
      </c>
      <c r="H48" s="1" t="str">
        <f>VLOOKUP(G48,ОКТМО!N:R,4,0)</f>
        <v>60.2602777777778</v>
      </c>
      <c r="I48" s="1" t="str">
        <f>VLOOKUP(G48,ОКТМО!N:R,5,0)</f>
        <v>119.646666666667</v>
      </c>
      <c r="J48" s="1" t="s">
        <v>535</v>
      </c>
      <c r="K48" s="1">
        <v>183</v>
      </c>
      <c r="L48" s="1">
        <v>47</v>
      </c>
      <c r="M48" s="1" t="s">
        <v>535</v>
      </c>
      <c r="N48" s="88" t="s">
        <v>535</v>
      </c>
      <c r="O48" s="1" t="s">
        <v>535</v>
      </c>
      <c r="P48" s="88" t="s">
        <v>535</v>
      </c>
      <c r="Q48" s="1" t="s">
        <v>535</v>
      </c>
      <c r="R48" s="88" t="s">
        <v>535</v>
      </c>
      <c r="S48" s="88" t="s">
        <v>535</v>
      </c>
      <c r="T48" s="1" t="str">
        <f t="shared" si="0"/>
        <v>Бирюк</v>
      </c>
    </row>
    <row r="49" spans="1:20">
      <c r="A49" s="1">
        <v>46</v>
      </c>
      <c r="C49" s="23" t="s">
        <v>6851</v>
      </c>
      <c r="D49" s="23" t="str">
        <f>VLOOKUP(G49,ОКТМО!B:G,6,0)</f>
        <v>Олекминский муниципальный район</v>
      </c>
      <c r="E49" s="1" t="s">
        <v>11</v>
      </c>
      <c r="F49" s="1" t="str">
        <f>VLOOKUP(G49,ОКТМО!B:M,12,0)</f>
        <v>Нерюктяйинск 1-й</v>
      </c>
      <c r="G49" s="1">
        <v>98641445101</v>
      </c>
      <c r="H49" s="1" t="str">
        <f>VLOOKUP(G49,ОКТМО!N:R,4,0)</f>
        <v>60.2591666666667</v>
      </c>
      <c r="I49" s="1" t="str">
        <f>VLOOKUP(G49,ОКТМО!N:R,5,0)</f>
        <v>119.669444444444</v>
      </c>
      <c r="J49" s="1">
        <v>1000</v>
      </c>
      <c r="K49" s="1">
        <v>497</v>
      </c>
      <c r="L49" s="1">
        <v>132</v>
      </c>
      <c r="M49" s="1" t="s">
        <v>535</v>
      </c>
      <c r="N49" s="88" t="s">
        <v>535</v>
      </c>
      <c r="O49" s="1" t="s">
        <v>535</v>
      </c>
      <c r="P49" s="88" t="s">
        <v>535</v>
      </c>
      <c r="Q49" s="1" t="s">
        <v>535</v>
      </c>
      <c r="R49" s="88" t="s">
        <v>535</v>
      </c>
      <c r="S49" s="88" t="s">
        <v>535</v>
      </c>
      <c r="T49" s="1" t="str">
        <f t="shared" si="0"/>
        <v>Нерюктяйинск 1-й</v>
      </c>
    </row>
    <row r="50" spans="1:20">
      <c r="A50" s="1">
        <v>47</v>
      </c>
      <c r="C50" s="23" t="s">
        <v>6851</v>
      </c>
      <c r="D50" s="23" t="str">
        <f>VLOOKUP(G50,ОКТМО!B:G,6,0)</f>
        <v>Олекминский муниципальный район</v>
      </c>
      <c r="E50" s="1" t="s">
        <v>11</v>
      </c>
      <c r="F50" s="1" t="str">
        <f>VLOOKUP(G50,ОКТМО!B:M,12,0)</f>
        <v>Нерюктяйинск 2-й</v>
      </c>
      <c r="G50" s="1">
        <v>98641450101</v>
      </c>
      <c r="H50" s="1" t="str">
        <f>VLOOKUP(G50,ОКТМО!N:R,4,0)</f>
        <v>60.2588888888889</v>
      </c>
      <c r="I50" s="1" t="str">
        <f>VLOOKUP(G50,ОКТМО!N:R,5,0)</f>
        <v>119.889444444444</v>
      </c>
      <c r="J50" s="1" t="s">
        <v>535</v>
      </c>
      <c r="K50" s="1" t="s">
        <v>6827</v>
      </c>
      <c r="L50" s="1">
        <v>38</v>
      </c>
      <c r="M50" s="1" t="s">
        <v>535</v>
      </c>
      <c r="N50" s="88" t="s">
        <v>535</v>
      </c>
      <c r="O50" s="1" t="s">
        <v>535</v>
      </c>
      <c r="P50" s="88" t="s">
        <v>535</v>
      </c>
      <c r="Q50" s="1" t="s">
        <v>535</v>
      </c>
      <c r="R50" s="88" t="s">
        <v>535</v>
      </c>
      <c r="S50" s="88" t="s">
        <v>535</v>
      </c>
      <c r="T50" s="1" t="str">
        <f t="shared" si="0"/>
        <v>Нерюктяйинск 2-й</v>
      </c>
    </row>
    <row r="51" spans="1:20" ht="30">
      <c r="A51" s="1">
        <v>48</v>
      </c>
      <c r="C51" s="23" t="s">
        <v>6851</v>
      </c>
      <c r="D51" s="23" t="str">
        <f>VLOOKUP(G51,ОКТМО!B:G,6,0)</f>
        <v>Олекминский муниципальный район</v>
      </c>
      <c r="E51" s="1" t="s">
        <v>11</v>
      </c>
      <c r="F51" s="1" t="str">
        <f>VLOOKUP(G51,ОКТМО!B:M,12,0)</f>
        <v>Абага центральная</v>
      </c>
      <c r="G51" s="1">
        <v>98641405106</v>
      </c>
      <c r="H51" s="1" t="str">
        <f>VLOOKUP(G51,ОКТМО!N:R,4,0)</f>
        <v>60.3094444444444</v>
      </c>
      <c r="I51" s="1" t="str">
        <f>VLOOKUP(G51,ОКТМО!N:R,5,0)</f>
        <v>119.986388888889</v>
      </c>
      <c r="J51" s="1" t="s">
        <v>535</v>
      </c>
      <c r="K51" s="1">
        <v>233</v>
      </c>
      <c r="L51" s="1">
        <v>85</v>
      </c>
      <c r="M51" s="1" t="s">
        <v>535</v>
      </c>
      <c r="N51" s="88" t="s">
        <v>535</v>
      </c>
      <c r="O51" s="1">
        <v>1</v>
      </c>
      <c r="P51" s="88" t="s">
        <v>6909</v>
      </c>
      <c r="Q51" s="1" t="s">
        <v>535</v>
      </c>
      <c r="R51" s="88" t="s">
        <v>535</v>
      </c>
      <c r="S51" s="88" t="s">
        <v>535</v>
      </c>
      <c r="T51" s="1" t="str">
        <f t="shared" si="0"/>
        <v>Абага центральная</v>
      </c>
    </row>
    <row r="52" spans="1:20">
      <c r="A52" s="1">
        <v>49</v>
      </c>
      <c r="C52" s="23" t="s">
        <v>6851</v>
      </c>
      <c r="D52" s="23" t="str">
        <f>VLOOKUP(G52,ОКТМО!B:G,6,0)</f>
        <v>Олекминский муниципальный район</v>
      </c>
      <c r="E52" s="1" t="s">
        <v>11</v>
      </c>
      <c r="F52" s="1" t="str">
        <f>VLOOKUP(G52,ОКТМО!B:M,12,0)</f>
        <v>Хоринцы</v>
      </c>
      <c r="G52" s="1">
        <v>98641485101</v>
      </c>
      <c r="H52" s="1" t="str">
        <f>VLOOKUP(G52,ОКТМО!N:R,4,0)</f>
        <v>60.6652777777778</v>
      </c>
      <c r="I52" s="1" t="str">
        <f>VLOOKUP(G52,ОКТМО!N:R,5,0)</f>
        <v>121.442777777778</v>
      </c>
      <c r="J52" s="1">
        <v>1000</v>
      </c>
      <c r="K52" s="1">
        <v>217</v>
      </c>
      <c r="L52" s="1">
        <v>54</v>
      </c>
      <c r="M52" s="1" t="s">
        <v>535</v>
      </c>
      <c r="N52" s="88" t="s">
        <v>535</v>
      </c>
      <c r="O52" s="1" t="s">
        <v>535</v>
      </c>
      <c r="P52" s="88" t="s">
        <v>535</v>
      </c>
      <c r="Q52" s="1">
        <v>1</v>
      </c>
      <c r="R52" s="88" t="s">
        <v>6908</v>
      </c>
      <c r="S52" s="88" t="s">
        <v>535</v>
      </c>
      <c r="T52" s="1" t="str">
        <f t="shared" si="0"/>
        <v>Хоринцы</v>
      </c>
    </row>
    <row r="53" spans="1:20" ht="30">
      <c r="A53" s="1">
        <v>50</v>
      </c>
      <c r="C53" s="23" t="s">
        <v>6851</v>
      </c>
      <c r="D53" s="23" t="str">
        <f>VLOOKUP(G53,ОКТМО!B:G,6,0)</f>
        <v>Олекминский муниципальный район</v>
      </c>
      <c r="E53" s="1" t="s">
        <v>11</v>
      </c>
      <c r="F53" s="1" t="str">
        <f>VLOOKUP(G53,ОКТМО!B:M,12,0)</f>
        <v>Кыллах</v>
      </c>
      <c r="G53" s="1">
        <v>98641430101</v>
      </c>
      <c r="H53" s="1" t="str">
        <f>VLOOKUP(G53,ОКТМО!N:R,4,0)</f>
        <v>60.20832002</v>
      </c>
      <c r="I53" s="1" t="str">
        <f>VLOOKUP(G53,ОКТМО!N:R,5,0)</f>
        <v>119.93807636</v>
      </c>
      <c r="J53" s="1">
        <v>1000</v>
      </c>
      <c r="K53" s="1">
        <v>68</v>
      </c>
      <c r="L53" s="1">
        <v>32</v>
      </c>
      <c r="M53" s="1">
        <v>1</v>
      </c>
      <c r="N53" s="88" t="s">
        <v>6911</v>
      </c>
      <c r="O53" s="1" t="s">
        <v>535</v>
      </c>
      <c r="P53" s="88" t="s">
        <v>535</v>
      </c>
      <c r="Q53" s="1">
        <v>1</v>
      </c>
      <c r="R53" s="88" t="s">
        <v>6910</v>
      </c>
      <c r="S53" s="88" t="s">
        <v>6828</v>
      </c>
      <c r="T53" s="1" t="str">
        <f t="shared" si="0"/>
        <v>Кыллах</v>
      </c>
    </row>
    <row r="54" spans="1:20">
      <c r="A54" s="1">
        <v>51</v>
      </c>
      <c r="C54" s="23" t="s">
        <v>6851</v>
      </c>
      <c r="D54" s="23" t="str">
        <f>VLOOKUP(G54,ОКТМО!B:G,6,0)</f>
        <v>Оленекский эвенкийский национальный муниципальный район</v>
      </c>
      <c r="E54" s="1" t="s">
        <v>832</v>
      </c>
      <c r="F54" s="1" t="str">
        <f>VLOOKUP(G54,ОКТМО!B:M,12,0)</f>
        <v>Оленек</v>
      </c>
      <c r="G54" s="1">
        <v>98642437101</v>
      </c>
      <c r="H54" s="1" t="str">
        <f>VLOOKUP(G54,ОКТМО!N:R,4,0)</f>
        <v>68.50318568</v>
      </c>
      <c r="I54" s="1" t="str">
        <f>VLOOKUP(G54,ОКТМО!N:R,5,0)</f>
        <v>112.44887109</v>
      </c>
      <c r="J54" s="1">
        <v>1350</v>
      </c>
      <c r="K54" s="1">
        <v>93</v>
      </c>
      <c r="L54" s="1">
        <v>17</v>
      </c>
      <c r="M54" s="1" t="s">
        <v>535</v>
      </c>
      <c r="N54" s="88" t="s">
        <v>535</v>
      </c>
      <c r="O54" s="1" t="s">
        <v>535</v>
      </c>
      <c r="P54" s="88" t="s">
        <v>535</v>
      </c>
      <c r="Q54" s="1" t="s">
        <v>535</v>
      </c>
      <c r="R54" s="88" t="s">
        <v>535</v>
      </c>
      <c r="S54" s="88" t="s">
        <v>535</v>
      </c>
      <c r="T54" s="1" t="str">
        <f t="shared" si="0"/>
        <v>Оленек</v>
      </c>
    </row>
    <row r="55" spans="1:20" ht="14.25" customHeight="1">
      <c r="A55" s="1">
        <v>52</v>
      </c>
      <c r="C55" s="23" t="s">
        <v>6851</v>
      </c>
      <c r="D55" s="23" t="str">
        <f>VLOOKUP(G55,ОКТМО!B:G,6,0)</f>
        <v>Среднеколымский муниципальный район</v>
      </c>
      <c r="E55" s="1" t="s">
        <v>666</v>
      </c>
      <c r="F55" s="1" t="str">
        <f>VLOOKUP(G55,ОКТМО!B:M,12,0)</f>
        <v>Среднеколымск</v>
      </c>
      <c r="G55" s="1">
        <v>98646101001</v>
      </c>
      <c r="H55" s="1" t="str">
        <f>VLOOKUP(G55,ОКТМО!N:R,4,0)</f>
        <v>67.4591666666667</v>
      </c>
      <c r="I55" s="1" t="str">
        <f>VLOOKUP(G55,ОКТМО!N:R,5,0)</f>
        <v>153.711388888889</v>
      </c>
      <c r="J55" s="1">
        <v>1200</v>
      </c>
      <c r="K55" s="1">
        <v>368</v>
      </c>
      <c r="L55" s="1" t="s">
        <v>535</v>
      </c>
      <c r="M55" s="1" t="s">
        <v>535</v>
      </c>
      <c r="N55" s="88" t="s">
        <v>535</v>
      </c>
      <c r="O55" s="1" t="s">
        <v>535</v>
      </c>
      <c r="P55" s="88" t="s">
        <v>535</v>
      </c>
      <c r="Q55" s="1" t="s">
        <v>535</v>
      </c>
      <c r="R55" s="88" t="s">
        <v>535</v>
      </c>
      <c r="S55" s="88" t="s">
        <v>535</v>
      </c>
      <c r="T55" s="1" t="str">
        <f t="shared" si="0"/>
        <v>Среднеколымск</v>
      </c>
    </row>
    <row r="56" spans="1:20">
      <c r="A56" s="1">
        <v>53</v>
      </c>
      <c r="C56" s="23" t="s">
        <v>6851</v>
      </c>
      <c r="D56" s="23" t="str">
        <f>VLOOKUP(G56,ОКТМО!B:G,6,0)</f>
        <v>Среднеколымский муниципальный район</v>
      </c>
      <c r="E56" s="1" t="s">
        <v>810</v>
      </c>
      <c r="F56" s="1" t="str">
        <f>VLOOKUP(G56,ОКТМО!B:M,12,0)</f>
        <v>Березовка</v>
      </c>
      <c r="G56" s="1">
        <v>98646415101</v>
      </c>
      <c r="H56" s="1" t="str">
        <f>VLOOKUP(G56,ОКТМО!N:R,4,0)</f>
        <v>67.1319444444444</v>
      </c>
      <c r="I56" s="1" t="str">
        <f>VLOOKUP(G56,ОКТМО!N:R,5,0)</f>
        <v>156.583055555556</v>
      </c>
      <c r="J56" s="1">
        <v>1000</v>
      </c>
      <c r="K56" s="1">
        <v>11</v>
      </c>
      <c r="L56" s="1">
        <v>3</v>
      </c>
      <c r="M56" s="1">
        <v>3</v>
      </c>
      <c r="N56" s="88" t="s">
        <v>6912</v>
      </c>
      <c r="O56" s="1" t="s">
        <v>535</v>
      </c>
      <c r="P56" s="88" t="s">
        <v>535</v>
      </c>
      <c r="Q56" s="1">
        <v>1</v>
      </c>
      <c r="R56" s="88" t="s">
        <v>6908</v>
      </c>
      <c r="S56" s="88" t="s">
        <v>6829</v>
      </c>
      <c r="T56" s="1" t="str">
        <f t="shared" si="0"/>
        <v>Березовка</v>
      </c>
    </row>
    <row r="57" spans="1:20">
      <c r="A57" s="1">
        <v>54</v>
      </c>
      <c r="C57" s="23" t="s">
        <v>6851</v>
      </c>
      <c r="D57" s="23" t="str">
        <f>VLOOKUP(G57,ОКТМО!B:G,6,0)</f>
        <v>Среднеколымский муниципальный район</v>
      </c>
      <c r="E57" s="1" t="s">
        <v>666</v>
      </c>
      <c r="F57" s="1" t="str">
        <f>VLOOKUP(G57,ОКТМО!B:M,12,0)</f>
        <v>Налимск</v>
      </c>
      <c r="G57" s="1">
        <v>98646410101</v>
      </c>
      <c r="H57" s="1" t="str">
        <f>VLOOKUP(G57,ОКТМО!N:R,4,0)</f>
        <v>67.5841666666667</v>
      </c>
      <c r="I57" s="1" t="str">
        <f>VLOOKUP(G57,ОКТМО!N:R,5,0)</f>
        <v>153.645</v>
      </c>
      <c r="J57" s="1">
        <v>1250</v>
      </c>
      <c r="K57" s="1">
        <v>71</v>
      </c>
      <c r="L57" s="1">
        <v>47</v>
      </c>
      <c r="M57" s="1">
        <v>4</v>
      </c>
      <c r="N57" s="88">
        <v>4</v>
      </c>
      <c r="O57" s="1" t="s">
        <v>535</v>
      </c>
      <c r="P57" s="88" t="s">
        <v>535</v>
      </c>
      <c r="Q57" s="1">
        <v>1</v>
      </c>
      <c r="R57" s="88">
        <v>1</v>
      </c>
      <c r="S57" s="88" t="s">
        <v>535</v>
      </c>
      <c r="T57" s="1" t="str">
        <f t="shared" si="0"/>
        <v>Налимск</v>
      </c>
    </row>
    <row r="58" spans="1:20">
      <c r="A58" s="1">
        <v>55</v>
      </c>
      <c r="C58" s="23" t="s">
        <v>6851</v>
      </c>
      <c r="D58" s="23" t="str">
        <f>VLOOKUP(G58,ОКТМО!B:G,6,0)</f>
        <v>Таттинский муниципальный район</v>
      </c>
      <c r="E58" s="1" t="s">
        <v>458</v>
      </c>
      <c r="F58" s="1" t="str">
        <f>VLOOKUP(G58,ОКТМО!B:M,12,0)</f>
        <v>Дайа-Амгата</v>
      </c>
      <c r="G58" s="1">
        <v>98604418101</v>
      </c>
      <c r="H58" s="1" t="str">
        <f>VLOOKUP(G58,ОКТМО!N:R,4,0)</f>
        <v>61.9091666666667</v>
      </c>
      <c r="I58" s="1" t="str">
        <f>VLOOKUP(G58,ОКТМО!N:R,5,0)</f>
        <v>133.611388888889</v>
      </c>
      <c r="J58" s="1">
        <v>1200</v>
      </c>
      <c r="K58" s="1">
        <v>257</v>
      </c>
      <c r="L58" s="1">
        <v>54</v>
      </c>
      <c r="M58" s="1">
        <v>1</v>
      </c>
      <c r="N58" s="88" t="s">
        <v>6913</v>
      </c>
      <c r="O58" s="1" t="s">
        <v>535</v>
      </c>
      <c r="P58" s="88" t="s">
        <v>535</v>
      </c>
      <c r="Q58" s="1" t="s">
        <v>535</v>
      </c>
      <c r="R58" s="88" t="s">
        <v>535</v>
      </c>
      <c r="S58" s="88" t="s">
        <v>535</v>
      </c>
      <c r="T58" s="1" t="str">
        <f t="shared" si="0"/>
        <v>Дайа-Амгата</v>
      </c>
    </row>
    <row r="59" spans="1:20" ht="30">
      <c r="A59" s="1">
        <v>56</v>
      </c>
      <c r="C59" s="23" t="s">
        <v>6851</v>
      </c>
      <c r="D59" s="23" t="str">
        <f>VLOOKUP(G59,ОКТМО!B:G,6,0)</f>
        <v>Таттинский муниципальный район</v>
      </c>
      <c r="E59" s="1" t="s">
        <v>458</v>
      </c>
      <c r="F59" s="1" t="str">
        <f>VLOOKUP(G59,ОКТМО!B:M,12,0)</f>
        <v>Харбалах</v>
      </c>
      <c r="G59" s="1">
        <v>98604440101</v>
      </c>
      <c r="H59" s="1" t="str">
        <f>VLOOKUP(G59,ОКТМО!N:R,4,0)</f>
        <v>62.1975</v>
      </c>
      <c r="I59" s="1" t="str">
        <f>VLOOKUP(G59,ОКТМО!N:R,5,0)</f>
        <v>134.249722222222</v>
      </c>
      <c r="J59" s="1">
        <v>1107</v>
      </c>
      <c r="K59" s="1">
        <v>103</v>
      </c>
      <c r="L59" s="1">
        <v>40</v>
      </c>
      <c r="M59" s="1">
        <v>6</v>
      </c>
      <c r="N59" s="88">
        <v>6</v>
      </c>
      <c r="O59" s="1">
        <v>2</v>
      </c>
      <c r="P59" s="88" t="s">
        <v>6914</v>
      </c>
      <c r="Q59" s="1" t="s">
        <v>535</v>
      </c>
      <c r="R59" s="88" t="s">
        <v>535</v>
      </c>
      <c r="S59" s="88" t="s">
        <v>535</v>
      </c>
      <c r="T59" s="1" t="str">
        <f t="shared" si="0"/>
        <v>Харбалах</v>
      </c>
    </row>
    <row r="60" spans="1:20">
      <c r="A60" s="1">
        <v>57</v>
      </c>
      <c r="C60" s="23" t="s">
        <v>6851</v>
      </c>
      <c r="D60" s="23" t="str">
        <f>VLOOKUP(G60,ОКТМО!B:G,6,0)</f>
        <v>Таттинский муниципальный район</v>
      </c>
      <c r="E60" s="1" t="s">
        <v>458</v>
      </c>
      <c r="F60" s="1" t="str">
        <f>VLOOKUP(G60,ОКТМО!B:M,12,0)</f>
        <v>Чымнайи</v>
      </c>
      <c r="G60" s="1">
        <v>98604460101</v>
      </c>
      <c r="H60" s="1" t="str">
        <f>VLOOKUP(G60,ОКТМО!N:R,4,0)</f>
        <v>62.2466666666667</v>
      </c>
      <c r="I60" s="1" t="str">
        <f>VLOOKUP(G60,ОКТМО!N:R,5,0)</f>
        <v>134.538055555556</v>
      </c>
      <c r="J60" s="1">
        <v>1213</v>
      </c>
      <c r="K60" s="1">
        <v>496</v>
      </c>
      <c r="L60" s="1">
        <v>121</v>
      </c>
      <c r="M60" s="1">
        <v>7</v>
      </c>
      <c r="N60" s="88">
        <v>7</v>
      </c>
      <c r="O60" s="1">
        <v>1</v>
      </c>
      <c r="P60" s="88" t="s">
        <v>6899</v>
      </c>
      <c r="Q60" s="1" t="s">
        <v>535</v>
      </c>
      <c r="R60" s="88" t="s">
        <v>535</v>
      </c>
      <c r="S60" s="88" t="s">
        <v>6825</v>
      </c>
      <c r="T60" s="1" t="str">
        <f t="shared" si="0"/>
        <v>Чымнайи</v>
      </c>
    </row>
    <row r="61" spans="1:20">
      <c r="A61" s="1">
        <v>58</v>
      </c>
      <c r="C61" s="23" t="s">
        <v>6851</v>
      </c>
      <c r="D61" s="23" t="str">
        <f>VLOOKUP(G61,ОКТМО!B:G,6,0)</f>
        <v>Таттинский муниципальный район</v>
      </c>
      <c r="E61" s="1" t="s">
        <v>317</v>
      </c>
      <c r="F61" s="1" t="str">
        <f>VLOOKUP(G61,ОКТМО!B:M,12,0)</f>
        <v>Хара-Алдан</v>
      </c>
      <c r="G61" s="1">
        <v>98604465101</v>
      </c>
      <c r="H61" s="1" t="str">
        <f>VLOOKUP(G61,ОКТМО!N:R,4,0)</f>
        <v>63.2608333333333</v>
      </c>
      <c r="I61" s="1" t="str">
        <f>VLOOKUP(G61,ОКТМО!N:R,5,0)</f>
        <v>133.225277777778</v>
      </c>
      <c r="J61" s="1">
        <v>1488</v>
      </c>
      <c r="K61" s="1">
        <v>116</v>
      </c>
      <c r="L61" s="1">
        <v>72</v>
      </c>
      <c r="M61" s="1">
        <v>3</v>
      </c>
      <c r="N61" s="88">
        <v>3</v>
      </c>
      <c r="O61" s="1">
        <v>1</v>
      </c>
      <c r="P61" s="88" t="s">
        <v>6899</v>
      </c>
      <c r="Q61" s="1">
        <v>3</v>
      </c>
      <c r="R61" s="88">
        <v>3</v>
      </c>
      <c r="S61" s="88" t="s">
        <v>535</v>
      </c>
      <c r="T61" s="1" t="str">
        <f t="shared" si="0"/>
        <v>Хара-Алдан</v>
      </c>
    </row>
    <row r="62" spans="1:20">
      <c r="A62" s="1">
        <v>59</v>
      </c>
      <c r="C62" s="23" t="s">
        <v>6851</v>
      </c>
      <c r="D62" s="23" t="str">
        <f>VLOOKUP(G62,ОКТМО!B:G,6,0)</f>
        <v>Томпонский муниципальный район</v>
      </c>
      <c r="E62" s="1" t="s">
        <v>317</v>
      </c>
      <c r="F62" s="1" t="str">
        <f>VLOOKUP(G62,ОКТМО!B:M,12,0)</f>
        <v>Джебарики-Хая</v>
      </c>
      <c r="G62" s="1">
        <v>98650152051</v>
      </c>
      <c r="H62" s="1" t="str">
        <f>VLOOKUP(G62,ОКТМО!N:R,4,0)</f>
        <v>62.2169444444444</v>
      </c>
      <c r="I62" s="1" t="str">
        <f>VLOOKUP(G62,ОКТМО!N:R,5,0)</f>
        <v>135.859444444444</v>
      </c>
      <c r="J62" s="1">
        <v>1260</v>
      </c>
      <c r="K62" s="1">
        <v>24</v>
      </c>
      <c r="L62" s="1">
        <v>28</v>
      </c>
      <c r="M62" s="1" t="s">
        <v>535</v>
      </c>
      <c r="N62" s="88" t="s">
        <v>535</v>
      </c>
      <c r="O62" s="1" t="s">
        <v>535</v>
      </c>
      <c r="P62" s="88" t="s">
        <v>535</v>
      </c>
      <c r="Q62" s="1" t="s">
        <v>535</v>
      </c>
      <c r="R62" s="88" t="s">
        <v>535</v>
      </c>
      <c r="S62" s="88" t="s">
        <v>535</v>
      </c>
      <c r="T62" s="1" t="str">
        <f t="shared" si="0"/>
        <v>Джебарики-Хая</v>
      </c>
    </row>
    <row r="63" spans="1:20" ht="30">
      <c r="A63" s="1">
        <v>60</v>
      </c>
      <c r="C63" s="23" t="s">
        <v>6851</v>
      </c>
      <c r="D63" s="23" t="str">
        <f>VLOOKUP(G63,ОКТМО!B:G,6,0)</f>
        <v>Томпонский муниципальный район</v>
      </c>
      <c r="E63" s="1" t="s">
        <v>317</v>
      </c>
      <c r="F63" s="1" t="str">
        <f>VLOOKUP(G63,ОКТМО!B:M,12,0)</f>
        <v>Хандыга</v>
      </c>
      <c r="G63" s="1">
        <v>98650151051</v>
      </c>
      <c r="H63" s="1" t="str">
        <f>VLOOKUP(G63,ОКТМО!N:R,4,0)</f>
        <v>62.6533333333333</v>
      </c>
      <c r="I63" s="1" t="str">
        <f>VLOOKUP(G63,ОКТМО!N:R,5,0)</f>
        <v>135.559166666667</v>
      </c>
      <c r="J63" s="1">
        <v>1000</v>
      </c>
      <c r="K63" s="1">
        <v>271</v>
      </c>
      <c r="L63" s="1">
        <v>86</v>
      </c>
      <c r="M63" s="1">
        <v>9</v>
      </c>
      <c r="N63" s="88">
        <v>9</v>
      </c>
      <c r="O63" s="1" t="s">
        <v>535</v>
      </c>
      <c r="P63" s="88" t="s">
        <v>535</v>
      </c>
      <c r="Q63" s="1">
        <v>11</v>
      </c>
      <c r="R63" s="88" t="s">
        <v>6915</v>
      </c>
      <c r="S63" s="88" t="s">
        <v>535</v>
      </c>
      <c r="T63" s="1" t="str">
        <f t="shared" si="0"/>
        <v>Хандыга</v>
      </c>
    </row>
    <row r="64" spans="1:20" ht="45">
      <c r="A64" s="1">
        <v>61</v>
      </c>
      <c r="C64" s="23" t="s">
        <v>6851</v>
      </c>
      <c r="D64" s="23" t="str">
        <f>VLOOKUP(G64,ОКТМО!B:G,6,0)</f>
        <v>Томпонский муниципальный район</v>
      </c>
      <c r="E64" s="1" t="s">
        <v>317</v>
      </c>
      <c r="F64" s="1" t="str">
        <f>VLOOKUP(G64,ОКТМО!B:M,12,0)</f>
        <v>Кескил</v>
      </c>
      <c r="G64" s="1">
        <v>98650430101</v>
      </c>
      <c r="H64" s="1" t="str">
        <f>VLOOKUP(G64,ОКТМО!N:R,4,0)</f>
        <v>62.6516666666667</v>
      </c>
      <c r="I64" s="1" t="str">
        <f>VLOOKUP(G64,ОКТМО!N:R,5,0)</f>
        <v>135.007777777778</v>
      </c>
      <c r="J64" s="1">
        <v>815</v>
      </c>
      <c r="K64" s="1">
        <v>360</v>
      </c>
      <c r="L64" s="1">
        <v>178</v>
      </c>
      <c r="M64" s="1">
        <v>6</v>
      </c>
      <c r="N64" s="88" t="s">
        <v>6918</v>
      </c>
      <c r="O64" s="1" t="s">
        <v>535</v>
      </c>
      <c r="P64" s="88" t="s">
        <v>535</v>
      </c>
      <c r="Q64" s="1">
        <v>3</v>
      </c>
      <c r="R64" s="88" t="s">
        <v>6916</v>
      </c>
      <c r="S64" s="88" t="s">
        <v>6825</v>
      </c>
      <c r="T64" s="1" t="str">
        <f t="shared" si="0"/>
        <v>Кескил</v>
      </c>
    </row>
    <row r="65" spans="1:20">
      <c r="A65" s="1">
        <v>62</v>
      </c>
      <c r="C65" s="23" t="s">
        <v>6851</v>
      </c>
      <c r="D65" s="23" t="str">
        <f>VLOOKUP(G65,ОКТМО!B:G,6,0)</f>
        <v>Томпонский муниципальный район</v>
      </c>
      <c r="E65" s="1" t="s">
        <v>317</v>
      </c>
      <c r="F65" s="1" t="str">
        <f>VLOOKUP(G65,ОКТМО!B:M,12,0)</f>
        <v>Мегино-Алдан</v>
      </c>
      <c r="G65" s="1">
        <v>98650415101</v>
      </c>
      <c r="H65" s="1" t="str">
        <f>VLOOKUP(G65,ОКТМО!N:R,4,0)</f>
        <v>62.6994444444444</v>
      </c>
      <c r="I65" s="1" t="str">
        <f>VLOOKUP(G65,ОКТМО!N:R,5,0)</f>
        <v>134.613611111111</v>
      </c>
      <c r="J65" s="1">
        <v>700</v>
      </c>
      <c r="K65" s="1">
        <v>150</v>
      </c>
      <c r="L65" s="1">
        <v>167</v>
      </c>
      <c r="M65" s="1" t="s">
        <v>535</v>
      </c>
      <c r="N65" s="88" t="s">
        <v>535</v>
      </c>
      <c r="O65" s="1" t="s">
        <v>535</v>
      </c>
      <c r="P65" s="88" t="s">
        <v>535</v>
      </c>
      <c r="Q65" s="1">
        <v>2</v>
      </c>
      <c r="R65" s="88" t="s">
        <v>6917</v>
      </c>
      <c r="S65" s="88" t="s">
        <v>535</v>
      </c>
      <c r="T65" s="1" t="str">
        <f t="shared" si="0"/>
        <v>Мегино-Алдан</v>
      </c>
    </row>
    <row r="66" spans="1:20">
      <c r="A66" s="1">
        <v>63</v>
      </c>
      <c r="C66" s="23" t="s">
        <v>6851</v>
      </c>
      <c r="D66" s="23" t="str">
        <f>VLOOKUP(G66,ОКТМО!B:G,6,0)</f>
        <v>Верхоянский муниципальный район</v>
      </c>
      <c r="E66" s="1" t="s">
        <v>317</v>
      </c>
      <c r="F66" s="1" t="str">
        <f>VLOOKUP(G66,ОКТМО!B:M,12,0)</f>
        <v>Сайды</v>
      </c>
      <c r="G66" s="1">
        <v>98616464101</v>
      </c>
      <c r="H66" s="1" t="str">
        <f>VLOOKUP(G66,ОКТМО!N:R,4,0)</f>
        <v>68.6972222222222</v>
      </c>
      <c r="I66" s="1" t="str">
        <f>VLOOKUP(G66,ОКТМО!N:R,5,0)</f>
        <v>134.464722222222</v>
      </c>
      <c r="J66" s="1">
        <v>950</v>
      </c>
      <c r="K66" s="1">
        <v>90</v>
      </c>
      <c r="L66" s="1">
        <v>60</v>
      </c>
      <c r="M66" s="1">
        <v>1</v>
      </c>
      <c r="N66" s="88" t="s">
        <v>6919</v>
      </c>
      <c r="O66" s="1" t="s">
        <v>535</v>
      </c>
      <c r="P66" s="88" t="s">
        <v>535</v>
      </c>
      <c r="Q66" s="1" t="s">
        <v>535</v>
      </c>
      <c r="R66" s="88" t="s">
        <v>535</v>
      </c>
      <c r="S66" s="88" t="s">
        <v>535</v>
      </c>
      <c r="T66" s="1" t="str">
        <f t="shared" si="0"/>
        <v>Сайды</v>
      </c>
    </row>
    <row r="67" spans="1:20" ht="30">
      <c r="A67" s="1">
        <v>64</v>
      </c>
      <c r="C67" s="23" t="s">
        <v>6851</v>
      </c>
      <c r="D67" s="23" t="str">
        <f>VLOOKUP(G67,ОКТМО!B:G,6,0)</f>
        <v>Томпонский муниципальный район</v>
      </c>
      <c r="E67" s="1" t="s">
        <v>317</v>
      </c>
      <c r="F67" s="1" t="str">
        <f>VLOOKUP(G67,ОКТМО!B:M,12,0)</f>
        <v>Новый</v>
      </c>
      <c r="G67" s="1">
        <v>98650440101</v>
      </c>
      <c r="H67" s="1" t="str">
        <f>VLOOKUP(G67,ОКТМО!N:R,4,0)</f>
        <v>62.5883333333333</v>
      </c>
      <c r="I67" s="1" t="str">
        <f>VLOOKUP(G67,ОКТМО!N:R,5,0)</f>
        <v>135.527222222222</v>
      </c>
      <c r="J67" s="1">
        <v>950</v>
      </c>
      <c r="K67" s="1">
        <v>250</v>
      </c>
      <c r="L67" s="1">
        <v>50</v>
      </c>
      <c r="M67" s="1">
        <v>6</v>
      </c>
      <c r="N67" s="88" t="s">
        <v>6920</v>
      </c>
      <c r="O67" s="1" t="s">
        <v>535</v>
      </c>
      <c r="P67" s="88" t="s">
        <v>535</v>
      </c>
      <c r="Q67" s="1">
        <v>3</v>
      </c>
      <c r="R67" s="88" t="s">
        <v>6921</v>
      </c>
      <c r="S67" s="88" t="s">
        <v>535</v>
      </c>
      <c r="T67" s="1" t="str">
        <f t="shared" si="0"/>
        <v>Новый</v>
      </c>
    </row>
    <row r="68" spans="1:20">
      <c r="A68" s="1">
        <v>65</v>
      </c>
      <c r="C68" s="23" t="s">
        <v>6851</v>
      </c>
      <c r="D68" s="23" t="str">
        <f>VLOOKUP(G68,ОКТМО!B:G,6,0)</f>
        <v>Томпонский муниципальный район</v>
      </c>
      <c r="E68" s="1" t="s">
        <v>317</v>
      </c>
      <c r="F68" s="1" t="str">
        <f>VLOOKUP(G68,ОКТМО!B:M,12,0)</f>
        <v>Охотский-Перевоз</v>
      </c>
      <c r="G68" s="1">
        <v>98650425101</v>
      </c>
      <c r="H68" s="1" t="str">
        <f>VLOOKUP(G68,ОКТМО!N:R,4,0)</f>
        <v>61.8775</v>
      </c>
      <c r="I68" s="1" t="str">
        <f>VLOOKUP(G68,ОКТМО!N:R,5,0)</f>
        <v>135.527777777778</v>
      </c>
      <c r="J68" s="1">
        <v>1190</v>
      </c>
      <c r="K68" s="1">
        <v>42</v>
      </c>
      <c r="L68" s="1">
        <v>14</v>
      </c>
      <c r="M68" s="1" t="s">
        <v>535</v>
      </c>
      <c r="N68" s="88" t="s">
        <v>535</v>
      </c>
      <c r="O68" s="1" t="s">
        <v>535</v>
      </c>
      <c r="P68" s="88" t="s">
        <v>535</v>
      </c>
      <c r="Q68" s="1" t="s">
        <v>535</v>
      </c>
      <c r="R68" s="88" t="s">
        <v>535</v>
      </c>
      <c r="S68" s="88" t="s">
        <v>535</v>
      </c>
      <c r="T68" s="1" t="str">
        <f t="shared" si="0"/>
        <v>Охотский-Перевоз</v>
      </c>
    </row>
    <row r="69" spans="1:20">
      <c r="A69" s="1">
        <v>66</v>
      </c>
      <c r="C69" s="23" t="s">
        <v>6851</v>
      </c>
      <c r="D69" s="23" t="str">
        <f>VLOOKUP(G69,ОКТМО!B:G,6,0)</f>
        <v>Усть-Алданский муниципальный район</v>
      </c>
      <c r="E69" s="1" t="s">
        <v>317</v>
      </c>
      <c r="F69" s="1" t="str">
        <f>VLOOKUP(G69,ОКТМО!B:M,12,0)</f>
        <v>Кылайы</v>
      </c>
      <c r="G69" s="1">
        <v>98652475101</v>
      </c>
      <c r="H69" s="1" t="str">
        <f>VLOOKUP(G69,ОКТМО!N:R,4,0)</f>
        <v>63.2283333333333</v>
      </c>
      <c r="I69" s="1" t="str">
        <f>VLOOKUP(G69,ОКТМО!N:R,5,0)</f>
        <v>132.12</v>
      </c>
      <c r="J69" s="1">
        <v>1115</v>
      </c>
      <c r="K69" s="1">
        <v>302</v>
      </c>
      <c r="L69" s="1">
        <v>71</v>
      </c>
      <c r="M69" s="1">
        <v>2</v>
      </c>
      <c r="N69" s="88" t="s">
        <v>6922</v>
      </c>
      <c r="O69" s="1">
        <v>1</v>
      </c>
      <c r="P69" s="88" t="s">
        <v>6899</v>
      </c>
      <c r="Q69" s="1">
        <v>1</v>
      </c>
      <c r="R69" s="88" t="s">
        <v>6908</v>
      </c>
      <c r="S69" s="88" t="s">
        <v>535</v>
      </c>
      <c r="T69" s="1" t="str">
        <f t="shared" ref="T69:T132" si="1">F69</f>
        <v>Кылайы</v>
      </c>
    </row>
    <row r="70" spans="1:20">
      <c r="A70" s="1">
        <v>67</v>
      </c>
      <c r="C70" s="23" t="s">
        <v>6851</v>
      </c>
      <c r="D70" s="23" t="str">
        <f>VLOOKUP(G70,ОКТМО!B:G,6,0)</f>
        <v>Усть-Алданский муниципальный район</v>
      </c>
      <c r="E70" s="1" t="s">
        <v>317</v>
      </c>
      <c r="F70" s="1" t="str">
        <f>VLOOKUP(G70,ОКТМО!B:M,12,0)</f>
        <v>Чериктей</v>
      </c>
      <c r="G70" s="1">
        <v>98652485101</v>
      </c>
      <c r="H70" s="1" t="str">
        <f>VLOOKUP(G70,ОКТМО!N:R,4,0)</f>
        <v>63.2327777777778</v>
      </c>
      <c r="I70" s="1" t="str">
        <f>VLOOKUP(G70,ОКТМО!N:R,5,0)</f>
        <v>130.989444444444</v>
      </c>
      <c r="J70" s="1">
        <v>1062</v>
      </c>
      <c r="K70" s="1">
        <v>318</v>
      </c>
      <c r="L70" s="1">
        <v>82</v>
      </c>
      <c r="M70" s="1">
        <v>4</v>
      </c>
      <c r="N70" s="88" t="s">
        <v>6923</v>
      </c>
      <c r="O70" s="1">
        <v>1</v>
      </c>
      <c r="P70" s="88" t="s">
        <v>6899</v>
      </c>
      <c r="Q70" s="1">
        <v>1</v>
      </c>
      <c r="R70" s="88" t="s">
        <v>6908</v>
      </c>
      <c r="S70" s="88" t="s">
        <v>535</v>
      </c>
      <c r="T70" s="1" t="str">
        <f t="shared" si="1"/>
        <v>Чериктей</v>
      </c>
    </row>
    <row r="71" spans="1:20">
      <c r="A71" s="1">
        <v>68</v>
      </c>
      <c r="C71" s="23" t="s">
        <v>6851</v>
      </c>
      <c r="D71" s="23" t="str">
        <f>VLOOKUP(G71,ОКТМО!B:G,6,0)</f>
        <v>Усть-Алданский муниципальный район</v>
      </c>
      <c r="E71" s="1" t="s">
        <v>317</v>
      </c>
      <c r="F71" s="1" t="str">
        <f>VLOOKUP(G71,ОКТМО!B:M,12,0)</f>
        <v>Дыгдал</v>
      </c>
      <c r="G71" s="1">
        <v>98652465101</v>
      </c>
      <c r="H71" s="1" t="str">
        <f>VLOOKUP(G71,ОКТМО!N:R,4,0)</f>
        <v>63.3044444444444</v>
      </c>
      <c r="I71" s="1" t="str">
        <f>VLOOKUP(G71,ОКТМО!N:R,5,0)</f>
        <v>130.379166666667</v>
      </c>
      <c r="J71" s="1">
        <v>1149</v>
      </c>
      <c r="K71" s="1">
        <v>107</v>
      </c>
      <c r="L71" s="1">
        <v>137</v>
      </c>
      <c r="M71" s="1" t="s">
        <v>535</v>
      </c>
      <c r="N71" s="88" t="s">
        <v>535</v>
      </c>
      <c r="O71" s="1">
        <v>1</v>
      </c>
      <c r="P71" s="88" t="s">
        <v>6899</v>
      </c>
      <c r="Q71" s="1">
        <v>1</v>
      </c>
      <c r="R71" s="88" t="s">
        <v>6908</v>
      </c>
      <c r="S71" s="88" t="s">
        <v>535</v>
      </c>
      <c r="T71" s="1" t="str">
        <f t="shared" si="1"/>
        <v>Дыгдал</v>
      </c>
    </row>
    <row r="72" spans="1:20">
      <c r="A72" s="1">
        <v>69</v>
      </c>
      <c r="C72" s="23" t="s">
        <v>6851</v>
      </c>
      <c r="D72" s="23" t="str">
        <f>VLOOKUP(G72,ОКТМО!B:G,6,0)</f>
        <v>Усть-Алданский муниципальный район</v>
      </c>
      <c r="E72" s="1" t="s">
        <v>11</v>
      </c>
      <c r="F72" s="1" t="str">
        <f>VLOOKUP(G72,ОКТМО!B:M,12,0)</f>
        <v>Огородтах</v>
      </c>
      <c r="G72" s="1">
        <v>98652470101</v>
      </c>
      <c r="H72" s="1" t="str">
        <f>VLOOKUP(G72,ОКТМО!N:R,4,0)</f>
        <v>62.4530555555556</v>
      </c>
      <c r="I72" s="1" t="str">
        <f>VLOOKUP(G72,ОКТМО!N:R,5,0)</f>
        <v>130.141388888889</v>
      </c>
      <c r="J72" s="1">
        <v>972</v>
      </c>
      <c r="K72" s="1">
        <v>435</v>
      </c>
      <c r="L72" s="1">
        <v>127</v>
      </c>
      <c r="M72" s="1" t="s">
        <v>535</v>
      </c>
      <c r="N72" s="88" t="s">
        <v>535</v>
      </c>
      <c r="O72" s="1">
        <v>1</v>
      </c>
      <c r="P72" s="88" t="s">
        <v>6899</v>
      </c>
      <c r="Q72" s="1">
        <v>2</v>
      </c>
      <c r="R72" s="88" t="s">
        <v>6908</v>
      </c>
      <c r="S72" s="88" t="s">
        <v>6830</v>
      </c>
      <c r="T72" s="1" t="str">
        <f t="shared" si="1"/>
        <v>Огородтах</v>
      </c>
    </row>
    <row r="73" spans="1:20">
      <c r="A73" s="1">
        <v>70</v>
      </c>
      <c r="C73" s="23" t="s">
        <v>6851</v>
      </c>
      <c r="D73" s="23" t="str">
        <f>VLOOKUP(G73,ОКТМО!B:G,6,0)</f>
        <v>Усть-Алданский муниципальный район</v>
      </c>
      <c r="E73" s="1" t="s">
        <v>11</v>
      </c>
      <c r="F73" s="1" t="str">
        <f>VLOOKUP(G73,ОКТМО!B:M,12,0)</f>
        <v>Хоногор</v>
      </c>
      <c r="G73" s="1">
        <v>98652470111</v>
      </c>
      <c r="H73" s="1" t="str">
        <f>VLOOKUP(G73,ОКТМО!N:R,4,0)</f>
        <v>62.47</v>
      </c>
      <c r="I73" s="1" t="str">
        <f>VLOOKUP(G73,ОКТМО!N:R,5,0)</f>
        <v>130.11</v>
      </c>
      <c r="J73" s="1">
        <v>900</v>
      </c>
      <c r="K73" s="1">
        <v>353</v>
      </c>
      <c r="L73" s="1">
        <v>112</v>
      </c>
      <c r="M73" s="1" t="s">
        <v>535</v>
      </c>
      <c r="N73" s="88" t="s">
        <v>535</v>
      </c>
      <c r="O73" s="1">
        <v>1</v>
      </c>
      <c r="P73" s="88" t="s">
        <v>6899</v>
      </c>
      <c r="Q73" s="1">
        <v>1</v>
      </c>
      <c r="R73" s="88" t="s">
        <v>6908</v>
      </c>
      <c r="S73" s="88" t="s">
        <v>535</v>
      </c>
      <c r="T73" s="1" t="str">
        <f t="shared" si="1"/>
        <v>Хоногор</v>
      </c>
    </row>
    <row r="74" spans="1:20" ht="30">
      <c r="A74" s="1">
        <v>71</v>
      </c>
      <c r="C74" s="23" t="s">
        <v>6851</v>
      </c>
      <c r="D74" s="23" t="str">
        <f>VLOOKUP(G74,ОКТМО!B:G,6,0)</f>
        <v>Усть-Алданский муниципальный район</v>
      </c>
      <c r="E74" s="1" t="s">
        <v>11</v>
      </c>
      <c r="F74" s="1" t="str">
        <f>VLOOKUP(G74,ОКТМО!B:M,12,0)</f>
        <v>Ары-Тит</v>
      </c>
      <c r="G74" s="1">
        <v>98652415106</v>
      </c>
      <c r="H74" s="1" t="str">
        <f>VLOOKUP(G74,ОКТМО!N:R,4,0)</f>
        <v>62.5102777777778</v>
      </c>
      <c r="I74" s="1" t="str">
        <f>VLOOKUP(G74,ОКТМО!N:R,5,0)</f>
        <v>130.045833333333</v>
      </c>
      <c r="J74" s="1">
        <v>1000</v>
      </c>
      <c r="K74" s="1">
        <v>48</v>
      </c>
      <c r="L74" s="1">
        <v>32</v>
      </c>
      <c r="M74" s="1">
        <v>1</v>
      </c>
      <c r="N74" s="88" t="s">
        <v>6925</v>
      </c>
      <c r="O74" s="1">
        <v>2</v>
      </c>
      <c r="P74" s="88" t="s">
        <v>6924</v>
      </c>
      <c r="Q74" s="1">
        <v>1</v>
      </c>
      <c r="R74" s="88" t="s">
        <v>6908</v>
      </c>
      <c r="S74" s="88" t="s">
        <v>535</v>
      </c>
      <c r="T74" s="1" t="str">
        <f t="shared" si="1"/>
        <v>Ары-Тит</v>
      </c>
    </row>
    <row r="75" spans="1:20">
      <c r="A75" s="1">
        <v>72</v>
      </c>
      <c r="C75" s="23" t="s">
        <v>6851</v>
      </c>
      <c r="D75" s="23" t="str">
        <f>VLOOKUP(G75,ОКТМО!B:G,6,0)</f>
        <v>Усть-Майский муниципальный район</v>
      </c>
      <c r="E75" s="1" t="s">
        <v>317</v>
      </c>
      <c r="F75" s="1" t="str">
        <f>VLOOKUP(G75,ОКТМО!B:M,12,0)</f>
        <v>Белькачи</v>
      </c>
      <c r="G75" s="1">
        <v>98654405101</v>
      </c>
      <c r="H75" s="1" t="str">
        <f>VLOOKUP(G75,ОКТМО!N:R,4,0)</f>
        <v>59.18455060</v>
      </c>
      <c r="I75" s="1" t="str">
        <f>VLOOKUP(G75,ОКТМО!N:R,5,0)</f>
        <v>131.89336840</v>
      </c>
      <c r="J75" s="1">
        <v>2330</v>
      </c>
      <c r="K75" s="1">
        <v>5</v>
      </c>
      <c r="L75" s="1">
        <v>3</v>
      </c>
      <c r="M75" s="1" t="s">
        <v>535</v>
      </c>
      <c r="N75" s="88" t="s">
        <v>535</v>
      </c>
      <c r="O75" s="1" t="s">
        <v>535</v>
      </c>
      <c r="P75" s="88" t="s">
        <v>535</v>
      </c>
      <c r="Q75" s="1">
        <v>1</v>
      </c>
      <c r="R75" s="88" t="s">
        <v>6908</v>
      </c>
      <c r="S75" s="88" t="s">
        <v>535</v>
      </c>
      <c r="T75" s="1" t="str">
        <f t="shared" si="1"/>
        <v>Белькачи</v>
      </c>
    </row>
    <row r="76" spans="1:20">
      <c r="A76" s="1">
        <v>73</v>
      </c>
      <c r="C76" s="23" t="s">
        <v>6851</v>
      </c>
      <c r="D76" s="23" t="str">
        <f>VLOOKUP(G76,ОКТМО!B:G,6,0)</f>
        <v>Усть-Майский муниципальный район</v>
      </c>
      <c r="E76" s="1" t="s">
        <v>317</v>
      </c>
      <c r="F76" s="1" t="str">
        <f>VLOOKUP(G76,ОКТМО!B:M,12,0)</f>
        <v>Эжанцы</v>
      </c>
      <c r="G76" s="1">
        <v>98654425101</v>
      </c>
      <c r="H76" s="1" t="str">
        <f>VLOOKUP(G76,ОКТМО!N:R,4,0)</f>
        <v>60.4794444444444</v>
      </c>
      <c r="I76" s="1" t="str">
        <f>VLOOKUP(G76,ОКТМО!N:R,5,0)</f>
        <v>135.168055555556</v>
      </c>
      <c r="J76" s="1">
        <v>1500</v>
      </c>
      <c r="K76" s="1">
        <v>71</v>
      </c>
      <c r="L76" s="1">
        <v>19</v>
      </c>
      <c r="M76" s="1" t="s">
        <v>535</v>
      </c>
      <c r="N76" s="88" t="s">
        <v>535</v>
      </c>
      <c r="O76" s="1" t="s">
        <v>535</v>
      </c>
      <c r="P76" s="88" t="s">
        <v>535</v>
      </c>
      <c r="Q76" s="1" t="s">
        <v>535</v>
      </c>
      <c r="R76" s="88" t="s">
        <v>535</v>
      </c>
      <c r="S76" s="88" t="s">
        <v>6825</v>
      </c>
      <c r="T76" s="1" t="str">
        <f t="shared" si="1"/>
        <v>Эжанцы</v>
      </c>
    </row>
    <row r="77" spans="1:20">
      <c r="A77" s="1">
        <v>74</v>
      </c>
      <c r="C77" s="23" t="s">
        <v>6851</v>
      </c>
      <c r="D77" s="23" t="str">
        <f>VLOOKUP(G77,ОКТМО!B:G,6,0)</f>
        <v>Усть-Майский муниципальный район</v>
      </c>
      <c r="E77" s="1" t="s">
        <v>317</v>
      </c>
      <c r="F77" s="1" t="str">
        <f>VLOOKUP(G77,ОКТМО!B:M,12,0)</f>
        <v>Эльдикан</v>
      </c>
      <c r="G77" s="1">
        <v>98654164051</v>
      </c>
      <c r="H77" s="1" t="str">
        <f>VLOOKUP(G77,ОКТМО!N:R,4,0)</f>
        <v>60.775</v>
      </c>
      <c r="I77" s="1" t="str">
        <f>VLOOKUP(G77,ОКТМО!N:R,5,0)</f>
        <v>135.148611111111</v>
      </c>
      <c r="J77" s="1">
        <v>1515</v>
      </c>
      <c r="K77" s="1">
        <v>521</v>
      </c>
      <c r="L77" s="1">
        <v>167</v>
      </c>
      <c r="M77" s="1">
        <v>3</v>
      </c>
      <c r="N77" s="88" t="s">
        <v>6926</v>
      </c>
      <c r="O77" s="1" t="s">
        <v>535</v>
      </c>
      <c r="P77" s="88" t="s">
        <v>535</v>
      </c>
      <c r="Q77" s="1">
        <v>1</v>
      </c>
      <c r="R77" s="88" t="s">
        <v>6908</v>
      </c>
      <c r="S77" s="88" t="s">
        <v>6825</v>
      </c>
      <c r="T77" s="1" t="str">
        <f t="shared" si="1"/>
        <v>Эльдикан</v>
      </c>
    </row>
    <row r="78" spans="1:20">
      <c r="A78" s="1">
        <v>75</v>
      </c>
      <c r="C78" s="23" t="s">
        <v>6851</v>
      </c>
      <c r="D78" s="23" t="str">
        <f>VLOOKUP(G78,ОКТМО!B:G,6,0)</f>
        <v>Усть-Майский муниципальный район</v>
      </c>
      <c r="E78" s="1" t="s">
        <v>317</v>
      </c>
      <c r="F78" s="1" t="str">
        <f>VLOOKUP(G78,ОКТМО!B:M,12,0)</f>
        <v>Кюпцы</v>
      </c>
      <c r="G78" s="1">
        <v>98654410101</v>
      </c>
      <c r="H78" s="1" t="str">
        <f>VLOOKUP(G78,ОКТМО!N:R,4,0)</f>
        <v>60.8633333333333</v>
      </c>
      <c r="I78" s="1" t="str">
        <f>VLOOKUP(G78,ОКТМО!N:R,5,0)</f>
        <v>135.325555555556</v>
      </c>
      <c r="J78" s="1">
        <v>1356</v>
      </c>
      <c r="K78" s="1">
        <v>275</v>
      </c>
      <c r="L78" s="1">
        <v>44</v>
      </c>
      <c r="M78" s="1">
        <v>3</v>
      </c>
      <c r="N78" s="88" t="s">
        <v>6927</v>
      </c>
      <c r="O78" s="1" t="s">
        <v>535</v>
      </c>
      <c r="P78" s="88" t="s">
        <v>535</v>
      </c>
      <c r="Q78" s="1">
        <v>1</v>
      </c>
      <c r="R78" s="88" t="s">
        <v>6908</v>
      </c>
      <c r="S78" s="88" t="s">
        <v>6825</v>
      </c>
      <c r="T78" s="1" t="str">
        <f t="shared" si="1"/>
        <v>Кюпцы</v>
      </c>
    </row>
    <row r="79" spans="1:20">
      <c r="A79" s="1">
        <v>76</v>
      </c>
      <c r="C79" s="23" t="s">
        <v>6851</v>
      </c>
      <c r="D79" s="23" t="str">
        <f>VLOOKUP(G79,ОКТМО!B:G,6,0)</f>
        <v>Усть-Янский муниципальный район</v>
      </c>
      <c r="E79" s="1" t="s">
        <v>588</v>
      </c>
      <c r="F79" s="1" t="str">
        <f>VLOOKUP(G79,ОКТМО!B:M,12,0)</f>
        <v>Усть-Янск</v>
      </c>
      <c r="G79" s="1">
        <v>98656425101</v>
      </c>
      <c r="H79" s="1" t="str">
        <f>VLOOKUP(G79,ОКТМО!N:R,4,0)</f>
        <v>70.9133333333333</v>
      </c>
      <c r="I79" s="1" t="str">
        <f>VLOOKUP(G79,ОКТМО!N:R,5,0)</f>
        <v>136.449722222222</v>
      </c>
      <c r="J79" s="1">
        <v>1023</v>
      </c>
      <c r="K79" s="1">
        <v>401</v>
      </c>
      <c r="L79" s="1">
        <v>73</v>
      </c>
      <c r="M79" s="1">
        <v>5</v>
      </c>
      <c r="N79" s="88" t="s">
        <v>6928</v>
      </c>
      <c r="O79" s="1">
        <v>1</v>
      </c>
      <c r="P79" s="88">
        <v>1</v>
      </c>
      <c r="Q79" s="1">
        <v>2</v>
      </c>
      <c r="R79" s="88" t="s">
        <v>6931</v>
      </c>
      <c r="S79" s="88" t="s">
        <v>6933</v>
      </c>
      <c r="T79" s="1" t="str">
        <f t="shared" si="1"/>
        <v>Усть-Янск</v>
      </c>
    </row>
    <row r="80" spans="1:20">
      <c r="A80" s="1">
        <v>77</v>
      </c>
      <c r="C80" s="23" t="s">
        <v>6851</v>
      </c>
      <c r="D80" s="23" t="str">
        <f>VLOOKUP(G80,ОКТМО!B:G,6,0)</f>
        <v>Хангаласский муниципальный район</v>
      </c>
      <c r="E80" s="1" t="s">
        <v>11</v>
      </c>
      <c r="F80" s="1" t="str">
        <f>VLOOKUP(G80,ОКТМО!B:M,12,0)</f>
        <v>Исит</v>
      </c>
      <c r="G80" s="1">
        <v>98644412101</v>
      </c>
      <c r="H80" s="1" t="str">
        <f>VLOOKUP(G80,ОКТМО!N:R,4,0)</f>
        <v>60.8122222222222</v>
      </c>
      <c r="I80" s="1" t="str">
        <f>VLOOKUP(G80,ОКТМО!N:R,5,0)</f>
        <v>125.328333333333</v>
      </c>
      <c r="J80" s="1" t="s">
        <v>535</v>
      </c>
      <c r="K80" s="1" t="s">
        <v>535</v>
      </c>
      <c r="L80" s="1" t="s">
        <v>535</v>
      </c>
      <c r="M80" s="1">
        <v>2</v>
      </c>
      <c r="N80" s="88" t="s">
        <v>6929</v>
      </c>
      <c r="O80" s="1" t="s">
        <v>535</v>
      </c>
      <c r="P80" s="88" t="s">
        <v>535</v>
      </c>
      <c r="Q80" s="1">
        <v>1</v>
      </c>
      <c r="R80" s="88" t="s">
        <v>6908</v>
      </c>
      <c r="S80" s="88" t="s">
        <v>535</v>
      </c>
      <c r="T80" s="1" t="str">
        <f t="shared" si="1"/>
        <v>Исит</v>
      </c>
    </row>
    <row r="81" spans="1:20">
      <c r="A81" s="1">
        <v>78</v>
      </c>
      <c r="C81" s="23" t="s">
        <v>6851</v>
      </c>
      <c r="D81" s="23" t="str">
        <f>VLOOKUP(G81,ОКТМО!B:G,6,0)</f>
        <v>Аллаиховский муниципальный район</v>
      </c>
      <c r="E81" s="1" t="s">
        <v>11</v>
      </c>
      <c r="F81" s="1" t="str">
        <f>VLOOKUP(G81,ОКТМО!B:M,12,0)</f>
        <v>Чкалов</v>
      </c>
      <c r="G81" s="1">
        <v>98606424101</v>
      </c>
      <c r="H81" s="1" t="str">
        <f>VLOOKUP(G81,ОКТМО!N:R,4,0)</f>
        <v>70.5327777777778</v>
      </c>
      <c r="I81" s="1" t="str">
        <f>VLOOKUP(G81,ОКТМО!N:R,5,0)</f>
        <v>144.7025</v>
      </c>
      <c r="J81" s="1">
        <v>1100</v>
      </c>
      <c r="K81" s="1">
        <v>19</v>
      </c>
      <c r="L81" s="1">
        <v>8</v>
      </c>
      <c r="M81" s="1" t="s">
        <v>535</v>
      </c>
      <c r="N81" s="88" t="s">
        <v>535</v>
      </c>
      <c r="O81" s="1" t="s">
        <v>535</v>
      </c>
      <c r="P81" s="88" t="s">
        <v>535</v>
      </c>
      <c r="Q81" s="1" t="s">
        <v>535</v>
      </c>
      <c r="R81" s="88" t="s">
        <v>535</v>
      </c>
      <c r="S81" s="88" t="s">
        <v>535</v>
      </c>
      <c r="T81" s="1" t="str">
        <f t="shared" si="1"/>
        <v>Чкалов</v>
      </c>
    </row>
    <row r="82" spans="1:20" ht="30">
      <c r="A82" s="1">
        <v>79</v>
      </c>
      <c r="C82" s="23" t="s">
        <v>6851</v>
      </c>
      <c r="D82" s="23" t="str">
        <f>VLOOKUP(G82,ОКТМО!B:G,6,0)</f>
        <v>Хангаласский муниципальный район</v>
      </c>
      <c r="E82" s="1" t="s">
        <v>11</v>
      </c>
      <c r="F82" s="1" t="str">
        <f>VLOOKUP(G82,ОКТМО!B:M,12,0)</f>
        <v>Кытыл-Дюра</v>
      </c>
      <c r="G82" s="1">
        <v>98644428101</v>
      </c>
      <c r="H82" s="1" t="str">
        <f>VLOOKUP(G82,ОКТМО!N:R,4,0)</f>
        <v>60.9686111111111</v>
      </c>
      <c r="I82" s="1" t="str">
        <f>VLOOKUP(G82,ОКТМО!N:R,5,0)</f>
        <v>125.923888888889</v>
      </c>
      <c r="J82" s="1">
        <v>386</v>
      </c>
      <c r="K82" s="1">
        <v>84</v>
      </c>
      <c r="L82" s="1">
        <v>17</v>
      </c>
      <c r="M82" s="1">
        <v>4</v>
      </c>
      <c r="N82" s="88" t="s">
        <v>6930</v>
      </c>
      <c r="O82" s="1" t="s">
        <v>535</v>
      </c>
      <c r="P82" s="88" t="s">
        <v>535</v>
      </c>
      <c r="Q82" s="1" t="s">
        <v>535</v>
      </c>
      <c r="R82" s="88" t="s">
        <v>535</v>
      </c>
      <c r="S82" s="88" t="s">
        <v>535</v>
      </c>
      <c r="T82" s="1" t="str">
        <f t="shared" si="1"/>
        <v>Кытыл-Дюра</v>
      </c>
    </row>
    <row r="83" spans="1:20">
      <c r="A83" s="1">
        <v>80</v>
      </c>
      <c r="C83" s="23" t="s">
        <v>6851</v>
      </c>
      <c r="D83" s="23" t="str">
        <f>VLOOKUP(G83,ОКТМО!B:G,6,0)</f>
        <v>Хангаласский муниципальный район</v>
      </c>
      <c r="E83" s="1" t="s">
        <v>11</v>
      </c>
      <c r="F83" s="1" t="str">
        <f>VLOOKUP(G83,ОКТМО!B:M,12,0)</f>
        <v>Тойон-Ары</v>
      </c>
      <c r="G83" s="1">
        <v>98644423106</v>
      </c>
      <c r="H83" s="1" t="str">
        <f>VLOOKUP(G83,ОКТМО!N:R,4,0)</f>
        <v>61.24</v>
      </c>
      <c r="I83" s="1" t="str">
        <f>VLOOKUP(G83,ОКТМО!N:R,5,0)</f>
        <v>128.386666666667</v>
      </c>
      <c r="J83" s="1">
        <v>897</v>
      </c>
      <c r="K83" s="1">
        <v>112</v>
      </c>
      <c r="L83" s="1">
        <v>39</v>
      </c>
      <c r="M83" s="1">
        <v>3</v>
      </c>
      <c r="N83" s="88" t="s">
        <v>6932</v>
      </c>
      <c r="O83" s="1" t="s">
        <v>535</v>
      </c>
      <c r="P83" s="88" t="s">
        <v>535</v>
      </c>
      <c r="Q83" s="1">
        <v>2</v>
      </c>
      <c r="R83" s="88">
        <v>2</v>
      </c>
      <c r="S83" s="88" t="s">
        <v>535</v>
      </c>
      <c r="T83" s="1" t="str">
        <f t="shared" si="1"/>
        <v>Тойон-Ары</v>
      </c>
    </row>
    <row r="84" spans="1:20">
      <c r="A84" s="1">
        <v>81</v>
      </c>
      <c r="C84" s="23" t="s">
        <v>6851</v>
      </c>
      <c r="D84" s="23" t="str">
        <f>VLOOKUP(G84,ОКТМО!B:G,6,0)</f>
        <v>Хангаласский муниципальный район</v>
      </c>
      <c r="E84" s="1" t="s">
        <v>11</v>
      </c>
      <c r="F84" s="1" t="str">
        <f>VLOOKUP(G84,ОКТМО!B:M,12,0)</f>
        <v>Кердём</v>
      </c>
      <c r="G84" s="1">
        <v>98644407101</v>
      </c>
      <c r="H84" s="1" t="str">
        <f>VLOOKUP(G84,ОКТМО!N:R,4,0)</f>
        <v>61.4313888888889</v>
      </c>
      <c r="I84" s="1" t="str">
        <f>VLOOKUP(G84,ОКТМО!N:R,5,0)</f>
        <v>129.195555555556</v>
      </c>
      <c r="J84" s="1" t="s">
        <v>535</v>
      </c>
      <c r="K84" s="1">
        <v>14</v>
      </c>
      <c r="L84" s="1">
        <v>4</v>
      </c>
      <c r="M84" s="1" t="s">
        <v>535</v>
      </c>
      <c r="N84" s="88" t="s">
        <v>535</v>
      </c>
      <c r="O84" s="1" t="s">
        <v>535</v>
      </c>
      <c r="P84" s="88" t="s">
        <v>535</v>
      </c>
      <c r="Q84" s="1" t="s">
        <v>535</v>
      </c>
      <c r="R84" s="88" t="s">
        <v>535</v>
      </c>
      <c r="S84" s="88" t="s">
        <v>535</v>
      </c>
      <c r="T84" s="1" t="str">
        <f t="shared" si="1"/>
        <v>Кердём</v>
      </c>
    </row>
    <row r="85" spans="1:20">
      <c r="A85" s="1">
        <v>82</v>
      </c>
      <c r="C85" s="23" t="s">
        <v>6851</v>
      </c>
      <c r="D85" s="23" t="str">
        <f>VLOOKUP(G85,ОКТМО!B:G,6,0)</f>
        <v>Хангаласский муниципальный район</v>
      </c>
      <c r="E85" s="1" t="s">
        <v>11</v>
      </c>
      <c r="F85" s="1" t="str">
        <f>VLOOKUP(G85,ОКТМО!B:M,12,0)</f>
        <v>Покровск</v>
      </c>
      <c r="G85" s="1">
        <v>98644101001</v>
      </c>
      <c r="H85" s="1" t="str">
        <f>VLOOKUP(G85,ОКТМО!N:R,4,0)</f>
        <v>61.4838888888889</v>
      </c>
      <c r="I85" s="1" t="str">
        <f>VLOOKUP(G85,ОКТМО!N:R,5,0)</f>
        <v>129.150555555556</v>
      </c>
      <c r="J85" s="1">
        <v>1370</v>
      </c>
      <c r="K85" s="1">
        <v>317</v>
      </c>
      <c r="L85" s="1">
        <v>59</v>
      </c>
      <c r="M85" s="1" t="s">
        <v>535</v>
      </c>
      <c r="N85" s="88" t="s">
        <v>535</v>
      </c>
      <c r="O85" s="1" t="s">
        <v>535</v>
      </c>
      <c r="P85" s="88" t="s">
        <v>535</v>
      </c>
      <c r="Q85" s="1" t="s">
        <v>535</v>
      </c>
      <c r="R85" s="88" t="s">
        <v>535</v>
      </c>
      <c r="S85" s="88" t="s">
        <v>535</v>
      </c>
      <c r="T85" s="1" t="str">
        <f t="shared" si="1"/>
        <v>Покровск</v>
      </c>
    </row>
    <row r="86" spans="1:20">
      <c r="A86" s="1">
        <v>83</v>
      </c>
      <c r="C86" s="23" t="s">
        <v>6851</v>
      </c>
      <c r="D86" s="23" t="str">
        <f>VLOOKUP(G86,ОКТМО!B:G,6,0)</f>
        <v>Хангаласский муниципальный район</v>
      </c>
      <c r="E86" s="1" t="s">
        <v>11</v>
      </c>
      <c r="F86" s="1" t="str">
        <f>VLOOKUP(G86,ОКТМО!B:M,12,0)</f>
        <v>Тит-Эбя</v>
      </c>
      <c r="G86" s="1">
        <v>98644406101</v>
      </c>
      <c r="H86" s="1" t="str">
        <f>VLOOKUP(G86,ОКТМО!N:R,4,0)</f>
        <v>61.4844444444444</v>
      </c>
      <c r="I86" s="1" t="str">
        <f>VLOOKUP(G86,ОКТМО!N:R,5,0)</f>
        <v>129.318333333333</v>
      </c>
      <c r="J86" s="1" t="s">
        <v>535</v>
      </c>
      <c r="K86" s="1">
        <v>160</v>
      </c>
      <c r="L86" s="1">
        <v>63</v>
      </c>
      <c r="M86" s="1" t="s">
        <v>535</v>
      </c>
      <c r="N86" s="88" t="s">
        <v>535</v>
      </c>
      <c r="O86" s="1" t="s">
        <v>535</v>
      </c>
      <c r="P86" s="88" t="s">
        <v>535</v>
      </c>
      <c r="Q86" s="1" t="s">
        <v>535</v>
      </c>
      <c r="R86" s="88" t="s">
        <v>535</v>
      </c>
      <c r="S86" s="88" t="s">
        <v>535</v>
      </c>
      <c r="T86" s="1" t="str">
        <f t="shared" si="1"/>
        <v>Тит-Эбя</v>
      </c>
    </row>
    <row r="87" spans="1:20">
      <c r="A87" s="1">
        <v>84</v>
      </c>
      <c r="C87" s="23" t="s">
        <v>6851</v>
      </c>
      <c r="D87" s="23" t="str">
        <f>VLOOKUP(G87,ОКТМО!B:G,6,0)</f>
        <v>Хангаласский муниципальный район</v>
      </c>
      <c r="E87" s="1" t="s">
        <v>11</v>
      </c>
      <c r="F87" s="1" t="str">
        <f>VLOOKUP(G87,ОКТМО!B:M,12,0)</f>
        <v>Ой</v>
      </c>
      <c r="G87" s="1">
        <v>98644435101</v>
      </c>
      <c r="H87" s="1" t="str">
        <f>VLOOKUP(G87,ОКТМО!N:R,4,0)</f>
        <v>61.5405555555556</v>
      </c>
      <c r="I87" s="1" t="str">
        <f>VLOOKUP(G87,ОКТМО!N:R,5,0)</f>
        <v>129.183888888889</v>
      </c>
      <c r="J87" s="1" t="s">
        <v>535</v>
      </c>
      <c r="K87" s="1">
        <v>38</v>
      </c>
      <c r="L87" s="1">
        <v>42</v>
      </c>
      <c r="M87" s="1">
        <v>1</v>
      </c>
      <c r="N87" s="88" t="s">
        <v>6934</v>
      </c>
      <c r="O87" s="1" t="s">
        <v>535</v>
      </c>
      <c r="P87" s="88" t="s">
        <v>535</v>
      </c>
      <c r="Q87" s="1">
        <v>1</v>
      </c>
      <c r="R87" s="88" t="s">
        <v>6935</v>
      </c>
      <c r="S87" s="88" t="s">
        <v>535</v>
      </c>
      <c r="T87" s="1" t="str">
        <f t="shared" si="1"/>
        <v>Ой</v>
      </c>
    </row>
    <row r="88" spans="1:20">
      <c r="A88" s="1">
        <v>85</v>
      </c>
      <c r="C88" s="23" t="s">
        <v>6851</v>
      </c>
      <c r="D88" s="23" t="str">
        <f>VLOOKUP(G88,ОКТМО!B:G,6,0)</f>
        <v>Хангаласский муниципальный район</v>
      </c>
      <c r="E88" s="1" t="s">
        <v>11</v>
      </c>
      <c r="F88" s="1" t="str">
        <f>VLOOKUP(G88,ОКТМО!B:M,12,0)</f>
        <v>Хоточчу</v>
      </c>
      <c r="G88" s="1">
        <v>98644406106</v>
      </c>
      <c r="H88" s="1" t="str">
        <f>VLOOKUP(G88,ОКТМО!N:R,4,0)</f>
        <v>61.5344444444444</v>
      </c>
      <c r="I88" s="1" t="str">
        <f>VLOOKUP(G88,ОКТМО!N:R,5,0)</f>
        <v>129.408611111111</v>
      </c>
      <c r="J88" s="1">
        <v>550</v>
      </c>
      <c r="K88" s="1">
        <v>223</v>
      </c>
      <c r="L88" s="1">
        <v>70</v>
      </c>
      <c r="M88" s="1" t="s">
        <v>535</v>
      </c>
      <c r="N88" s="88" t="s">
        <v>535</v>
      </c>
      <c r="O88" s="1" t="s">
        <v>535</v>
      </c>
      <c r="P88" s="88" t="s">
        <v>535</v>
      </c>
      <c r="Q88" s="1" t="s">
        <v>535</v>
      </c>
      <c r="R88" s="88" t="s">
        <v>535</v>
      </c>
      <c r="S88" s="88" t="s">
        <v>535</v>
      </c>
      <c r="T88" s="1" t="str">
        <f t="shared" si="1"/>
        <v>Хоточчу</v>
      </c>
    </row>
    <row r="89" spans="1:20">
      <c r="A89" s="1">
        <v>86</v>
      </c>
      <c r="C89" s="23" t="s">
        <v>6851</v>
      </c>
      <c r="D89" s="23" t="str">
        <f>VLOOKUP(G89,ОКТМО!B:G,6,0)</f>
        <v>Хангаласский муниципальный район</v>
      </c>
      <c r="E89" s="1" t="s">
        <v>11</v>
      </c>
      <c r="F89" s="1" t="str">
        <f>VLOOKUP(G89,ОКТМО!B:M,12,0)</f>
        <v>Улахан-Ан</v>
      </c>
      <c r="G89" s="1">
        <v>98644425101</v>
      </c>
      <c r="H89" s="1" t="str">
        <f>VLOOKUP(G89,ОКТМО!N:R,4,0)</f>
        <v>61.3011111111111</v>
      </c>
      <c r="I89" s="1" t="str">
        <f>VLOOKUP(G89,ОКТМО!N:R,5,0)</f>
        <v>128.258611111111</v>
      </c>
      <c r="J89" s="1" t="s">
        <v>535</v>
      </c>
      <c r="K89" s="1">
        <v>137</v>
      </c>
      <c r="L89" s="1">
        <v>40</v>
      </c>
      <c r="M89" s="1">
        <v>1</v>
      </c>
      <c r="N89" s="88" t="s">
        <v>6936</v>
      </c>
      <c r="O89" s="1" t="s">
        <v>535</v>
      </c>
      <c r="P89" s="88" t="s">
        <v>535</v>
      </c>
      <c r="Q89" s="1" t="s">
        <v>535</v>
      </c>
      <c r="R89" s="88" t="s">
        <v>535</v>
      </c>
      <c r="S89" s="88" t="s">
        <v>535</v>
      </c>
      <c r="T89" s="1" t="str">
        <f t="shared" si="1"/>
        <v>Улахан-Ан</v>
      </c>
    </row>
    <row r="90" spans="1:20">
      <c r="A90" s="1">
        <v>87</v>
      </c>
      <c r="C90" s="23" t="s">
        <v>6851</v>
      </c>
      <c r="D90" s="23" t="str">
        <f>VLOOKUP(G90,ОКТМО!B:G,6,0)</f>
        <v>Хангаласский муниципальный район</v>
      </c>
      <c r="E90" s="1" t="s">
        <v>11</v>
      </c>
      <c r="F90" s="1" t="str">
        <f>VLOOKUP(G90,ОКТМО!B:M,12,0)</f>
        <v>Октёмцы</v>
      </c>
      <c r="G90" s="1">
        <v>98644440101</v>
      </c>
      <c r="H90" s="1" t="str">
        <f>VLOOKUP(G90,ОКТМО!N:R,4,0)</f>
        <v>61.6658333333333</v>
      </c>
      <c r="I90" s="1" t="str">
        <f>VLOOKUP(G90,ОКТМО!N:R,5,0)</f>
        <v>129.415277777778</v>
      </c>
      <c r="J90" s="1">
        <v>480</v>
      </c>
      <c r="K90" s="1">
        <v>567</v>
      </c>
      <c r="L90" s="1">
        <v>242</v>
      </c>
      <c r="M90" s="1" t="s">
        <v>535</v>
      </c>
      <c r="N90" s="88" t="s">
        <v>535</v>
      </c>
      <c r="O90" s="1" t="s">
        <v>535</v>
      </c>
      <c r="P90" s="88" t="s">
        <v>535</v>
      </c>
      <c r="Q90" s="1" t="s">
        <v>535</v>
      </c>
      <c r="R90" s="88" t="s">
        <v>535</v>
      </c>
      <c r="S90" s="88" t="s">
        <v>535</v>
      </c>
      <c r="T90" s="1" t="str">
        <f t="shared" si="1"/>
        <v>Октёмцы</v>
      </c>
    </row>
    <row r="91" spans="1:20">
      <c r="A91" s="1">
        <v>88</v>
      </c>
      <c r="C91" s="23" t="s">
        <v>6851</v>
      </c>
      <c r="D91" s="23" t="str">
        <f>VLOOKUP(G91,ОКТМО!B:G,6,0)</f>
        <v>Хангаласский муниципальный район</v>
      </c>
      <c r="E91" s="1" t="s">
        <v>11</v>
      </c>
      <c r="F91" s="1" t="str">
        <f>VLOOKUP(G91,ОКТМО!B:M,12,0)</f>
        <v>Техтюр</v>
      </c>
      <c r="G91" s="1">
        <v>98644447101</v>
      </c>
      <c r="H91" s="1" t="str">
        <f>VLOOKUP(G91,ОКТМО!N:R,4,0)</f>
        <v>61.7113888888889</v>
      </c>
      <c r="I91" s="1" t="str">
        <f>VLOOKUP(G91,ОКТМО!N:R,5,0)</f>
        <v>129.467777777778</v>
      </c>
      <c r="J91" s="1" t="s">
        <v>535</v>
      </c>
      <c r="K91" s="1">
        <v>7</v>
      </c>
      <c r="L91" s="1">
        <v>2</v>
      </c>
      <c r="M91" s="1" t="s">
        <v>535</v>
      </c>
      <c r="N91" s="88" t="s">
        <v>535</v>
      </c>
      <c r="O91" s="1">
        <v>1</v>
      </c>
      <c r="P91" s="88" t="s">
        <v>6899</v>
      </c>
      <c r="Q91" s="1" t="s">
        <v>535</v>
      </c>
      <c r="R91" s="88" t="s">
        <v>535</v>
      </c>
      <c r="S91" s="88" t="s">
        <v>535</v>
      </c>
      <c r="T91" s="1" t="str">
        <f t="shared" si="1"/>
        <v>Техтюр</v>
      </c>
    </row>
    <row r="92" spans="1:20">
      <c r="A92" s="1">
        <v>89</v>
      </c>
      <c r="C92" s="23" t="s">
        <v>6851</v>
      </c>
      <c r="D92" s="23" t="str">
        <f>VLOOKUP(G92,ОКТМО!B:G,6,0)</f>
        <v>Чурапчинский муниципальный район</v>
      </c>
      <c r="E92" s="1" t="s">
        <v>458</v>
      </c>
      <c r="F92" s="1" t="str">
        <f>VLOOKUP(G92,ОКТМО!B:M,12,0)</f>
        <v>Мындагай</v>
      </c>
      <c r="G92" s="1">
        <v>98658415101</v>
      </c>
      <c r="H92" s="1" t="str">
        <f>VLOOKUP(G92,ОКТМО!N:R,4,0)</f>
        <v>61.6433333333333</v>
      </c>
      <c r="I92" s="1" t="str">
        <f>VLOOKUP(G92,ОКТМО!N:R,5,0)</f>
        <v>133.200555555556</v>
      </c>
      <c r="J92" s="1">
        <v>1342</v>
      </c>
      <c r="K92" s="1">
        <v>43</v>
      </c>
      <c r="L92" s="1">
        <v>21</v>
      </c>
      <c r="M92" s="1" t="s">
        <v>535</v>
      </c>
      <c r="N92" s="88" t="s">
        <v>535</v>
      </c>
      <c r="O92" s="1">
        <v>1</v>
      </c>
      <c r="P92" s="88" t="s">
        <v>6899</v>
      </c>
      <c r="Q92" s="1" t="s">
        <v>535</v>
      </c>
      <c r="R92" s="88" t="s">
        <v>535</v>
      </c>
      <c r="S92" s="88" t="s">
        <v>535</v>
      </c>
      <c r="T92" s="1" t="str">
        <f t="shared" si="1"/>
        <v>Мындагай</v>
      </c>
    </row>
    <row r="93" spans="1:20">
      <c r="A93" s="1">
        <v>90</v>
      </c>
      <c r="C93" s="23" t="s">
        <v>6851</v>
      </c>
      <c r="D93" s="23" t="str">
        <f>VLOOKUP(G93,ОКТМО!B:G,6,0)</f>
        <v>Чурапчинский муниципальный район</v>
      </c>
      <c r="E93" s="1" t="s">
        <v>458</v>
      </c>
      <c r="F93" s="1" t="str">
        <f>VLOOKUP(G93,ОКТМО!B:M,12,0)</f>
        <v>Мырыла</v>
      </c>
      <c r="G93" s="1">
        <v>98658435101</v>
      </c>
      <c r="H93" s="1" t="str">
        <f>VLOOKUP(G93,ОКТМО!N:R,4,0)</f>
        <v>61.8338888888889</v>
      </c>
      <c r="I93" s="1" t="str">
        <f>VLOOKUP(G93,ОКТМО!N:R,5,0)</f>
        <v>133.640277777778</v>
      </c>
      <c r="J93" s="1">
        <v>1548</v>
      </c>
      <c r="K93" s="1">
        <v>81</v>
      </c>
      <c r="L93" s="1">
        <v>44</v>
      </c>
      <c r="M93" s="1" t="s">
        <v>535</v>
      </c>
      <c r="N93" s="88" t="s">
        <v>535</v>
      </c>
      <c r="O93" s="1" t="s">
        <v>535</v>
      </c>
      <c r="P93" s="88" t="s">
        <v>535</v>
      </c>
      <c r="Q93" s="1">
        <v>1</v>
      </c>
      <c r="R93" s="88" t="s">
        <v>6908</v>
      </c>
      <c r="S93" s="88" t="s">
        <v>535</v>
      </c>
      <c r="T93" s="1" t="str">
        <f t="shared" si="1"/>
        <v>Мырыла</v>
      </c>
    </row>
    <row r="94" spans="1:20" ht="30">
      <c r="A94" s="1">
        <v>91</v>
      </c>
      <c r="C94" s="23" t="s">
        <v>6851</v>
      </c>
      <c r="D94" s="23" t="str">
        <f>VLOOKUP(G94,ОКТМО!B:G,6,0)</f>
        <v>Мегино-Кангаласский муниципальный район</v>
      </c>
      <c r="E94" s="1" t="s">
        <v>11</v>
      </c>
      <c r="F94" s="1" t="str">
        <f>VLOOKUP(G94,ОКТМО!B:M,12,0)</f>
        <v>Рассолода</v>
      </c>
      <c r="G94" s="1">
        <v>98629447101</v>
      </c>
      <c r="H94" s="1" t="str">
        <f>VLOOKUP(G94,ОКТМО!N:R,4,0)</f>
        <v>61.6730555555556</v>
      </c>
      <c r="I94" s="1" t="str">
        <f>VLOOKUP(G94,ОКТМО!N:R,5,0)</f>
        <v>129.648611111111</v>
      </c>
      <c r="J94" s="1">
        <v>415</v>
      </c>
      <c r="K94" s="1">
        <v>7</v>
      </c>
      <c r="L94" s="1">
        <v>2</v>
      </c>
      <c r="M94" s="1">
        <v>1</v>
      </c>
      <c r="N94" s="88">
        <v>1</v>
      </c>
      <c r="O94" s="1">
        <v>7</v>
      </c>
      <c r="P94" s="88" t="s">
        <v>6937</v>
      </c>
      <c r="Q94" s="1" t="s">
        <v>535</v>
      </c>
      <c r="R94" s="88" t="s">
        <v>535</v>
      </c>
      <c r="S94" s="88" t="s">
        <v>535</v>
      </c>
      <c r="T94" s="1" t="str">
        <f t="shared" si="1"/>
        <v>Рассолода</v>
      </c>
    </row>
    <row r="95" spans="1:20" ht="30">
      <c r="A95" s="1">
        <v>92</v>
      </c>
      <c r="C95" s="23" t="s">
        <v>6851</v>
      </c>
      <c r="D95" s="23" t="str">
        <f>VLOOKUP(G95,ОКТМО!B:G,6,0)</f>
        <v>Мегино-Кангаласский муниципальный район</v>
      </c>
      <c r="E95" s="1" t="s">
        <v>11</v>
      </c>
      <c r="F95" s="1" t="str">
        <f>VLOOKUP(G95,ОКТМО!B:M,12,0)</f>
        <v>Хаптагай</v>
      </c>
      <c r="G95" s="1">
        <v>98629460101</v>
      </c>
      <c r="H95" s="1" t="str">
        <f>VLOOKUP(G95,ОКТМО!N:R,4,0)</f>
        <v>61.7858333333333</v>
      </c>
      <c r="I95" s="1" t="str">
        <f>VLOOKUP(G95,ОКТМО!N:R,5,0)</f>
        <v>129.790833333333</v>
      </c>
      <c r="J95" s="1">
        <v>860</v>
      </c>
      <c r="K95" s="1">
        <v>15</v>
      </c>
      <c r="L95" s="1">
        <v>5</v>
      </c>
      <c r="M95" s="1" t="s">
        <v>535</v>
      </c>
      <c r="N95" s="88" t="s">
        <v>535</v>
      </c>
      <c r="O95" s="1">
        <v>5</v>
      </c>
      <c r="P95" s="88" t="s">
        <v>6937</v>
      </c>
      <c r="Q95" s="1" t="s">
        <v>535</v>
      </c>
      <c r="R95" s="88" t="s">
        <v>535</v>
      </c>
      <c r="S95" s="88" t="s">
        <v>535</v>
      </c>
      <c r="T95" s="1" t="str">
        <f t="shared" si="1"/>
        <v>Хаптагай</v>
      </c>
    </row>
    <row r="96" spans="1:20">
      <c r="A96" s="1">
        <v>93</v>
      </c>
      <c r="C96" s="23" t="s">
        <v>6851</v>
      </c>
      <c r="D96" s="23" t="str">
        <f>VLOOKUP(G96,ОКТМО!B:G,6,0)</f>
        <v>Мегино-Кангаласский муниципальный район</v>
      </c>
      <c r="E96" s="1" t="s">
        <v>11</v>
      </c>
      <c r="F96" s="1" t="str">
        <f>VLOOKUP(G96,ОКТМО!B:M,12,0)</f>
        <v>Павловск</v>
      </c>
      <c r="G96" s="1">
        <v>98629445101</v>
      </c>
      <c r="H96" s="1" t="str">
        <f>VLOOKUP(G96,ОКТМО!N:R,4,0)</f>
        <v>61.8716666666667</v>
      </c>
      <c r="I96" s="1" t="str">
        <f>VLOOKUP(G96,ОКТМО!N:R,5,0)</f>
        <v>129.838055555556</v>
      </c>
      <c r="J96" s="1">
        <v>640</v>
      </c>
      <c r="K96" s="1">
        <v>28</v>
      </c>
      <c r="L96" s="1">
        <v>8</v>
      </c>
      <c r="M96" s="1" t="s">
        <v>535</v>
      </c>
      <c r="N96" s="88" t="s">
        <v>535</v>
      </c>
      <c r="O96" s="1" t="s">
        <v>535</v>
      </c>
      <c r="P96" s="88" t="s">
        <v>535</v>
      </c>
      <c r="Q96" s="1" t="s">
        <v>535</v>
      </c>
      <c r="R96" s="88" t="s">
        <v>535</v>
      </c>
      <c r="S96" s="88" t="s">
        <v>535</v>
      </c>
      <c r="T96" s="1" t="str">
        <f t="shared" si="1"/>
        <v>Павловск</v>
      </c>
    </row>
    <row r="97" spans="1:20" ht="60">
      <c r="A97" s="1">
        <v>94</v>
      </c>
      <c r="C97" s="23" t="s">
        <v>6851</v>
      </c>
      <c r="D97" s="23" t="str">
        <f>VLOOKUP(G97,ОКТМО!B:G,6,0)</f>
        <v>Мегино-Кангаласский муниципальный район</v>
      </c>
      <c r="E97" s="1" t="s">
        <v>11</v>
      </c>
      <c r="F97" s="1" t="str">
        <f>VLOOKUP(G97,ОКТМО!B:M,12,0)</f>
        <v>Нижний Бестях</v>
      </c>
      <c r="G97" s="1">
        <v>98629155051</v>
      </c>
      <c r="H97" s="1" t="str">
        <f>VLOOKUP(G97,ОКТМО!N:R,4,0)</f>
        <v>61.9619444444444</v>
      </c>
      <c r="I97" s="1" t="str">
        <f>VLOOKUP(G97,ОКТМО!N:R,5,0)</f>
        <v>129.912222222222</v>
      </c>
      <c r="J97" s="1">
        <v>890</v>
      </c>
      <c r="K97" s="1">
        <v>3</v>
      </c>
      <c r="L97" s="1">
        <v>1</v>
      </c>
      <c r="M97" s="1" t="s">
        <v>535</v>
      </c>
      <c r="N97" s="88" t="s">
        <v>535</v>
      </c>
      <c r="O97" s="1">
        <v>1</v>
      </c>
      <c r="P97" s="88" t="s">
        <v>6938</v>
      </c>
      <c r="Q97" s="1" t="s">
        <v>535</v>
      </c>
      <c r="R97" s="88" t="s">
        <v>535</v>
      </c>
      <c r="S97" s="88" t="s">
        <v>6832</v>
      </c>
      <c r="T97" s="1" t="str">
        <f t="shared" si="1"/>
        <v>Нижний Бестях</v>
      </c>
    </row>
    <row r="98" spans="1:20">
      <c r="A98" s="1">
        <v>95</v>
      </c>
      <c r="C98" s="23" t="s">
        <v>6851</v>
      </c>
      <c r="D98" s="23" t="str">
        <f>VLOOKUP(G98,ОКТМО!B:G,6,0)</f>
        <v>Мегино-Кангаласский муниципальный район</v>
      </c>
      <c r="E98" s="1" t="s">
        <v>11</v>
      </c>
      <c r="F98" s="1" t="str">
        <f>VLOOKUP(G98,ОКТМО!B:M,12,0)</f>
        <v>Тектюр</v>
      </c>
      <c r="G98" s="1">
        <v>98629410101</v>
      </c>
      <c r="H98" s="1" t="str">
        <f>VLOOKUP(G98,ОКТМО!N:R,4,0)</f>
        <v>62.1088888888889</v>
      </c>
      <c r="I98" s="1" t="str">
        <f>VLOOKUP(G98,ОКТМО!N:R,5,0)</f>
        <v>130.029444444444</v>
      </c>
      <c r="J98" s="1">
        <v>1210</v>
      </c>
      <c r="K98" s="1">
        <v>23</v>
      </c>
      <c r="L98" s="1">
        <v>12</v>
      </c>
      <c r="M98" s="1" t="s">
        <v>535</v>
      </c>
      <c r="N98" s="88" t="s">
        <v>535</v>
      </c>
      <c r="O98" s="1" t="s">
        <v>535</v>
      </c>
      <c r="P98" s="88" t="s">
        <v>535</v>
      </c>
      <c r="Q98" s="1" t="s">
        <v>535</v>
      </c>
      <c r="R98" s="88" t="s">
        <v>535</v>
      </c>
      <c r="S98" s="88" t="s">
        <v>535</v>
      </c>
      <c r="T98" s="1" t="str">
        <f t="shared" si="1"/>
        <v>Тектюр</v>
      </c>
    </row>
    <row r="99" spans="1:20">
      <c r="A99" s="1">
        <v>96</v>
      </c>
      <c r="C99" s="23" t="s">
        <v>6851</v>
      </c>
      <c r="D99" s="23" t="str">
        <f>VLOOKUP(G99,ОКТМО!B:G,6,0)</f>
        <v>Мегино-Кангаласский муниципальный район</v>
      </c>
      <c r="E99" s="1" t="s">
        <v>11</v>
      </c>
      <c r="F99" s="1" t="str">
        <f>VLOOKUP(G99,ОКТМО!B:M,12,0)</f>
        <v>Кердюген</v>
      </c>
      <c r="G99" s="1">
        <v>98629413106</v>
      </c>
      <c r="H99" s="1" t="str">
        <f>VLOOKUP(G99,ОКТМО!N:R,4,0)</f>
        <v>62.3391666666667</v>
      </c>
      <c r="I99" s="1" t="str">
        <f>VLOOKUP(G99,ОКТМО!N:R,5,0)</f>
        <v>130.131388888889</v>
      </c>
      <c r="J99" s="1">
        <v>1192</v>
      </c>
      <c r="K99" s="1">
        <v>31</v>
      </c>
      <c r="L99" s="1">
        <v>14</v>
      </c>
      <c r="M99" s="1" t="s">
        <v>535</v>
      </c>
      <c r="N99" s="88" t="s">
        <v>535</v>
      </c>
      <c r="O99" s="1" t="s">
        <v>535</v>
      </c>
      <c r="P99" s="88" t="s">
        <v>535</v>
      </c>
      <c r="Q99" s="1" t="s">
        <v>535</v>
      </c>
      <c r="R99" s="88" t="s">
        <v>535</v>
      </c>
      <c r="S99" s="88" t="s">
        <v>535</v>
      </c>
      <c r="T99" s="1" t="str">
        <f t="shared" si="1"/>
        <v>Кердюген</v>
      </c>
    </row>
    <row r="100" spans="1:20" ht="30">
      <c r="A100" s="1">
        <v>97</v>
      </c>
      <c r="C100" s="23" t="s">
        <v>6851</v>
      </c>
      <c r="D100" s="23" t="str">
        <f>VLOOKUP(G100,ОКТМО!B:G,6,0)</f>
        <v>Мегино-Кангаласский муниципальный район</v>
      </c>
      <c r="E100" s="1" t="s">
        <v>11</v>
      </c>
      <c r="F100" s="1" t="str">
        <f>VLOOKUP(G100,ОКТМО!B:M,12,0)</f>
        <v>Томтор</v>
      </c>
      <c r="G100" s="1">
        <v>98629451101</v>
      </c>
      <c r="H100" s="1" t="str">
        <f>VLOOKUP(G100,ОКТМО!N:R,4,0)</f>
        <v>62.1483333333333</v>
      </c>
      <c r="I100" s="1" t="str">
        <f>VLOOKUP(G100,ОКТМО!N:R,5,0)</f>
        <v>130.049444444444</v>
      </c>
      <c r="J100" s="1" t="s">
        <v>535</v>
      </c>
      <c r="K100" s="1">
        <v>0</v>
      </c>
      <c r="L100" s="1">
        <v>0</v>
      </c>
      <c r="M100" s="1" t="s">
        <v>535</v>
      </c>
      <c r="N100" s="88" t="s">
        <v>535</v>
      </c>
      <c r="O100" s="1" t="s">
        <v>535</v>
      </c>
      <c r="P100" s="88" t="s">
        <v>535</v>
      </c>
      <c r="Q100" s="1" t="s">
        <v>535</v>
      </c>
      <c r="R100" s="88" t="s">
        <v>535</v>
      </c>
      <c r="S100" s="88" t="s">
        <v>6833</v>
      </c>
      <c r="T100" s="1" t="str">
        <f t="shared" si="1"/>
        <v>Томтор</v>
      </c>
    </row>
    <row r="101" spans="1:20">
      <c r="A101" s="1">
        <v>98</v>
      </c>
      <c r="C101" s="23" t="s">
        <v>6851</v>
      </c>
      <c r="D101" s="23" t="str">
        <f>VLOOKUP(G101,ОКТМО!B:G,6,0)</f>
        <v>Мегино-Кангаласский муниципальный район</v>
      </c>
      <c r="E101" s="1" t="s">
        <v>11</v>
      </c>
      <c r="F101" s="1" t="str">
        <f>VLOOKUP(G101,ОКТМО!B:M,12,0)</f>
        <v>Хапчагай</v>
      </c>
      <c r="G101" s="1">
        <v>98629413101</v>
      </c>
      <c r="H101" s="1" t="str">
        <f>VLOOKUP(G101,ОКТМО!N:R,4,0)</f>
        <v>62.3755555555556</v>
      </c>
      <c r="I101" s="1" t="str">
        <f>VLOOKUP(G101,ОКТМО!N:R,5,0)</f>
        <v>130.140277777778</v>
      </c>
      <c r="J101" s="1">
        <v>1192</v>
      </c>
      <c r="K101" s="1">
        <v>8</v>
      </c>
      <c r="L101" s="1">
        <v>2</v>
      </c>
      <c r="M101" s="1" t="s">
        <v>535</v>
      </c>
      <c r="N101" s="88" t="s">
        <v>535</v>
      </c>
      <c r="O101" s="1" t="s">
        <v>535</v>
      </c>
      <c r="P101" s="88" t="s">
        <v>535</v>
      </c>
      <c r="Q101" s="1" t="s">
        <v>535</v>
      </c>
      <c r="R101" s="88" t="s">
        <v>535</v>
      </c>
      <c r="S101" s="88" t="s">
        <v>535</v>
      </c>
      <c r="T101" s="1" t="str">
        <f t="shared" si="1"/>
        <v>Хапчагай</v>
      </c>
    </row>
    <row r="102" spans="1:20">
      <c r="A102" s="1">
        <v>99</v>
      </c>
      <c r="C102" s="23" t="s">
        <v>6851</v>
      </c>
      <c r="D102" s="23" t="str">
        <f>VLOOKUP(G102,ОКТМО!B:G,6,0)</f>
        <v>Мегино-Кангаласский муниципальный район</v>
      </c>
      <c r="E102" s="1" t="s">
        <v>304</v>
      </c>
      <c r="F102" s="1" t="str">
        <f>VLOOKUP(G102,ОКТМО!B:M,12,0)</f>
        <v>Суола</v>
      </c>
      <c r="G102" s="1">
        <v>98629436101</v>
      </c>
      <c r="H102" s="1" t="str">
        <f>VLOOKUP(G102,ОКТМО!N:R,4,0)</f>
        <v>61.7272222222222</v>
      </c>
      <c r="I102" s="1" t="str">
        <f>VLOOKUP(G102,ОКТМО!N:R,5,0)</f>
        <v>131.03</v>
      </c>
      <c r="J102" s="1">
        <v>460</v>
      </c>
      <c r="K102" s="1">
        <v>4</v>
      </c>
      <c r="L102" s="1">
        <v>3</v>
      </c>
      <c r="M102" s="1" t="s">
        <v>535</v>
      </c>
      <c r="N102" s="88" t="s">
        <v>535</v>
      </c>
      <c r="O102" s="1" t="s">
        <v>535</v>
      </c>
      <c r="P102" s="88" t="s">
        <v>535</v>
      </c>
      <c r="Q102" s="1" t="s">
        <v>535</v>
      </c>
      <c r="R102" s="88" t="s">
        <v>535</v>
      </c>
      <c r="S102" s="88" t="s">
        <v>535</v>
      </c>
      <c r="T102" s="1" t="str">
        <f t="shared" si="1"/>
        <v>Суола</v>
      </c>
    </row>
    <row r="103" spans="1:20">
      <c r="A103" s="1">
        <v>100</v>
      </c>
      <c r="C103" s="23" t="s">
        <v>6851</v>
      </c>
      <c r="D103" s="23" t="str">
        <f>VLOOKUP(G103,ОКТМО!B:G,6,0)</f>
        <v>Городской округ Город Якутск</v>
      </c>
      <c r="E103" s="1" t="s">
        <v>11</v>
      </c>
      <c r="F103" s="1" t="str">
        <f>VLOOKUP(G103,ОКТМО!B:M,12,0)</f>
        <v>Табага</v>
      </c>
      <c r="G103" s="1">
        <v>98701000116</v>
      </c>
      <c r="H103" s="1" t="str">
        <f>VLOOKUP(G103,ОКТМО!N:R,4,0)</f>
        <v>61.855</v>
      </c>
      <c r="I103" s="1" t="str">
        <f>VLOOKUP(G103,ОКТМО!N:R,5,0)</f>
        <v>129.596388888889</v>
      </c>
      <c r="J103" s="1">
        <v>970</v>
      </c>
      <c r="K103" s="1">
        <v>125</v>
      </c>
      <c r="L103" s="1">
        <v>97</v>
      </c>
      <c r="M103" s="1" t="s">
        <v>535</v>
      </c>
      <c r="N103" s="88" t="s">
        <v>535</v>
      </c>
      <c r="O103" s="1">
        <v>1</v>
      </c>
      <c r="P103" s="88" t="s">
        <v>6899</v>
      </c>
      <c r="Q103" s="1" t="s">
        <v>535</v>
      </c>
      <c r="R103" s="88" t="s">
        <v>535</v>
      </c>
      <c r="S103" s="88" t="s">
        <v>535</v>
      </c>
      <c r="T103" s="1" t="str">
        <f t="shared" si="1"/>
        <v>Табага</v>
      </c>
    </row>
    <row r="104" spans="1:20">
      <c r="A104" s="1">
        <v>101</v>
      </c>
      <c r="C104" s="23" t="s">
        <v>6851</v>
      </c>
      <c r="D104" s="23" t="str">
        <f>VLOOKUP(G104,ОКТМО!B:G,6,0)</f>
        <v>Городской округ Город Якутск</v>
      </c>
      <c r="E104" s="1" t="s">
        <v>11</v>
      </c>
      <c r="F104" s="1" t="str">
        <f>VLOOKUP(G104,ОКТМО!B:M,12,0)</f>
        <v>Пригородный</v>
      </c>
      <c r="G104" s="1">
        <v>98701000151</v>
      </c>
      <c r="H104" s="1" t="str">
        <f>VLOOKUP(G104,ОКТМО!N:R,4,0)</f>
        <v>61.9727777777778</v>
      </c>
      <c r="I104" s="1" t="str">
        <f>VLOOKUP(G104,ОКТМО!N:R,5,0)</f>
        <v>129.688888888889</v>
      </c>
      <c r="J104" s="1">
        <v>955</v>
      </c>
      <c r="K104" s="1">
        <v>25</v>
      </c>
      <c r="L104" s="1">
        <v>11</v>
      </c>
      <c r="M104" s="1" t="s">
        <v>535</v>
      </c>
      <c r="N104" s="88" t="s">
        <v>535</v>
      </c>
      <c r="O104" s="1" t="s">
        <v>535</v>
      </c>
      <c r="P104" s="88" t="s">
        <v>535</v>
      </c>
      <c r="Q104" s="1" t="s">
        <v>535</v>
      </c>
      <c r="R104" s="88" t="s">
        <v>535</v>
      </c>
      <c r="S104" s="88" t="s">
        <v>535</v>
      </c>
      <c r="T104" s="1" t="str">
        <f t="shared" si="1"/>
        <v>Пригородный</v>
      </c>
    </row>
    <row r="105" spans="1:20">
      <c r="A105" s="1">
        <v>102</v>
      </c>
      <c r="C105" s="23" t="s">
        <v>6851</v>
      </c>
      <c r="D105" s="23" t="str">
        <f>VLOOKUP(G105,ОКТМО!B:G,6,0)</f>
        <v>Городской округ Город Якутск</v>
      </c>
      <c r="E105" s="1" t="s">
        <v>11</v>
      </c>
      <c r="F105" s="1" t="str">
        <f>VLOOKUP(G105,ОКТМО!B:M,12,0)</f>
        <v>Якутск</v>
      </c>
      <c r="G105" s="1">
        <v>98701000001</v>
      </c>
      <c r="H105" s="1" t="str">
        <f>VLOOKUP(G105,ОКТМО!N:R,4,0)</f>
        <v>62.3488888888889</v>
      </c>
      <c r="I105" s="1" t="str">
        <f>VLOOKUP(G105,ОКТМО!N:R,5,0)</f>
        <v>129.968611111111</v>
      </c>
      <c r="J105" s="1">
        <v>827</v>
      </c>
      <c r="K105" s="1">
        <v>63</v>
      </c>
      <c r="L105" s="1">
        <v>16</v>
      </c>
      <c r="M105" s="1" t="s">
        <v>535</v>
      </c>
      <c r="N105" s="88" t="s">
        <v>535</v>
      </c>
      <c r="O105" s="1">
        <v>1</v>
      </c>
      <c r="P105" s="88" t="s">
        <v>6899</v>
      </c>
      <c r="Q105" s="1" t="s">
        <v>535</v>
      </c>
      <c r="R105" s="88" t="s">
        <v>535</v>
      </c>
      <c r="S105" s="88" t="s">
        <v>6831</v>
      </c>
      <c r="T105" s="1" t="str">
        <f t="shared" si="1"/>
        <v>Якутск</v>
      </c>
    </row>
    <row r="106" spans="1:20">
      <c r="A106" s="1">
        <v>103</v>
      </c>
      <c r="C106" s="23" t="s">
        <v>6851</v>
      </c>
      <c r="D106" s="23" t="str">
        <f>VLOOKUP(G106,ОКТМО!B:G,6,0)</f>
        <v>Городской округ Город Якутск</v>
      </c>
      <c r="E106" s="1" t="s">
        <v>11</v>
      </c>
      <c r="F106" s="1" t="str">
        <f>VLOOKUP(G106,ОКТМО!B:M,12,0)</f>
        <v>Сырдах</v>
      </c>
      <c r="G106" s="1">
        <v>98701000136</v>
      </c>
      <c r="H106" s="1" t="str">
        <f>VLOOKUP(G106,ОКТМО!N:R,4,0)</f>
        <v>62.22</v>
      </c>
      <c r="I106" s="1" t="str">
        <f>VLOOKUP(G106,ОКТМО!N:R,5,0)</f>
        <v>129.84</v>
      </c>
      <c r="J106" s="1">
        <v>942.6</v>
      </c>
      <c r="K106" s="1">
        <v>175</v>
      </c>
      <c r="L106" s="1">
        <v>54</v>
      </c>
      <c r="M106" s="1" t="s">
        <v>535</v>
      </c>
      <c r="N106" s="88" t="s">
        <v>535</v>
      </c>
      <c r="O106" s="1" t="s">
        <v>535</v>
      </c>
      <c r="P106" s="88" t="s">
        <v>535</v>
      </c>
      <c r="Q106" s="1" t="s">
        <v>535</v>
      </c>
      <c r="R106" s="88" t="s">
        <v>535</v>
      </c>
      <c r="S106" s="88" t="s">
        <v>535</v>
      </c>
      <c r="T106" s="1" t="str">
        <f t="shared" si="1"/>
        <v>Сырдах</v>
      </c>
    </row>
    <row r="107" spans="1:20">
      <c r="A107" s="1">
        <v>104</v>
      </c>
      <c r="C107" s="23" t="s">
        <v>6851</v>
      </c>
      <c r="D107" s="23" t="str">
        <f>VLOOKUP(G107,ОКТМО!B:G,6,0)</f>
        <v>Городской округ Город Якутск</v>
      </c>
      <c r="E107" s="1" t="s">
        <v>11</v>
      </c>
      <c r="F107" s="1" t="str">
        <f>VLOOKUP(G107,ОКТМО!B:M,12,0)</f>
        <v>Тулагино</v>
      </c>
      <c r="G107" s="1">
        <v>98701000121</v>
      </c>
      <c r="H107" s="1" t="str">
        <f>VLOOKUP(G107,ОКТМО!N:R,4,0)</f>
        <v>62.255</v>
      </c>
      <c r="I107" s="1" t="str">
        <f>VLOOKUP(G107,ОКТМО!N:R,5,0)</f>
        <v>129.878611111111</v>
      </c>
      <c r="J107" s="1">
        <v>941.2</v>
      </c>
      <c r="K107" s="1">
        <v>438</v>
      </c>
      <c r="L107" s="1">
        <v>35</v>
      </c>
      <c r="M107" s="1" t="s">
        <v>535</v>
      </c>
      <c r="N107" s="88" t="s">
        <v>535</v>
      </c>
      <c r="O107" s="1">
        <v>1</v>
      </c>
      <c r="P107" s="88" t="s">
        <v>6899</v>
      </c>
      <c r="Q107" s="1" t="s">
        <v>535</v>
      </c>
      <c r="R107" s="88" t="s">
        <v>535</v>
      </c>
      <c r="S107" s="88" t="s">
        <v>6939</v>
      </c>
      <c r="T107" s="1" t="str">
        <f t="shared" si="1"/>
        <v>Тулагино</v>
      </c>
    </row>
    <row r="108" spans="1:20">
      <c r="A108" s="1">
        <v>105</v>
      </c>
      <c r="C108" s="23" t="s">
        <v>6851</v>
      </c>
      <c r="D108" s="23" t="str">
        <f>VLOOKUP(G108,ОКТМО!B:G,6,0)</f>
        <v>Городской округ Город Якутск</v>
      </c>
      <c r="E108" s="1" t="s">
        <v>11</v>
      </c>
      <c r="F108" s="1" t="str">
        <f>VLOOKUP(G108,ОКТМО!B:M,12,0)</f>
        <v>Капитоновка</v>
      </c>
      <c r="G108" s="1">
        <v>98701000126</v>
      </c>
      <c r="H108" s="1" t="str">
        <f>VLOOKUP(G108,ОКТМО!N:R,4,0)</f>
        <v>62.3266666666667</v>
      </c>
      <c r="I108" s="1" t="str">
        <f>VLOOKUP(G108,ОКТМО!N:R,5,0)</f>
        <v>129.941111111111</v>
      </c>
      <c r="J108" s="1" t="s">
        <v>535</v>
      </c>
      <c r="K108" s="1">
        <v>312</v>
      </c>
      <c r="L108" s="1">
        <v>53</v>
      </c>
      <c r="M108" s="1">
        <v>1</v>
      </c>
      <c r="N108" s="88">
        <v>1</v>
      </c>
      <c r="O108" s="1" t="s">
        <v>535</v>
      </c>
      <c r="P108" s="88" t="s">
        <v>535</v>
      </c>
      <c r="Q108" s="1" t="s">
        <v>535</v>
      </c>
      <c r="R108" s="88" t="s">
        <v>535</v>
      </c>
      <c r="S108" s="88" t="s">
        <v>6834</v>
      </c>
      <c r="T108" s="1" t="str">
        <f t="shared" si="1"/>
        <v>Капитоновка</v>
      </c>
    </row>
    <row r="109" spans="1:20">
      <c r="A109" s="1">
        <v>106</v>
      </c>
      <c r="C109" s="23" t="s">
        <v>6851</v>
      </c>
      <c r="D109" s="23" t="str">
        <f>VLOOKUP(G109,ОКТМО!B:G,6,0)</f>
        <v>Городской округ Город Якутск</v>
      </c>
      <c r="E109" s="1" t="s">
        <v>11</v>
      </c>
      <c r="F109" s="1" t="str">
        <f>VLOOKUP(G109,ОКТМО!B:M,12,0)</f>
        <v>Якутск</v>
      </c>
      <c r="G109" s="1">
        <v>98701000001</v>
      </c>
      <c r="H109" s="1" t="str">
        <f>VLOOKUP(G109,ОКТМО!N:R,4,0)</f>
        <v>62.3488888888889</v>
      </c>
      <c r="I109" s="1" t="str">
        <f>VLOOKUP(G109,ОКТМО!N:R,5,0)</f>
        <v>129.968611111111</v>
      </c>
      <c r="J109" s="1">
        <v>1100</v>
      </c>
      <c r="K109" s="1">
        <v>24</v>
      </c>
      <c r="L109" s="1">
        <v>8</v>
      </c>
      <c r="M109" s="1" t="s">
        <v>535</v>
      </c>
      <c r="N109" s="88" t="s">
        <v>535</v>
      </c>
      <c r="O109" s="1">
        <v>1</v>
      </c>
      <c r="P109" s="88" t="s">
        <v>6899</v>
      </c>
      <c r="Q109" s="1">
        <v>3</v>
      </c>
      <c r="R109" s="88">
        <v>3</v>
      </c>
      <c r="S109" s="88" t="s">
        <v>535</v>
      </c>
      <c r="T109" s="1" t="str">
        <f t="shared" si="1"/>
        <v>Якутск</v>
      </c>
    </row>
    <row r="110" spans="1:20" ht="60">
      <c r="A110" s="1">
        <v>107</v>
      </c>
      <c r="C110" s="23" t="s">
        <v>6851</v>
      </c>
      <c r="D110" s="23" t="str">
        <f>VLOOKUP(G110,ОКТМО!B:G,6,0)</f>
        <v>Городской округ Город Якутск</v>
      </c>
      <c r="E110" s="1" t="s">
        <v>11</v>
      </c>
      <c r="F110" s="1" t="str">
        <f>VLOOKUP(G110,ОКТМО!B:M,12,0)</f>
        <v>Хатассы</v>
      </c>
      <c r="G110" s="1">
        <v>98701000141</v>
      </c>
      <c r="H110" s="1" t="str">
        <f>VLOOKUP(G110,ОКТМО!N:R,4,0)</f>
        <v>61.9061111111111</v>
      </c>
      <c r="I110" s="1" t="str">
        <f>VLOOKUP(G110,ОКТМО!N:R,5,0)</f>
        <v>129.636388888889</v>
      </c>
      <c r="J110" s="1">
        <v>96.19</v>
      </c>
      <c r="K110" s="1">
        <v>129</v>
      </c>
      <c r="L110" s="1">
        <v>33</v>
      </c>
      <c r="M110" s="1" t="s">
        <v>535</v>
      </c>
      <c r="N110" s="88" t="s">
        <v>535</v>
      </c>
      <c r="O110" s="1">
        <v>2</v>
      </c>
      <c r="P110" s="88" t="s">
        <v>6940</v>
      </c>
      <c r="Q110" s="1">
        <v>2</v>
      </c>
      <c r="R110" s="88">
        <v>2</v>
      </c>
      <c r="S110" s="88" t="s">
        <v>535</v>
      </c>
      <c r="T110" s="1" t="str">
        <f t="shared" si="1"/>
        <v>Хатассы</v>
      </c>
    </row>
    <row r="111" spans="1:20">
      <c r="A111" s="1">
        <v>108</v>
      </c>
      <c r="C111" s="23" t="s">
        <v>6851</v>
      </c>
      <c r="D111" s="23" t="str">
        <f>VLOOKUP(G111,ОКТМО!B:G,6,0)</f>
        <v>Кобяйский муниципальный район</v>
      </c>
      <c r="E111" s="1" t="s">
        <v>11</v>
      </c>
      <c r="F111" s="1" t="str">
        <f>VLOOKUP(G111,ОКТМО!B:M,12,0)</f>
        <v>Кальвица</v>
      </c>
      <c r="G111" s="1">
        <v>98624424106</v>
      </c>
      <c r="H111" s="1" t="str">
        <f>VLOOKUP(G111,ОКТМО!N:R,4,0)</f>
        <v>63.9388888888889</v>
      </c>
      <c r="I111" s="1" t="str">
        <f>VLOOKUP(G111,ОКТМО!N:R,5,0)</f>
        <v>127.025</v>
      </c>
      <c r="J111" s="1" t="s">
        <v>535</v>
      </c>
      <c r="K111" s="1">
        <v>0</v>
      </c>
      <c r="L111" s="1">
        <v>0</v>
      </c>
      <c r="M111" s="1" t="s">
        <v>535</v>
      </c>
      <c r="N111" s="88" t="s">
        <v>535</v>
      </c>
      <c r="O111" s="1" t="s">
        <v>535</v>
      </c>
      <c r="P111" s="88" t="s">
        <v>535</v>
      </c>
      <c r="Q111" s="1" t="s">
        <v>535</v>
      </c>
      <c r="R111" s="88" t="s">
        <v>535</v>
      </c>
      <c r="S111" s="88" t="s">
        <v>6835</v>
      </c>
      <c r="T111" s="1" t="str">
        <f t="shared" si="1"/>
        <v>Кальвица</v>
      </c>
    </row>
    <row r="112" spans="1:20" ht="30">
      <c r="A112" s="1">
        <v>109</v>
      </c>
      <c r="C112" s="23" t="s">
        <v>6851</v>
      </c>
      <c r="D112" s="23" t="str">
        <f>VLOOKUP(G112,ОКТМО!B:G,6,0)</f>
        <v>Усть-Янский муниципальный район</v>
      </c>
      <c r="E112" s="1" t="s">
        <v>588</v>
      </c>
      <c r="F112" s="1" t="str">
        <f>VLOOKUP(G112,ОКТМО!B:M,12,0)</f>
        <v>Усть-Куйга</v>
      </c>
      <c r="G112" s="1">
        <v>98656165051</v>
      </c>
      <c r="H112" s="1" t="str">
        <f>VLOOKUP(G112,ОКТМО!N:R,4,0)</f>
        <v>70.0025</v>
      </c>
      <c r="I112" s="1" t="str">
        <f>VLOOKUP(G112,ОКТМО!N:R,5,0)</f>
        <v>135.544722222222</v>
      </c>
      <c r="J112" s="1">
        <v>1198</v>
      </c>
      <c r="K112" s="1">
        <v>637</v>
      </c>
      <c r="L112" s="1">
        <v>35</v>
      </c>
      <c r="M112" s="1">
        <v>6</v>
      </c>
      <c r="N112" s="88" t="s">
        <v>6941</v>
      </c>
      <c r="O112" s="1">
        <v>1</v>
      </c>
      <c r="P112" s="88" t="s">
        <v>6942</v>
      </c>
      <c r="Q112" s="1">
        <v>3</v>
      </c>
      <c r="R112" s="88" t="s">
        <v>6943</v>
      </c>
      <c r="S112" s="88" t="s">
        <v>535</v>
      </c>
      <c r="T112" s="1" t="str">
        <f t="shared" si="1"/>
        <v>Усть-Куйга</v>
      </c>
    </row>
    <row r="113" spans="1:20" ht="60">
      <c r="A113" s="1">
        <v>110</v>
      </c>
      <c r="C113" s="23" t="s">
        <v>6851</v>
      </c>
      <c r="D113" s="23" t="str">
        <f>VLOOKUP(G113,ОКТМО!B:G,6,0)</f>
        <v>Горный муниципальный район</v>
      </c>
      <c r="E113" s="1" t="s">
        <v>300</v>
      </c>
      <c r="F113" s="1" t="str">
        <f>VLOOKUP(G113,ОКТМО!B:M,12,0)</f>
        <v>Ерт</v>
      </c>
      <c r="G113" s="1">
        <v>98620465101</v>
      </c>
      <c r="H113" s="1" t="str">
        <f>VLOOKUP(G113,ОКТМО!N:R,4,0)</f>
        <v>62.0194444444444</v>
      </c>
      <c r="I113" s="1" t="str">
        <f>VLOOKUP(G113,ОКТМО!N:R,5,0)</f>
        <v>125.793888888889</v>
      </c>
      <c r="J113" s="1" t="s">
        <v>535</v>
      </c>
      <c r="K113" s="1">
        <v>30</v>
      </c>
      <c r="L113" s="1">
        <v>5</v>
      </c>
      <c r="M113" s="1">
        <v>2</v>
      </c>
      <c r="N113" s="88">
        <v>2</v>
      </c>
      <c r="O113" s="1" t="s">
        <v>535</v>
      </c>
      <c r="P113" s="88" t="s">
        <v>535</v>
      </c>
      <c r="Q113" s="1">
        <v>1</v>
      </c>
      <c r="R113" s="88">
        <v>1</v>
      </c>
      <c r="S113" s="88" t="s">
        <v>6836</v>
      </c>
      <c r="T113" s="1" t="str">
        <f t="shared" si="1"/>
        <v>Ерт</v>
      </c>
    </row>
    <row r="114" spans="1:20" ht="45">
      <c r="A114" s="1">
        <v>1</v>
      </c>
      <c r="C114" s="23" t="s">
        <v>6852</v>
      </c>
      <c r="D114" s="23" t="str">
        <f>VLOOKUP(G114,ОКТМО!B:G,6,0)</f>
        <v>Намский муниципальный район</v>
      </c>
      <c r="E114" s="1" t="s">
        <v>11</v>
      </c>
      <c r="F114" s="1" t="str">
        <f>VLOOKUP(G114,ОКТМО!B:M,12,0)</f>
        <v>Столбы</v>
      </c>
      <c r="G114" s="1">
        <v>98635460101</v>
      </c>
      <c r="H114" s="1" t="str">
        <f>VLOOKUP(G114,ОКТМО!N:R,4,0)</f>
        <v>62.9977777777778</v>
      </c>
      <c r="I114" s="1" t="str">
        <f>VLOOKUP(G114,ОКТМО!N:R,5,0)</f>
        <v>129.528333333333</v>
      </c>
      <c r="J114" s="1">
        <v>7457</v>
      </c>
      <c r="K114" s="1">
        <v>715</v>
      </c>
      <c r="L114" s="1">
        <v>243</v>
      </c>
      <c r="M114" s="1">
        <v>7</v>
      </c>
      <c r="N114" s="88" t="s">
        <v>6944</v>
      </c>
      <c r="O114" s="1" t="s">
        <v>535</v>
      </c>
      <c r="P114" s="88" t="s">
        <v>535</v>
      </c>
      <c r="Q114" s="1">
        <v>2</v>
      </c>
      <c r="R114" s="88" t="s">
        <v>6945</v>
      </c>
      <c r="S114" s="1" t="s">
        <v>535</v>
      </c>
      <c r="T114" s="1" t="str">
        <f t="shared" si="1"/>
        <v>Столбы</v>
      </c>
    </row>
    <row r="115" spans="1:20" ht="45">
      <c r="A115" s="1">
        <v>2</v>
      </c>
      <c r="C115" s="23" t="s">
        <v>6852</v>
      </c>
      <c r="D115" s="23" t="str">
        <f>VLOOKUP(G115,ОКТМО!B:G,6,0)</f>
        <v>Намский муниципальный район</v>
      </c>
      <c r="E115" s="1" t="s">
        <v>11</v>
      </c>
      <c r="F115" s="1" t="str">
        <f>VLOOKUP(G115,ОКТМО!B:M,12,0)</f>
        <v>Маймага</v>
      </c>
      <c r="G115" s="1">
        <v>98635470101</v>
      </c>
      <c r="H115" s="1" t="str">
        <f>VLOOKUP(G115,ОКТМО!N:R,4,0)</f>
        <v>63.0438888888889</v>
      </c>
      <c r="I115" s="1" t="str">
        <f>VLOOKUP(G115,ОКТМО!N:R,5,0)</f>
        <v>129.519166666667</v>
      </c>
      <c r="J115" s="1">
        <v>8314</v>
      </c>
      <c r="K115" s="1">
        <v>156</v>
      </c>
      <c r="L115" s="1">
        <v>42</v>
      </c>
      <c r="M115" s="1">
        <v>5</v>
      </c>
      <c r="N115" s="88" t="s">
        <v>6946</v>
      </c>
      <c r="O115" s="1" t="s">
        <v>535</v>
      </c>
      <c r="P115" s="88" t="s">
        <v>535</v>
      </c>
      <c r="Q115" s="1" t="s">
        <v>535</v>
      </c>
      <c r="R115" s="88" t="s">
        <v>535</v>
      </c>
      <c r="S115" s="1" t="s">
        <v>535</v>
      </c>
      <c r="T115" s="1" t="str">
        <f t="shared" si="1"/>
        <v>Маймага</v>
      </c>
    </row>
    <row r="116" spans="1:20">
      <c r="A116" s="1">
        <v>3</v>
      </c>
      <c r="C116" s="23" t="s">
        <v>6852</v>
      </c>
      <c r="D116" s="23" t="str">
        <f>VLOOKUP(G116,ОКТМО!B:G,6,0)</f>
        <v>Намский муниципальный район</v>
      </c>
      <c r="E116" s="1" t="s">
        <v>11</v>
      </c>
      <c r="F116" s="1" t="str">
        <f>VLOOKUP(G116,ОКТМО!B:M,12,0)</f>
        <v>Фрунзе</v>
      </c>
      <c r="G116" s="1">
        <v>98635447101</v>
      </c>
      <c r="H116" s="1" t="str">
        <f>VLOOKUP(G116,ОКТМО!N:R,4,0)</f>
        <v>63.0755555555556</v>
      </c>
      <c r="I116" s="1" t="str">
        <f>VLOOKUP(G116,ОКТМО!N:R,5,0)</f>
        <v>129.728611111111</v>
      </c>
      <c r="J116" s="1">
        <v>7793</v>
      </c>
      <c r="K116" s="1">
        <v>3</v>
      </c>
      <c r="L116" s="1">
        <v>3</v>
      </c>
      <c r="M116" s="1">
        <v>3</v>
      </c>
      <c r="N116" s="88" t="s">
        <v>6947</v>
      </c>
      <c r="O116" s="1" t="s">
        <v>535</v>
      </c>
      <c r="P116" s="88" t="s">
        <v>535</v>
      </c>
      <c r="Q116" s="1">
        <v>1</v>
      </c>
      <c r="R116" s="88" t="s">
        <v>6897</v>
      </c>
      <c r="S116" s="1" t="s">
        <v>535</v>
      </c>
      <c r="T116" s="1" t="str">
        <f t="shared" si="1"/>
        <v>Фрунзе</v>
      </c>
    </row>
    <row r="117" spans="1:20">
      <c r="A117" s="1">
        <v>4</v>
      </c>
      <c r="C117" s="23" t="s">
        <v>6852</v>
      </c>
      <c r="D117" s="23" t="str">
        <f>VLOOKUP(G117,ОКТМО!B:G,6,0)</f>
        <v>Намский муниципальный район</v>
      </c>
      <c r="E117" s="1" t="s">
        <v>11</v>
      </c>
      <c r="F117" s="1" t="str">
        <f>VLOOKUP(G117,ОКТМО!B:M,12,0)</f>
        <v>Харыялах</v>
      </c>
      <c r="G117" s="1">
        <v>98635420101</v>
      </c>
      <c r="H117" s="1" t="str">
        <f>VLOOKUP(G117,ОКТМО!N:R,4,0)</f>
        <v>62.1408333333333</v>
      </c>
      <c r="I117" s="1" t="str">
        <f>VLOOKUP(G117,ОКТМО!N:R,5,0)</f>
        <v>129.736111111111</v>
      </c>
      <c r="J117" s="1">
        <v>7737</v>
      </c>
      <c r="K117" s="1">
        <v>12</v>
      </c>
      <c r="L117" s="1">
        <v>1</v>
      </c>
      <c r="M117" s="1" t="s">
        <v>535</v>
      </c>
      <c r="N117" s="88" t="s">
        <v>535</v>
      </c>
      <c r="O117" s="1" t="s">
        <v>535</v>
      </c>
      <c r="P117" s="88" t="s">
        <v>535</v>
      </c>
      <c r="Q117" s="1">
        <v>2</v>
      </c>
      <c r="R117" s="88" t="s">
        <v>6897</v>
      </c>
      <c r="S117" s="1" t="s">
        <v>535</v>
      </c>
      <c r="T117" s="1" t="str">
        <f t="shared" si="1"/>
        <v>Харыялах</v>
      </c>
    </row>
    <row r="118" spans="1:20">
      <c r="A118" s="1">
        <v>5</v>
      </c>
      <c r="C118" s="23" t="s">
        <v>6852</v>
      </c>
      <c r="D118" s="23" t="str">
        <f>VLOOKUP(G118,ОКТМО!B:G,6,0)</f>
        <v>Намский муниципальный район</v>
      </c>
      <c r="E118" s="1" t="s">
        <v>11</v>
      </c>
      <c r="F118" s="1" t="str">
        <f>VLOOKUP(G118,ОКТМО!B:M,12,0)</f>
        <v>Кысыл-Сыр</v>
      </c>
      <c r="G118" s="1">
        <v>98635465101</v>
      </c>
      <c r="H118" s="1" t="str">
        <f>VLOOKUP(G118,ОКТМО!N:R,4,0)</f>
        <v>62.5377777777778</v>
      </c>
      <c r="I118" s="1" t="str">
        <f>VLOOKUP(G118,ОКТМО!N:R,5,0)</f>
        <v>129.761944444444</v>
      </c>
      <c r="J118" s="1" t="s">
        <v>535</v>
      </c>
      <c r="K118" s="1" t="s">
        <v>535</v>
      </c>
      <c r="L118" s="1" t="s">
        <v>535</v>
      </c>
      <c r="M118" s="1" t="s">
        <v>535</v>
      </c>
      <c r="N118" s="88" t="s">
        <v>535</v>
      </c>
      <c r="O118" s="1" t="s">
        <v>535</v>
      </c>
      <c r="P118" s="88" t="s">
        <v>535</v>
      </c>
      <c r="Q118" s="1">
        <v>4</v>
      </c>
      <c r="R118" s="88" t="s">
        <v>6897</v>
      </c>
      <c r="S118" s="1" t="s">
        <v>535</v>
      </c>
      <c r="T118" s="1" t="str">
        <f t="shared" si="1"/>
        <v>Кысыл-Сыр</v>
      </c>
    </row>
    <row r="119" spans="1:20">
      <c r="A119" s="1">
        <v>6</v>
      </c>
      <c r="C119" s="23" t="s">
        <v>6852</v>
      </c>
      <c r="D119" s="23" t="str">
        <f>VLOOKUP(G119,ОКТМО!B:G,6,0)</f>
        <v>Намский муниципальный район</v>
      </c>
      <c r="E119" s="1" t="s">
        <v>11</v>
      </c>
      <c r="F119" s="1" t="str">
        <f>VLOOKUP(G119,ОКТМО!B:M,12,0)</f>
        <v>Булус</v>
      </c>
      <c r="G119" s="1">
        <v>98635445101</v>
      </c>
      <c r="H119" s="1" t="str">
        <f>VLOOKUP(G119,ОКТМО!N:R,4,0)</f>
        <v>63.3052777777778</v>
      </c>
      <c r="I119" s="1" t="str">
        <f>VLOOKUP(G119,ОКТМО!N:R,5,0)</f>
        <v>129.456388888889</v>
      </c>
      <c r="J119" s="1" t="s">
        <v>535</v>
      </c>
      <c r="K119" s="1" t="s">
        <v>535</v>
      </c>
      <c r="L119" s="1" t="s">
        <v>535</v>
      </c>
      <c r="M119" s="1" t="s">
        <v>535</v>
      </c>
      <c r="N119" s="88" t="s">
        <v>535</v>
      </c>
      <c r="O119" s="1" t="s">
        <v>535</v>
      </c>
      <c r="P119" s="88" t="s">
        <v>535</v>
      </c>
      <c r="Q119" s="1">
        <v>4</v>
      </c>
      <c r="R119" s="88" t="s">
        <v>6897</v>
      </c>
      <c r="S119" s="1" t="s">
        <v>535</v>
      </c>
      <c r="T119" s="1" t="str">
        <f t="shared" si="1"/>
        <v>Булус</v>
      </c>
    </row>
    <row r="120" spans="1:20">
      <c r="A120" s="1">
        <v>7</v>
      </c>
      <c r="C120" s="23" t="s">
        <v>6852</v>
      </c>
      <c r="D120" s="23" t="str">
        <f>VLOOKUP(G120,ОКТМО!B:G,6,0)</f>
        <v>Кобяйский муниципальный район</v>
      </c>
      <c r="E120" s="1" t="s">
        <v>212</v>
      </c>
      <c r="F120" s="1" t="str">
        <f>VLOOKUP(G120,ОКТМО!B:M,12,0)</f>
        <v>Чагда</v>
      </c>
      <c r="G120" s="1">
        <v>98624445101</v>
      </c>
      <c r="H120" s="1" t="str">
        <f>VLOOKUP(G120,ОКТМО!N:R,4,0)</f>
        <v>63.3777777777778</v>
      </c>
      <c r="I120" s="1" t="str">
        <f>VLOOKUP(G120,ОКТМО!N:R,5,0)</f>
        <v>125.513333333333</v>
      </c>
      <c r="J120" s="1" t="s">
        <v>535</v>
      </c>
      <c r="K120" s="1">
        <v>41</v>
      </c>
      <c r="L120" s="1">
        <v>8</v>
      </c>
      <c r="M120" s="1" t="s">
        <v>535</v>
      </c>
      <c r="N120" s="88" t="s">
        <v>535</v>
      </c>
      <c r="O120" s="1" t="s">
        <v>535</v>
      </c>
      <c r="P120" s="88" t="s">
        <v>535</v>
      </c>
      <c r="Q120" s="1" t="s">
        <v>535</v>
      </c>
      <c r="R120" s="88" t="s">
        <v>535</v>
      </c>
      <c r="S120" s="1" t="s">
        <v>535</v>
      </c>
      <c r="T120" s="1" t="str">
        <f t="shared" si="1"/>
        <v>Чагда</v>
      </c>
    </row>
    <row r="121" spans="1:20">
      <c r="A121" s="1">
        <v>8</v>
      </c>
      <c r="C121" s="23" t="s">
        <v>6852</v>
      </c>
      <c r="D121" s="23" t="str">
        <f>VLOOKUP(G121,ОКТМО!B:G,6,0)</f>
        <v>Горный муниципальный район</v>
      </c>
      <c r="E121" s="1" t="s">
        <v>297</v>
      </c>
      <c r="F121" s="1" t="str">
        <f>VLOOKUP(G121,ОКТМО!B:M,12,0)</f>
        <v>Бясь-Кюель</v>
      </c>
      <c r="G121" s="1">
        <v>98620405101</v>
      </c>
      <c r="H121" s="1" t="str">
        <f>VLOOKUP(G121,ОКТМО!N:R,4,0)</f>
        <v>62.7672222222222</v>
      </c>
      <c r="I121" s="1" t="str">
        <f>VLOOKUP(G121,ОКТМО!N:R,5,0)</f>
        <v>127.085</v>
      </c>
      <c r="J121" s="1" t="s">
        <v>535</v>
      </c>
      <c r="K121" s="1">
        <v>16</v>
      </c>
      <c r="L121" s="1">
        <v>4</v>
      </c>
      <c r="M121" s="1" t="s">
        <v>535</v>
      </c>
      <c r="N121" s="88" t="s">
        <v>535</v>
      </c>
      <c r="O121" s="1" t="s">
        <v>535</v>
      </c>
      <c r="P121" s="88" t="s">
        <v>535</v>
      </c>
      <c r="Q121" s="1" t="s">
        <v>535</v>
      </c>
      <c r="R121" s="88" t="s">
        <v>535</v>
      </c>
      <c r="S121" s="1" t="s">
        <v>535</v>
      </c>
      <c r="T121" s="1" t="str">
        <f t="shared" si="1"/>
        <v>Бясь-Кюель</v>
      </c>
    </row>
    <row r="122" spans="1:20">
      <c r="A122" s="1">
        <v>9</v>
      </c>
      <c r="C122" s="23" t="s">
        <v>6852</v>
      </c>
      <c r="D122" s="23" t="str">
        <f>VLOOKUP(G122,ОКТМО!B:G,6,0)</f>
        <v>Нюрбинский муниципальный район</v>
      </c>
      <c r="E122" s="1" t="s">
        <v>488</v>
      </c>
      <c r="F122" s="1" t="str">
        <f>VLOOKUP(G122,ОКТМО!B:M,12,0)</f>
        <v>Жархан</v>
      </c>
      <c r="G122" s="1">
        <v>98626415101</v>
      </c>
      <c r="H122" s="1" t="str">
        <f>VLOOKUP(G122,ОКТМО!N:R,4,0)</f>
        <v>63.5186111111111</v>
      </c>
      <c r="I122" s="1" t="str">
        <f>VLOOKUP(G122,ОКТМО!N:R,5,0)</f>
        <v>118.822777777778</v>
      </c>
      <c r="J122" s="1">
        <v>815</v>
      </c>
      <c r="K122" s="1">
        <v>20</v>
      </c>
      <c r="L122" s="1">
        <v>3</v>
      </c>
      <c r="M122" s="1" t="s">
        <v>535</v>
      </c>
      <c r="N122" s="88" t="s">
        <v>535</v>
      </c>
      <c r="O122" s="1" t="s">
        <v>535</v>
      </c>
      <c r="P122" s="88" t="s">
        <v>535</v>
      </c>
      <c r="Q122" s="1" t="s">
        <v>535</v>
      </c>
      <c r="R122" s="88" t="s">
        <v>535</v>
      </c>
      <c r="S122" s="1" t="s">
        <v>535</v>
      </c>
      <c r="T122" s="1" t="str">
        <f t="shared" si="1"/>
        <v>Жархан</v>
      </c>
    </row>
    <row r="123" spans="1:20">
      <c r="A123" s="1">
        <v>10</v>
      </c>
      <c r="C123" s="23" t="s">
        <v>6852</v>
      </c>
      <c r="D123" s="23" t="str">
        <f>VLOOKUP(G123,ОКТМО!B:G,6,0)</f>
        <v>Олекминский муниципальный район</v>
      </c>
      <c r="E123" s="1" t="s">
        <v>11</v>
      </c>
      <c r="F123" s="1" t="str">
        <f>VLOOKUP(G123,ОКТМО!B:M,12,0)</f>
        <v>Иннях</v>
      </c>
      <c r="G123" s="1">
        <v>98641415106</v>
      </c>
      <c r="H123" s="1" t="str">
        <f>VLOOKUP(G123,ОКТМО!N:R,4,0)</f>
        <v>59.7925</v>
      </c>
      <c r="I123" s="1" t="str">
        <f>VLOOKUP(G123,ОКТМО!N:R,5,0)</f>
        <v>118.460277777778</v>
      </c>
      <c r="J123" s="1" t="s">
        <v>535</v>
      </c>
      <c r="K123" s="1">
        <v>17</v>
      </c>
      <c r="L123" s="1">
        <v>7</v>
      </c>
      <c r="M123" s="1" t="s">
        <v>535</v>
      </c>
      <c r="N123" s="88" t="s">
        <v>535</v>
      </c>
      <c r="O123" s="1" t="s">
        <v>535</v>
      </c>
      <c r="P123" s="88" t="s">
        <v>535</v>
      </c>
      <c r="Q123" s="1" t="s">
        <v>535</v>
      </c>
      <c r="R123" s="88" t="s">
        <v>535</v>
      </c>
      <c r="S123" s="1" t="s">
        <v>535</v>
      </c>
      <c r="T123" s="1" t="str">
        <f t="shared" si="1"/>
        <v>Иннях</v>
      </c>
    </row>
    <row r="124" spans="1:20">
      <c r="A124" s="1">
        <v>11</v>
      </c>
      <c r="C124" s="23" t="s">
        <v>6852</v>
      </c>
      <c r="D124" s="23" t="str">
        <f>VLOOKUP(G124,ОКТМО!B:G,6,0)</f>
        <v>Олекминский муниципальный район</v>
      </c>
      <c r="E124" s="1" t="s">
        <v>11</v>
      </c>
      <c r="F124" s="1" t="str">
        <f>VLOOKUP(G124,ОКТМО!B:M,12,0)</f>
        <v>Дельгей</v>
      </c>
      <c r="G124" s="1">
        <v>98641415101</v>
      </c>
      <c r="H124" s="1" t="str">
        <f>VLOOKUP(G124,ОКТМО!N:R,4,0)</f>
        <v>59.9061111111111</v>
      </c>
      <c r="I124" s="1" t="str">
        <f>VLOOKUP(G124,ОКТМО!N:R,5,0)</f>
        <v>118.602777777778</v>
      </c>
      <c r="J124" s="1" t="s">
        <v>535</v>
      </c>
      <c r="K124" s="1">
        <v>3</v>
      </c>
      <c r="L124" s="1">
        <v>2</v>
      </c>
      <c r="M124" s="1" t="s">
        <v>535</v>
      </c>
      <c r="N124" s="88" t="s">
        <v>535</v>
      </c>
      <c r="O124" s="1" t="s">
        <v>535</v>
      </c>
      <c r="P124" s="88" t="s">
        <v>535</v>
      </c>
      <c r="Q124" s="1" t="s">
        <v>535</v>
      </c>
      <c r="R124" s="88" t="s">
        <v>535</v>
      </c>
      <c r="S124" s="1" t="s">
        <v>535</v>
      </c>
      <c r="T124" s="1" t="str">
        <f t="shared" si="1"/>
        <v>Дельгей</v>
      </c>
    </row>
    <row r="125" spans="1:20" ht="60">
      <c r="A125" s="1">
        <v>1</v>
      </c>
      <c r="C125" s="23" t="s">
        <v>6853</v>
      </c>
      <c r="D125" s="23" t="str">
        <f>VLOOKUP(G125,ОКТМО!B:G,6,0)</f>
        <v>Верхоянский муниципальный район</v>
      </c>
      <c r="E125" s="1" t="s">
        <v>588</v>
      </c>
      <c r="F125" s="1" t="str">
        <f>VLOOKUP(G125,ОКТМО!B:M,12,0)</f>
        <v>Верхоянск</v>
      </c>
      <c r="G125" s="1">
        <v>98616103001</v>
      </c>
      <c r="H125" s="1" t="str">
        <f>VLOOKUP(G125,ОКТМО!N:R,4,0)</f>
        <v>67.55</v>
      </c>
      <c r="I125" s="1" t="str">
        <f>VLOOKUP(G125,ОКТМО!N:R,5,0)</f>
        <v>133.383333333333</v>
      </c>
      <c r="J125" s="1">
        <v>1020</v>
      </c>
      <c r="K125" s="1">
        <v>450</v>
      </c>
      <c r="L125" s="1">
        <v>98</v>
      </c>
      <c r="M125" s="1">
        <v>6</v>
      </c>
      <c r="N125" s="88" t="s">
        <v>6948</v>
      </c>
      <c r="O125" s="1" t="s">
        <v>535</v>
      </c>
      <c r="P125" s="88" t="s">
        <v>535</v>
      </c>
      <c r="Q125" s="1">
        <v>3</v>
      </c>
      <c r="R125" s="88" t="s">
        <v>6876</v>
      </c>
      <c r="S125" s="88" t="s">
        <v>6847</v>
      </c>
      <c r="T125" s="1" t="str">
        <f t="shared" si="1"/>
        <v>Верхоянск</v>
      </c>
    </row>
    <row r="126" spans="1:20">
      <c r="A126" s="1">
        <v>2</v>
      </c>
      <c r="C126" s="23" t="s">
        <v>6853</v>
      </c>
      <c r="D126" s="23" t="str">
        <f>VLOOKUP(G126,ОКТМО!B:G,6,0)</f>
        <v>Верхоянский муниципальный район</v>
      </c>
      <c r="E126" s="1" t="s">
        <v>588</v>
      </c>
      <c r="F126" s="1" t="str">
        <f>VLOOKUP(G126,ОКТМО!B:M,12,0)</f>
        <v>Батагай</v>
      </c>
      <c r="G126" s="1">
        <v>98616151051</v>
      </c>
      <c r="H126" s="1" t="str">
        <f>VLOOKUP(G126,ОКТМО!N:R,4,0)</f>
        <v>67.6536111111111</v>
      </c>
      <c r="I126" s="1" t="str">
        <f>VLOOKUP(G126,ОКТМО!N:R,5,0)</f>
        <v>134.631944444444</v>
      </c>
      <c r="J126" s="1" t="s">
        <v>6823</v>
      </c>
      <c r="K126" s="1">
        <v>16</v>
      </c>
      <c r="L126" s="1">
        <v>10</v>
      </c>
      <c r="M126" s="1" t="s">
        <v>535</v>
      </c>
      <c r="N126" s="88" t="s">
        <v>535</v>
      </c>
      <c r="O126" s="1">
        <v>1</v>
      </c>
      <c r="P126" s="88">
        <v>1</v>
      </c>
      <c r="Q126" s="1" t="s">
        <v>535</v>
      </c>
      <c r="R126" s="88" t="s">
        <v>535</v>
      </c>
      <c r="S126" s="1" t="s">
        <v>535</v>
      </c>
      <c r="T126" s="1" t="str">
        <f t="shared" si="1"/>
        <v>Батагай</v>
      </c>
    </row>
    <row r="127" spans="1:20" ht="60">
      <c r="A127" s="1">
        <v>3</v>
      </c>
      <c r="C127" s="23" t="s">
        <v>6853</v>
      </c>
      <c r="D127" s="23" t="str">
        <f>VLOOKUP(G127,ОКТМО!B:G,6,0)</f>
        <v>Верхоянский муниципальный район</v>
      </c>
      <c r="E127" s="1" t="s">
        <v>588</v>
      </c>
      <c r="F127" s="1" t="str">
        <f>VLOOKUP(G127,ОКТМО!B:M,12,0)</f>
        <v>Боронук</v>
      </c>
      <c r="G127" s="1">
        <v>98616477101</v>
      </c>
      <c r="H127" s="1" t="str">
        <f>VLOOKUP(G127,ОКТМО!N:R,4,0)</f>
        <v>67.5783333333333</v>
      </c>
      <c r="I127" s="1" t="str">
        <f>VLOOKUP(G127,ОКТМО!N:R,5,0)</f>
        <v>133.449444444444</v>
      </c>
      <c r="J127" s="1">
        <v>1000</v>
      </c>
      <c r="K127" s="1">
        <v>277</v>
      </c>
      <c r="L127" s="1">
        <v>73</v>
      </c>
      <c r="M127" s="1">
        <v>9</v>
      </c>
      <c r="N127" s="88" t="s">
        <v>6949</v>
      </c>
      <c r="O127" s="1" t="s">
        <v>535</v>
      </c>
      <c r="P127" s="88" t="s">
        <v>535</v>
      </c>
      <c r="Q127" s="1" t="s">
        <v>535</v>
      </c>
      <c r="R127" s="88" t="s">
        <v>535</v>
      </c>
      <c r="S127" s="1" t="s">
        <v>535</v>
      </c>
      <c r="T127" s="1" t="str">
        <f t="shared" si="1"/>
        <v>Боронук</v>
      </c>
    </row>
    <row r="128" spans="1:20" ht="30">
      <c r="A128" s="1">
        <v>4</v>
      </c>
      <c r="C128" s="23" t="s">
        <v>6853</v>
      </c>
      <c r="D128" s="23" t="str">
        <f>VLOOKUP(G128,ОКТМО!B:G,6,0)</f>
        <v>Верхоянский муниципальный район</v>
      </c>
      <c r="E128" s="1" t="s">
        <v>621</v>
      </c>
      <c r="F128" s="1" t="str">
        <f>VLOOKUP(G128,ОКТМО!B:M,12,0)</f>
        <v>Бетенкёс</v>
      </c>
      <c r="G128" s="1">
        <v>98616404101</v>
      </c>
      <c r="H128" s="1" t="str">
        <f>VLOOKUP(G128,ОКТМО!N:R,4,0)</f>
        <v>67.65</v>
      </c>
      <c r="I128" s="1" t="str">
        <f>VLOOKUP(G128,ОКТМО!N:R,5,0)</f>
        <v>135.575</v>
      </c>
      <c r="J128" s="1">
        <v>950</v>
      </c>
      <c r="K128" s="1">
        <v>651</v>
      </c>
      <c r="L128" s="1">
        <v>178</v>
      </c>
      <c r="M128" s="1">
        <v>5</v>
      </c>
      <c r="N128" s="88" t="s">
        <v>6950</v>
      </c>
      <c r="O128" s="1" t="s">
        <v>535</v>
      </c>
      <c r="P128" s="88" t="s">
        <v>535</v>
      </c>
      <c r="Q128" s="1" t="s">
        <v>535</v>
      </c>
      <c r="R128" s="88" t="s">
        <v>535</v>
      </c>
      <c r="S128" s="1" t="s">
        <v>535</v>
      </c>
      <c r="T128" s="1" t="str">
        <f t="shared" si="1"/>
        <v>Бетенкёс</v>
      </c>
    </row>
    <row r="129" spans="1:20">
      <c r="A129" s="1">
        <v>5</v>
      </c>
      <c r="C129" s="23" t="s">
        <v>6853</v>
      </c>
      <c r="D129" s="23" t="str">
        <f>VLOOKUP(G129,ОКТМО!B:G,6,0)</f>
        <v>Верхоянский муниципальный район</v>
      </c>
      <c r="E129" s="1" t="s">
        <v>610</v>
      </c>
      <c r="F129" s="1" t="str">
        <f>VLOOKUP(G129,ОКТМО!B:M,12,0)</f>
        <v>Барылас</v>
      </c>
      <c r="G129" s="1">
        <v>98616412101</v>
      </c>
      <c r="H129" s="1" t="str">
        <f>VLOOKUP(G129,ОКТМО!N:R,4,0)</f>
        <v>65.8947222222222</v>
      </c>
      <c r="I129" s="1" t="str">
        <f>VLOOKUP(G129,ОКТМО!N:R,5,0)</f>
        <v>132.756944444444</v>
      </c>
      <c r="J129" s="1">
        <v>360</v>
      </c>
      <c r="K129" s="1">
        <v>44</v>
      </c>
      <c r="L129" s="1">
        <v>10</v>
      </c>
      <c r="M129" s="1">
        <v>2</v>
      </c>
      <c r="N129" s="88">
        <v>2</v>
      </c>
      <c r="O129" s="1" t="s">
        <v>535</v>
      </c>
      <c r="P129" s="88" t="s">
        <v>535</v>
      </c>
      <c r="Q129" s="1" t="s">
        <v>535</v>
      </c>
      <c r="R129" s="88" t="s">
        <v>535</v>
      </c>
      <c r="S129" s="1" t="s">
        <v>535</v>
      </c>
      <c r="T129" s="1" t="str">
        <f t="shared" si="1"/>
        <v>Барылас</v>
      </c>
    </row>
    <row r="130" spans="1:20">
      <c r="A130" s="1">
        <v>6</v>
      </c>
      <c r="C130" s="23" t="s">
        <v>6853</v>
      </c>
      <c r="D130" s="23" t="str">
        <f>VLOOKUP(G130,ОКТМО!B:G,6,0)</f>
        <v>Верхоянский муниципальный район</v>
      </c>
      <c r="E130" s="1" t="s">
        <v>610</v>
      </c>
      <c r="F130" s="1" t="str">
        <f>VLOOKUP(G130,ОКТМО!B:M,12,0)</f>
        <v>Юнкюр</v>
      </c>
      <c r="G130" s="1">
        <v>98616442101</v>
      </c>
      <c r="H130" s="1" t="str">
        <f>VLOOKUP(G130,ОКТМО!N:R,4,0)</f>
        <v>66.5572222222222</v>
      </c>
      <c r="I130" s="1" t="str">
        <f>VLOOKUP(G130,ОКТМО!N:R,5,0)</f>
        <v>132.915833333333</v>
      </c>
      <c r="J130" s="1">
        <v>580</v>
      </c>
      <c r="K130" s="1">
        <v>121</v>
      </c>
      <c r="L130" s="1">
        <v>39</v>
      </c>
      <c r="M130" s="1" t="s">
        <v>535</v>
      </c>
      <c r="N130" s="88" t="s">
        <v>535</v>
      </c>
      <c r="O130" s="1" t="s">
        <v>535</v>
      </c>
      <c r="P130" s="88" t="s">
        <v>535</v>
      </c>
      <c r="Q130" s="1" t="s">
        <v>535</v>
      </c>
      <c r="R130" s="88" t="s">
        <v>535</v>
      </c>
      <c r="S130" s="1" t="s">
        <v>535</v>
      </c>
      <c r="T130" s="1" t="str">
        <f t="shared" si="1"/>
        <v>Юнкюр</v>
      </c>
    </row>
    <row r="131" spans="1:20" ht="30">
      <c r="A131" s="1">
        <v>7</v>
      </c>
      <c r="C131" s="23" t="s">
        <v>6853</v>
      </c>
      <c r="D131" s="23" t="str">
        <f>VLOOKUP(G131,ОКТМО!B:G,6,0)</f>
        <v>Верхоянский муниципальный район</v>
      </c>
      <c r="E131" s="1" t="s">
        <v>617</v>
      </c>
      <c r="F131" s="1" t="str">
        <f>VLOOKUP(G131,ОКТМО!B:M,12,0)</f>
        <v>Томтор</v>
      </c>
      <c r="G131" s="1">
        <v>98616425101</v>
      </c>
      <c r="H131" s="1" t="str">
        <f>VLOOKUP(G131,ОКТМО!N:R,4,0)</f>
        <v>67.2030555555556</v>
      </c>
      <c r="I131" s="1" t="str">
        <f>VLOOKUP(G131,ОКТМО!N:R,5,0)</f>
        <v>132.138055555556</v>
      </c>
      <c r="J131" s="1">
        <v>800</v>
      </c>
      <c r="K131" s="1">
        <v>337</v>
      </c>
      <c r="L131" s="1">
        <v>85</v>
      </c>
      <c r="M131" s="1">
        <v>5</v>
      </c>
      <c r="N131" s="88" t="s">
        <v>6951</v>
      </c>
      <c r="O131" s="1" t="s">
        <v>535</v>
      </c>
      <c r="P131" s="88" t="s">
        <v>535</v>
      </c>
      <c r="Q131" s="1">
        <v>1</v>
      </c>
      <c r="R131" s="88" t="s">
        <v>6952</v>
      </c>
      <c r="S131" s="1" t="s">
        <v>535</v>
      </c>
      <c r="T131" s="1" t="str">
        <f t="shared" si="1"/>
        <v>Томтор</v>
      </c>
    </row>
    <row r="132" spans="1:20">
      <c r="A132" s="1">
        <v>8</v>
      </c>
      <c r="C132" s="23" t="s">
        <v>6853</v>
      </c>
      <c r="D132" s="23" t="str">
        <f>VLOOKUP(G132,ОКТМО!B:G,6,0)</f>
        <v>Среднеколымский муниципальный район</v>
      </c>
      <c r="E132" s="1" t="s">
        <v>707</v>
      </c>
      <c r="F132" s="1" t="str">
        <f>VLOOKUP(G132,ОКТМО!B:M,12,0)</f>
        <v>Аргахтах</v>
      </c>
      <c r="G132" s="1">
        <v>98646405101</v>
      </c>
      <c r="H132" s="1" t="str">
        <f>VLOOKUP(G132,ОКТМО!N:R,4,0)</f>
        <v>68.4427777777778</v>
      </c>
      <c r="I132" s="1" t="str">
        <f>VLOOKUP(G132,ОКТМО!N:R,5,0)</f>
        <v>153.376111111111</v>
      </c>
      <c r="J132" s="1">
        <v>777</v>
      </c>
      <c r="K132" s="1">
        <v>31</v>
      </c>
      <c r="L132" s="1">
        <v>9</v>
      </c>
      <c r="M132" s="1" t="s">
        <v>535</v>
      </c>
      <c r="N132" s="88" t="s">
        <v>535</v>
      </c>
      <c r="O132" s="1" t="s">
        <v>535</v>
      </c>
      <c r="P132" s="88" t="s">
        <v>535</v>
      </c>
      <c r="Q132" s="1">
        <v>1</v>
      </c>
      <c r="R132" s="88" t="s">
        <v>6953</v>
      </c>
      <c r="S132" s="1" t="s">
        <v>535</v>
      </c>
      <c r="T132" s="1" t="str">
        <f t="shared" si="1"/>
        <v>Аргахтах</v>
      </c>
    </row>
    <row r="133" spans="1:20">
      <c r="A133" s="1">
        <v>9</v>
      </c>
      <c r="C133" s="23" t="s">
        <v>6853</v>
      </c>
      <c r="D133" s="23" t="str">
        <f>VLOOKUP(G133,ОКТМО!B:G,6,0)</f>
        <v>Среднеколымский муниципальный район</v>
      </c>
      <c r="E133" s="1" t="s">
        <v>707</v>
      </c>
      <c r="F133" s="1" t="str">
        <f>VLOOKUP(G133,ОКТМО!B:M,12,0)</f>
        <v>Сватай</v>
      </c>
      <c r="G133" s="1">
        <v>98646436101</v>
      </c>
      <c r="H133" s="1" t="str">
        <f>VLOOKUP(G133,ОКТМО!N:R,4,0)</f>
        <v>68.0586111111111</v>
      </c>
      <c r="I133" s="1" t="str">
        <f>VLOOKUP(G133,ОКТМО!N:R,5,0)</f>
        <v>151.802222222222</v>
      </c>
      <c r="J133" s="1">
        <v>750</v>
      </c>
      <c r="K133" s="1">
        <v>157</v>
      </c>
      <c r="L133" s="1">
        <v>37</v>
      </c>
      <c r="M133" s="1">
        <v>2</v>
      </c>
      <c r="N133" s="88">
        <v>2</v>
      </c>
      <c r="O133" s="1" t="s">
        <v>535</v>
      </c>
      <c r="P133" s="88" t="s">
        <v>535</v>
      </c>
      <c r="Q133" s="1">
        <v>2</v>
      </c>
      <c r="R133" s="88">
        <v>2</v>
      </c>
      <c r="S133" s="1" t="s">
        <v>535</v>
      </c>
      <c r="T133" s="1" t="str">
        <f t="shared" ref="T133:T196" si="2">F133</f>
        <v>Сватай</v>
      </c>
    </row>
    <row r="134" spans="1:20">
      <c r="A134" s="1">
        <v>10</v>
      </c>
      <c r="C134" s="23" t="s">
        <v>6853</v>
      </c>
      <c r="D134" s="23" t="str">
        <f>VLOOKUP(G134,ОКТМО!B:G,6,0)</f>
        <v>Нижнеколымский муниципальный район</v>
      </c>
      <c r="E134" s="1" t="s">
        <v>707</v>
      </c>
      <c r="F134" s="1" t="str">
        <f>VLOOKUP(G134,ОКТМО!B:M,12,0)</f>
        <v>Андрюшкино</v>
      </c>
      <c r="G134" s="1">
        <v>98637411101</v>
      </c>
      <c r="H134" s="1" t="str">
        <f>VLOOKUP(G134,ОКТМО!N:R,4,0)</f>
        <v>69.1725</v>
      </c>
      <c r="I134" s="1" t="str">
        <f>VLOOKUP(G134,ОКТМО!N:R,5,0)</f>
        <v>154.445</v>
      </c>
      <c r="J134" s="1">
        <v>1000</v>
      </c>
      <c r="K134" s="1">
        <v>18</v>
      </c>
      <c r="L134" s="1">
        <v>3</v>
      </c>
      <c r="M134" s="1">
        <v>3</v>
      </c>
      <c r="N134" s="88">
        <v>3</v>
      </c>
      <c r="O134" s="1" t="s">
        <v>535</v>
      </c>
      <c r="P134" s="88" t="s">
        <v>535</v>
      </c>
      <c r="Q134" s="1">
        <v>1</v>
      </c>
      <c r="R134" s="88">
        <v>1</v>
      </c>
      <c r="S134" s="1" t="s">
        <v>535</v>
      </c>
      <c r="T134" s="1" t="str">
        <f t="shared" si="2"/>
        <v>Андрюшкино</v>
      </c>
    </row>
    <row r="135" spans="1:20">
      <c r="A135" s="1">
        <v>11</v>
      </c>
      <c r="C135" s="23" t="s">
        <v>6853</v>
      </c>
      <c r="D135" s="23" t="str">
        <f>VLOOKUP(G135,ОКТМО!B:G,6,0)</f>
        <v>Мегино-Кангаласский муниципальный район</v>
      </c>
      <c r="E135" s="1" t="s">
        <v>304</v>
      </c>
      <c r="F135" s="1" t="str">
        <f>VLOOKUP(G135,ОКТМО!B:M,12,0)</f>
        <v>Бютейдях</v>
      </c>
      <c r="G135" s="1">
        <v>98629409101</v>
      </c>
      <c r="H135" s="1" t="str">
        <f>VLOOKUP(G135,ОКТМО!N:R,4,0)</f>
        <v>61.6288888888889</v>
      </c>
      <c r="I135" s="1" t="str">
        <f>VLOOKUP(G135,ОКТМО!N:R,5,0)</f>
        <v>131.366666666667</v>
      </c>
      <c r="J135" s="1">
        <v>460</v>
      </c>
      <c r="K135" s="1">
        <v>24</v>
      </c>
      <c r="L135" s="1">
        <v>10</v>
      </c>
      <c r="M135" s="1" t="s">
        <v>535</v>
      </c>
      <c r="N135" s="88" t="s">
        <v>535</v>
      </c>
      <c r="O135" s="1" t="s">
        <v>535</v>
      </c>
      <c r="P135" s="88" t="s">
        <v>535</v>
      </c>
      <c r="Q135" s="1" t="s">
        <v>535</v>
      </c>
      <c r="R135" s="88" t="s">
        <v>535</v>
      </c>
      <c r="S135" s="1" t="s">
        <v>535</v>
      </c>
      <c r="T135" s="1" t="str">
        <f t="shared" si="2"/>
        <v>Бютейдях</v>
      </c>
    </row>
    <row r="136" spans="1:20">
      <c r="A136" s="1">
        <v>12</v>
      </c>
      <c r="C136" s="23" t="s">
        <v>6853</v>
      </c>
      <c r="D136" s="23" t="str">
        <f>VLOOKUP(G136,ОКТМО!B:G,6,0)</f>
        <v>Мегино-Кангаласский муниципальный район</v>
      </c>
      <c r="E136" s="1" t="s">
        <v>6837</v>
      </c>
      <c r="F136" s="1" t="str">
        <f>VLOOKUP(G136,ОКТМО!B:M,12,0)</f>
        <v>Табага</v>
      </c>
      <c r="G136" s="1">
        <v>98629448101</v>
      </c>
      <c r="H136" s="1" t="str">
        <f>VLOOKUP(G136,ОКТМО!N:R,4,0)</f>
        <v>61.6675</v>
      </c>
      <c r="I136" s="1" t="str">
        <f>VLOOKUP(G136,ОКТМО!N:R,5,0)</f>
        <v>130.941666666667</v>
      </c>
      <c r="J136" s="1">
        <v>460</v>
      </c>
      <c r="K136" s="1">
        <v>23</v>
      </c>
      <c r="L136" s="1">
        <v>9</v>
      </c>
      <c r="M136" s="1">
        <v>1</v>
      </c>
      <c r="N136" s="88" t="s">
        <v>6954</v>
      </c>
      <c r="O136" s="1">
        <v>1</v>
      </c>
      <c r="P136" s="88" t="s">
        <v>6899</v>
      </c>
      <c r="Q136" s="1" t="s">
        <v>535</v>
      </c>
      <c r="R136" s="88" t="s">
        <v>535</v>
      </c>
      <c r="S136" s="1" t="s">
        <v>535</v>
      </c>
      <c r="T136" s="1" t="str">
        <f t="shared" si="2"/>
        <v>Табага</v>
      </c>
    </row>
    <row r="137" spans="1:20">
      <c r="A137" s="1">
        <v>13</v>
      </c>
      <c r="C137" s="23" t="s">
        <v>6853</v>
      </c>
      <c r="D137" s="23" t="str">
        <f>VLOOKUP(G137,ОКТМО!B:G,6,0)</f>
        <v>Мегино-Кангаласский муниципальный район</v>
      </c>
      <c r="E137" s="1" t="s">
        <v>3214</v>
      </c>
      <c r="F137" s="1" t="str">
        <f>VLOOKUP(G137,ОКТМО!B:M,12,0)</f>
        <v>Хочо</v>
      </c>
      <c r="G137" s="1">
        <v>98629440101</v>
      </c>
      <c r="H137" s="1" t="str">
        <f>VLOOKUP(G137,ОКТМО!N:R,4,0)</f>
        <v>61.5669444444444</v>
      </c>
      <c r="I137" s="1" t="str">
        <f>VLOOKUP(G137,ОКТМО!N:R,5,0)</f>
        <v>130.740833333333</v>
      </c>
      <c r="J137" s="1">
        <v>460</v>
      </c>
      <c r="K137" s="1">
        <v>65</v>
      </c>
      <c r="L137" s="1">
        <v>16</v>
      </c>
      <c r="M137" s="1" t="s">
        <v>535</v>
      </c>
      <c r="N137" s="88" t="s">
        <v>535</v>
      </c>
      <c r="O137" s="1" t="s">
        <v>535</v>
      </c>
      <c r="P137" s="88" t="s">
        <v>535</v>
      </c>
      <c r="Q137" s="1" t="s">
        <v>535</v>
      </c>
      <c r="R137" s="88" t="s">
        <v>535</v>
      </c>
      <c r="S137" s="1" t="s">
        <v>535</v>
      </c>
      <c r="T137" s="1" t="str">
        <f t="shared" si="2"/>
        <v>Хочо</v>
      </c>
    </row>
    <row r="138" spans="1:20">
      <c r="A138" s="1">
        <v>14</v>
      </c>
      <c r="C138" s="23" t="s">
        <v>6853</v>
      </c>
      <c r="D138" s="23" t="str">
        <f>VLOOKUP(G138,ОКТМО!B:G,6,0)</f>
        <v>Мегино-Кангаласский муниципальный район</v>
      </c>
      <c r="E138" s="1" t="s">
        <v>6838</v>
      </c>
      <c r="F138" s="1" t="str">
        <f>VLOOKUP(G138,ОКТМО!B:M,12,0)</f>
        <v>Чюйя</v>
      </c>
      <c r="G138" s="1">
        <v>98629463101</v>
      </c>
      <c r="H138" s="1" t="str">
        <f>VLOOKUP(G138,ОКТМО!N:R,4,0)</f>
        <v>61.7275</v>
      </c>
      <c r="I138" s="1" t="str">
        <f>VLOOKUP(G138,ОКТМО!N:R,5,0)</f>
        <v>130.3675</v>
      </c>
      <c r="J138" s="1" t="s">
        <v>535</v>
      </c>
      <c r="K138" s="1">
        <v>28</v>
      </c>
      <c r="L138" s="1">
        <v>6</v>
      </c>
      <c r="M138" s="1" t="s">
        <v>535</v>
      </c>
      <c r="N138" s="88" t="s">
        <v>535</v>
      </c>
      <c r="O138" s="1" t="s">
        <v>535</v>
      </c>
      <c r="P138" s="88" t="s">
        <v>535</v>
      </c>
      <c r="Q138" s="1" t="s">
        <v>535</v>
      </c>
      <c r="R138" s="88" t="s">
        <v>535</v>
      </c>
      <c r="S138" s="1" t="s">
        <v>535</v>
      </c>
      <c r="T138" s="1" t="str">
        <f t="shared" si="2"/>
        <v>Чюйя</v>
      </c>
    </row>
    <row r="139" spans="1:20">
      <c r="A139" s="1">
        <v>15</v>
      </c>
      <c r="C139" s="23" t="s">
        <v>6853</v>
      </c>
      <c r="D139" s="23" t="str">
        <f>VLOOKUP(G139,ОКТМО!B:G,6,0)</f>
        <v>Мегино-Кангаласский муниципальный район</v>
      </c>
      <c r="E139" s="1" t="s">
        <v>6840</v>
      </c>
      <c r="F139" s="1" t="str">
        <f>VLOOKUP(G139,ОКТМО!B:M,12,0)</f>
        <v>Бедемё</v>
      </c>
      <c r="G139" s="1">
        <v>98629406101</v>
      </c>
      <c r="H139" s="1" t="str">
        <f>VLOOKUP(G139,ОКТМО!N:R,4,0)</f>
        <v>62.0041666666667</v>
      </c>
      <c r="I139" s="1" t="str">
        <f>VLOOKUP(G139,ОКТМО!N:R,5,0)</f>
        <v>130.541944444444</v>
      </c>
      <c r="J139" s="1">
        <v>910</v>
      </c>
      <c r="K139" s="1">
        <v>11</v>
      </c>
      <c r="L139" s="1">
        <v>3</v>
      </c>
      <c r="M139" s="1" t="s">
        <v>535</v>
      </c>
      <c r="N139" s="88" t="s">
        <v>535</v>
      </c>
      <c r="O139" s="1" t="s">
        <v>535</v>
      </c>
      <c r="P139" s="88" t="s">
        <v>535</v>
      </c>
      <c r="Q139" s="1" t="s">
        <v>535</v>
      </c>
      <c r="R139" s="88" t="s">
        <v>535</v>
      </c>
      <c r="S139" s="1" t="s">
        <v>535</v>
      </c>
      <c r="T139" s="1" t="str">
        <f t="shared" si="2"/>
        <v>Бедемё</v>
      </c>
    </row>
    <row r="140" spans="1:20">
      <c r="A140" s="1">
        <v>16</v>
      </c>
      <c r="C140" s="23" t="s">
        <v>6853</v>
      </c>
      <c r="D140" s="23" t="str">
        <f>VLOOKUP(G140,ОКТМО!B:G,6,0)</f>
        <v>Мегино-Кангаласский муниципальный район</v>
      </c>
      <c r="E140" s="1" t="s">
        <v>6839</v>
      </c>
      <c r="F140" s="1" t="str">
        <f>VLOOKUP(G140,ОКТМО!B:M,12,0)</f>
        <v>Тюнгюлю</v>
      </c>
      <c r="G140" s="1">
        <v>98629455101</v>
      </c>
      <c r="H140" s="1" t="str">
        <f>VLOOKUP(G140,ОКТМО!N:R,4,0)</f>
        <v>62.1975</v>
      </c>
      <c r="I140" s="1" t="str">
        <f>VLOOKUP(G140,ОКТМО!N:R,5,0)</f>
        <v>130.710555555556</v>
      </c>
      <c r="J140" s="1" t="s">
        <v>535</v>
      </c>
      <c r="K140" s="1">
        <v>79</v>
      </c>
      <c r="L140" s="1">
        <v>30</v>
      </c>
      <c r="M140" s="1" t="s">
        <v>535</v>
      </c>
      <c r="N140" s="88" t="s">
        <v>535</v>
      </c>
      <c r="O140" s="1" t="s">
        <v>535</v>
      </c>
      <c r="P140" s="88" t="s">
        <v>535</v>
      </c>
      <c r="Q140" s="1" t="s">
        <v>535</v>
      </c>
      <c r="R140" s="88" t="s">
        <v>535</v>
      </c>
      <c r="S140" s="1" t="s">
        <v>535</v>
      </c>
      <c r="T140" s="1" t="str">
        <f t="shared" si="2"/>
        <v>Тюнгюлю</v>
      </c>
    </row>
    <row r="141" spans="1:20">
      <c r="A141" s="1">
        <v>17</v>
      </c>
      <c r="C141" s="23" t="s">
        <v>6853</v>
      </c>
      <c r="D141" s="23" t="str">
        <f>VLOOKUP(G141,ОКТМО!B:G,6,0)</f>
        <v>Мегино-Кангаласский муниципальный район</v>
      </c>
      <c r="E141" s="1" t="s">
        <v>1871</v>
      </c>
      <c r="F141" s="1" t="str">
        <f>VLOOKUP(G141,ОКТМО!B:M,12,0)</f>
        <v>Балыктах</v>
      </c>
      <c r="G141" s="1">
        <v>98629420101</v>
      </c>
      <c r="H141" s="1" t="str">
        <f>VLOOKUP(G141,ОКТМО!N:R,4,0)</f>
        <v>62.2563888888889</v>
      </c>
      <c r="I141" s="1" t="str">
        <f>VLOOKUP(G141,ОКТМО!N:R,5,0)</f>
        <v>130.723055555556</v>
      </c>
      <c r="J141" s="1" t="s">
        <v>535</v>
      </c>
      <c r="K141" s="1">
        <v>10</v>
      </c>
      <c r="L141" s="1">
        <v>6</v>
      </c>
      <c r="M141" s="1" t="s">
        <v>535</v>
      </c>
      <c r="N141" s="88" t="s">
        <v>535</v>
      </c>
      <c r="O141" s="1" t="s">
        <v>535</v>
      </c>
      <c r="P141" s="88" t="s">
        <v>535</v>
      </c>
      <c r="Q141" s="1" t="s">
        <v>535</v>
      </c>
      <c r="R141" s="88" t="s">
        <v>535</v>
      </c>
      <c r="S141" s="1" t="s">
        <v>535</v>
      </c>
      <c r="T141" s="1" t="str">
        <f t="shared" si="2"/>
        <v>Балыктах</v>
      </c>
    </row>
    <row r="142" spans="1:20">
      <c r="A142" s="1">
        <v>18</v>
      </c>
      <c r="C142" s="23" t="s">
        <v>6853</v>
      </c>
      <c r="D142" s="23" t="str">
        <f>VLOOKUP(G142,ОКТМО!B:G,6,0)</f>
        <v>Мегино-Кангаласский муниципальный район</v>
      </c>
      <c r="E142" s="1" t="s">
        <v>6841</v>
      </c>
      <c r="F142" s="1" t="str">
        <f>VLOOKUP(G142,ОКТМО!B:M,12,0)</f>
        <v>Майя</v>
      </c>
      <c r="G142" s="1">
        <v>98629415101</v>
      </c>
      <c r="H142" s="1" t="str">
        <f>VLOOKUP(G142,ОКТМО!N:R,4,0)</f>
        <v>61.7433333333333</v>
      </c>
      <c r="I142" s="1" t="str">
        <f>VLOOKUP(G142,ОКТМО!N:R,5,0)</f>
        <v>130.275833333333</v>
      </c>
      <c r="J142" s="1" t="s">
        <v>535</v>
      </c>
      <c r="K142" s="1">
        <v>4</v>
      </c>
      <c r="L142" s="1">
        <v>3</v>
      </c>
      <c r="M142" s="1" t="s">
        <v>535</v>
      </c>
      <c r="N142" s="88" t="s">
        <v>535</v>
      </c>
      <c r="O142" s="1" t="s">
        <v>535</v>
      </c>
      <c r="P142" s="88" t="s">
        <v>535</v>
      </c>
      <c r="Q142" s="1" t="s">
        <v>535</v>
      </c>
      <c r="R142" s="88" t="s">
        <v>535</v>
      </c>
      <c r="S142" s="1" t="s">
        <v>535</v>
      </c>
      <c r="T142" s="1" t="str">
        <f t="shared" si="2"/>
        <v>Майя</v>
      </c>
    </row>
    <row r="143" spans="1:20">
      <c r="A143" s="1">
        <v>19</v>
      </c>
      <c r="C143" s="23" t="s">
        <v>6853</v>
      </c>
      <c r="D143" s="23" t="str">
        <f>VLOOKUP(G143,ОКТМО!B:G,6,0)</f>
        <v>Мегино-Кангаласский муниципальный район</v>
      </c>
      <c r="E143" s="1" t="s">
        <v>304</v>
      </c>
      <c r="F143" s="1" t="str">
        <f>VLOOKUP(G143,ОКТМО!B:M,12,0)</f>
        <v>Елечёй</v>
      </c>
      <c r="G143" s="1">
        <v>98629402101</v>
      </c>
      <c r="H143" s="1" t="str">
        <f>VLOOKUP(G143,ОКТМО!N:R,4,0)</f>
        <v>61.7041666666667</v>
      </c>
      <c r="I143" s="1" t="str">
        <f>VLOOKUP(G143,ОКТМО!N:R,5,0)</f>
        <v>131.270555555556</v>
      </c>
      <c r="J143" s="1">
        <v>500</v>
      </c>
      <c r="K143" s="1">
        <v>4</v>
      </c>
      <c r="L143" s="1">
        <v>2</v>
      </c>
      <c r="M143" s="1" t="s">
        <v>535</v>
      </c>
      <c r="N143" s="88" t="s">
        <v>535</v>
      </c>
      <c r="O143" s="1" t="s">
        <v>535</v>
      </c>
      <c r="P143" s="88" t="s">
        <v>535</v>
      </c>
      <c r="Q143" s="1" t="s">
        <v>535</v>
      </c>
      <c r="R143" s="88" t="s">
        <v>535</v>
      </c>
      <c r="S143" s="1" t="s">
        <v>535</v>
      </c>
      <c r="T143" s="1" t="str">
        <f t="shared" si="2"/>
        <v>Елечёй</v>
      </c>
    </row>
    <row r="144" spans="1:20">
      <c r="A144" s="1">
        <v>20</v>
      </c>
      <c r="C144" s="23" t="s">
        <v>6853</v>
      </c>
      <c r="D144" s="23" t="str">
        <f>VLOOKUP(G144,ОКТМО!B:G,6,0)</f>
        <v>Таттинский муниципальный район</v>
      </c>
      <c r="E144" s="1" t="s">
        <v>3218</v>
      </c>
      <c r="F144" s="1" t="str">
        <f>VLOOKUP(G144,ОКТМО!B:M,12,0)</f>
        <v>Томтор</v>
      </c>
      <c r="G144" s="1">
        <v>98604415101</v>
      </c>
      <c r="H144" s="1" t="str">
        <f>VLOOKUP(G144,ОКТМО!N:R,4,0)</f>
        <v>62.6552777777778</v>
      </c>
      <c r="I144" s="1" t="str">
        <f>VLOOKUP(G144,ОКТМО!N:R,5,0)</f>
        <v>132.927777777778</v>
      </c>
      <c r="J144" s="1" t="s">
        <v>535</v>
      </c>
      <c r="K144" s="1">
        <v>142</v>
      </c>
      <c r="L144" s="1">
        <v>42</v>
      </c>
      <c r="M144" s="1" t="s">
        <v>535</v>
      </c>
      <c r="N144" s="88" t="s">
        <v>535</v>
      </c>
      <c r="O144" s="1" t="s">
        <v>535</v>
      </c>
      <c r="P144" s="88" t="s">
        <v>535</v>
      </c>
      <c r="Q144" s="1" t="s">
        <v>535</v>
      </c>
      <c r="R144" s="88" t="s">
        <v>535</v>
      </c>
      <c r="S144" s="1" t="s">
        <v>535</v>
      </c>
      <c r="T144" s="1" t="str">
        <f t="shared" si="2"/>
        <v>Томтор</v>
      </c>
    </row>
    <row r="145" spans="1:20">
      <c r="A145" s="1">
        <v>21</v>
      </c>
      <c r="C145" s="23" t="s">
        <v>6853</v>
      </c>
      <c r="D145" s="23" t="str">
        <f>VLOOKUP(G145,ОКТМО!B:G,6,0)</f>
        <v>Таттинский муниципальный район</v>
      </c>
      <c r="E145" s="1" t="s">
        <v>6842</v>
      </c>
      <c r="F145" s="1" t="str">
        <f>VLOOKUP(G145,ОКТМО!B:M,12,0)</f>
        <v>Уолба</v>
      </c>
      <c r="G145" s="1">
        <v>98604455101</v>
      </c>
      <c r="H145" s="1" t="str">
        <f>VLOOKUP(G145,ОКТМО!N:R,4,0)</f>
        <v>62.6325</v>
      </c>
      <c r="I145" s="1" t="str">
        <f>VLOOKUP(G145,ОКТМО!N:R,5,0)</f>
        <v>133.593611111111</v>
      </c>
      <c r="J145" s="1" t="s">
        <v>535</v>
      </c>
      <c r="K145" s="1">
        <v>50</v>
      </c>
      <c r="L145" s="1">
        <v>19</v>
      </c>
      <c r="M145" s="1" t="s">
        <v>535</v>
      </c>
      <c r="N145" s="88" t="s">
        <v>535</v>
      </c>
      <c r="O145" s="1" t="s">
        <v>535</v>
      </c>
      <c r="P145" s="88" t="s">
        <v>535</v>
      </c>
      <c r="Q145" s="1" t="s">
        <v>535</v>
      </c>
      <c r="R145" s="88" t="s">
        <v>535</v>
      </c>
      <c r="S145" s="1" t="s">
        <v>535</v>
      </c>
      <c r="T145" s="1" t="str">
        <f t="shared" si="2"/>
        <v>Уолба</v>
      </c>
    </row>
    <row r="146" spans="1:20">
      <c r="A146" s="1">
        <v>22</v>
      </c>
      <c r="C146" s="23" t="s">
        <v>6853</v>
      </c>
      <c r="D146" s="23" t="str">
        <f>VLOOKUP(G146,ОКТМО!B:G,6,0)</f>
        <v>Таттинский муниципальный район</v>
      </c>
      <c r="E146" s="1" t="s">
        <v>6843</v>
      </c>
      <c r="F146" s="1" t="str">
        <f>VLOOKUP(G146,ОКТМО!B:M,12,0)</f>
        <v>Булун</v>
      </c>
      <c r="G146" s="1">
        <v>98604405101</v>
      </c>
      <c r="H146" s="1" t="str">
        <f>VLOOKUP(G146,ОКТМО!N:R,4,0)</f>
        <v>63.0166666666667</v>
      </c>
      <c r="I146" s="1" t="str">
        <f>VLOOKUP(G146,ОКТМО!N:R,5,0)</f>
        <v>133.470833333333</v>
      </c>
      <c r="J146" s="1">
        <v>1450</v>
      </c>
      <c r="K146" s="1">
        <v>15</v>
      </c>
      <c r="L146" s="1">
        <v>20</v>
      </c>
      <c r="M146" s="1">
        <v>1</v>
      </c>
      <c r="N146" s="88">
        <v>1</v>
      </c>
      <c r="O146" s="1">
        <v>1</v>
      </c>
      <c r="P146" s="88" t="s">
        <v>6899</v>
      </c>
      <c r="Q146" s="1" t="s">
        <v>535</v>
      </c>
      <c r="R146" s="88" t="s">
        <v>535</v>
      </c>
      <c r="S146" s="88" t="s">
        <v>6825</v>
      </c>
      <c r="T146" s="1" t="str">
        <f t="shared" si="2"/>
        <v>Булун</v>
      </c>
    </row>
    <row r="147" spans="1:20">
      <c r="A147" s="1">
        <v>23</v>
      </c>
      <c r="C147" s="23" t="s">
        <v>6853</v>
      </c>
      <c r="D147" s="23" t="str">
        <f>VLOOKUP(G147,ОКТМО!B:G,6,0)</f>
        <v>Амгинский муниципальный район</v>
      </c>
      <c r="E147" s="1" t="s">
        <v>304</v>
      </c>
      <c r="F147" s="1" t="str">
        <f>VLOOKUP(G147,ОКТМО!B:M,12,0)</f>
        <v>Сатагай</v>
      </c>
      <c r="G147" s="1">
        <v>98608458101</v>
      </c>
      <c r="H147" s="1" t="str">
        <f>VLOOKUP(G147,ОКТМО!N:R,4,0)</f>
        <v>61.5658333333333</v>
      </c>
      <c r="I147" s="1" t="str">
        <f>VLOOKUP(G147,ОКТМО!N:R,5,0)</f>
        <v>131.529722222222</v>
      </c>
      <c r="J147" s="1" t="s">
        <v>535</v>
      </c>
      <c r="K147" s="1">
        <v>93</v>
      </c>
      <c r="L147" s="1">
        <v>22</v>
      </c>
      <c r="M147" s="1" t="s">
        <v>535</v>
      </c>
      <c r="N147" s="88" t="s">
        <v>535</v>
      </c>
      <c r="O147" s="1" t="s">
        <v>535</v>
      </c>
      <c r="P147" s="88" t="s">
        <v>535</v>
      </c>
      <c r="Q147" s="1" t="s">
        <v>535</v>
      </c>
      <c r="R147" s="88" t="s">
        <v>535</v>
      </c>
      <c r="S147" s="1" t="s">
        <v>535</v>
      </c>
      <c r="T147" s="1" t="str">
        <f t="shared" si="2"/>
        <v>Сатагай</v>
      </c>
    </row>
    <row r="148" spans="1:20">
      <c r="A148" s="1">
        <v>24</v>
      </c>
      <c r="C148" s="23" t="s">
        <v>6853</v>
      </c>
      <c r="D148" s="23" t="str">
        <f>VLOOKUP(G148,ОКТМО!B:G,6,0)</f>
        <v>Амгинский муниципальный район</v>
      </c>
      <c r="E148" s="1" t="s">
        <v>304</v>
      </c>
      <c r="F148" s="1" t="str">
        <f>VLOOKUP(G148,ОКТМО!B:M,12,0)</f>
        <v>Алтанцы</v>
      </c>
      <c r="G148" s="1">
        <v>98608414101</v>
      </c>
      <c r="H148" s="1" t="str">
        <f>VLOOKUP(G148,ОКТМО!N:R,4,0)</f>
        <v>61.4702777777778</v>
      </c>
      <c r="I148" s="1" t="str">
        <f>VLOOKUP(G148,ОКТМО!N:R,5,0)</f>
        <v>131.501944444444</v>
      </c>
      <c r="J148" s="1" t="s">
        <v>535</v>
      </c>
      <c r="K148" s="1">
        <v>145</v>
      </c>
      <c r="L148" s="1">
        <v>49</v>
      </c>
      <c r="M148" s="1" t="s">
        <v>535</v>
      </c>
      <c r="N148" s="88" t="s">
        <v>535</v>
      </c>
      <c r="O148" s="1" t="s">
        <v>535</v>
      </c>
      <c r="P148" s="88" t="s">
        <v>535</v>
      </c>
      <c r="Q148" s="1" t="s">
        <v>535</v>
      </c>
      <c r="R148" s="88" t="s">
        <v>535</v>
      </c>
      <c r="S148" s="1" t="s">
        <v>535</v>
      </c>
      <c r="T148" s="1" t="str">
        <f t="shared" si="2"/>
        <v>Алтанцы</v>
      </c>
    </row>
    <row r="149" spans="1:20">
      <c r="A149" s="1">
        <v>25</v>
      </c>
      <c r="C149" s="23" t="s">
        <v>6853</v>
      </c>
      <c r="D149" s="23" t="str">
        <f>VLOOKUP(G149,ОКТМО!B:G,6,0)</f>
        <v>Абыйский муниципальный район</v>
      </c>
      <c r="E149" s="1" t="s">
        <v>632</v>
      </c>
      <c r="F149" s="1" t="str">
        <f>VLOOKUP(G149,ОКТМО!B:M,12,0)</f>
        <v>Куберганя</v>
      </c>
      <c r="G149" s="1">
        <v>98601409101</v>
      </c>
      <c r="H149" s="1" t="str">
        <f>VLOOKUP(G149,ОКТМО!N:R,4,0)</f>
        <v>67.7702777777778</v>
      </c>
      <c r="I149" s="1" t="str">
        <f>VLOOKUP(G149,ОКТМО!N:R,5,0)</f>
        <v>144.4875</v>
      </c>
      <c r="J149" s="1">
        <v>1704</v>
      </c>
      <c r="K149" s="1">
        <v>76</v>
      </c>
      <c r="L149" s="1">
        <v>21</v>
      </c>
      <c r="M149" s="1">
        <v>1</v>
      </c>
      <c r="N149" s="253" t="s">
        <v>6955</v>
      </c>
      <c r="O149" s="1" t="s">
        <v>535</v>
      </c>
      <c r="P149" s="88" t="s">
        <v>535</v>
      </c>
      <c r="Q149" s="1" t="s">
        <v>535</v>
      </c>
      <c r="R149" s="88" t="s">
        <v>535</v>
      </c>
      <c r="S149" s="1" t="s">
        <v>535</v>
      </c>
      <c r="T149" s="1" t="str">
        <f t="shared" si="2"/>
        <v>Куберганя</v>
      </c>
    </row>
    <row r="150" spans="1:20">
      <c r="A150" s="1">
        <v>26</v>
      </c>
      <c r="C150" s="23" t="s">
        <v>6853</v>
      </c>
      <c r="D150" s="23" t="str">
        <f>VLOOKUP(G150,ОКТМО!B:G,6,0)</f>
        <v>Абыйский муниципальный район</v>
      </c>
      <c r="E150" s="1" t="s">
        <v>859</v>
      </c>
      <c r="F150" s="1" t="str">
        <f>VLOOKUP(G150,ОКТМО!B:M,12,0)</f>
        <v>Сыаганнах</v>
      </c>
      <c r="G150" s="1">
        <v>98601417101</v>
      </c>
      <c r="H150" s="1" t="str">
        <f>VLOOKUP(G150,ОКТМО!N:R,4,0)</f>
        <v>68.3708333333333</v>
      </c>
      <c r="I150" s="1" t="str">
        <f>VLOOKUP(G150,ОКТМО!N:R,5,0)</f>
        <v>143.633055555556</v>
      </c>
      <c r="J150" s="1">
        <v>1752</v>
      </c>
      <c r="K150" s="1">
        <v>70</v>
      </c>
      <c r="L150" s="1">
        <v>25</v>
      </c>
      <c r="M150" s="1">
        <v>1</v>
      </c>
      <c r="N150" s="88" t="s">
        <v>6955</v>
      </c>
      <c r="O150" s="1">
        <v>1</v>
      </c>
      <c r="P150" s="88" t="s">
        <v>6956</v>
      </c>
      <c r="Q150" s="1" t="s">
        <v>535</v>
      </c>
      <c r="R150" s="88" t="s">
        <v>535</v>
      </c>
      <c r="S150" s="1" t="s">
        <v>535</v>
      </c>
      <c r="T150" s="1" t="str">
        <f t="shared" si="2"/>
        <v>Сыаганнах</v>
      </c>
    </row>
    <row r="151" spans="1:20">
      <c r="A151" s="1">
        <v>27</v>
      </c>
      <c r="C151" s="23" t="s">
        <v>6853</v>
      </c>
      <c r="D151" s="23" t="str">
        <f>VLOOKUP(G151,ОКТМО!B:G,6,0)</f>
        <v>Абыйский муниципальный район</v>
      </c>
      <c r="E151" s="1" t="s">
        <v>3199</v>
      </c>
      <c r="F151" s="1" t="str">
        <f>VLOOKUP(G151,ОКТМО!B:M,12,0)</f>
        <v>Кенг-Кюёль</v>
      </c>
      <c r="G151" s="1">
        <v>98601422101</v>
      </c>
      <c r="H151" s="1" t="str">
        <f>VLOOKUP(G151,ОКТМО!N:R,4,0)</f>
        <v>68.0761111111111</v>
      </c>
      <c r="I151" s="1" t="str">
        <f>VLOOKUP(G151,ОКТМО!N:R,5,0)</f>
        <v>145.995277777778</v>
      </c>
      <c r="J151" s="1" t="s">
        <v>535</v>
      </c>
      <c r="K151" s="1">
        <v>10</v>
      </c>
      <c r="L151" s="1">
        <v>4</v>
      </c>
      <c r="M151" s="1" t="s">
        <v>535</v>
      </c>
      <c r="N151" s="88" t="s">
        <v>535</v>
      </c>
      <c r="O151" s="1" t="s">
        <v>535</v>
      </c>
      <c r="P151" s="88" t="s">
        <v>535</v>
      </c>
      <c r="Q151" s="1" t="s">
        <v>535</v>
      </c>
      <c r="R151" s="88" t="s">
        <v>535</v>
      </c>
      <c r="S151" s="1" t="s">
        <v>535</v>
      </c>
      <c r="T151" s="1" t="str">
        <f t="shared" si="2"/>
        <v>Кенг-Кюёль</v>
      </c>
    </row>
    <row r="152" spans="1:20">
      <c r="A152" s="1">
        <v>28</v>
      </c>
      <c r="C152" s="23" t="s">
        <v>6853</v>
      </c>
      <c r="D152" s="23" t="str">
        <f>VLOOKUP(G152,ОКТМО!B:G,6,0)</f>
        <v>Момский муниципальный район</v>
      </c>
      <c r="E152" s="1" t="s">
        <v>632</v>
      </c>
      <c r="F152" s="1" t="str">
        <f>VLOOKUP(G152,ОКТМО!B:M,12,0)</f>
        <v>Буор-Сысы</v>
      </c>
      <c r="G152" s="1">
        <v>98633414101</v>
      </c>
      <c r="H152" s="1" t="str">
        <f>VLOOKUP(G152,ОКТМО!N:R,4,0)</f>
        <v>66.4886111111111</v>
      </c>
      <c r="I152" s="1" t="str">
        <f>VLOOKUP(G152,ОКТМО!N:R,5,0)</f>
        <v>143.049166666667</v>
      </c>
      <c r="J152" s="1" t="s">
        <v>535</v>
      </c>
      <c r="K152" s="1">
        <v>53</v>
      </c>
      <c r="L152" s="1">
        <v>15</v>
      </c>
      <c r="M152" s="1" t="s">
        <v>535</v>
      </c>
      <c r="N152" s="88" t="s">
        <v>535</v>
      </c>
      <c r="O152" s="1">
        <v>1</v>
      </c>
      <c r="P152" s="88" t="s">
        <v>6899</v>
      </c>
      <c r="Q152" s="1" t="s">
        <v>535</v>
      </c>
      <c r="R152" s="88" t="s">
        <v>535</v>
      </c>
      <c r="S152" s="1" t="s">
        <v>535</v>
      </c>
      <c r="T152" s="1" t="str">
        <f t="shared" si="2"/>
        <v>Буор-Сысы</v>
      </c>
    </row>
    <row r="153" spans="1:20">
      <c r="A153" s="1">
        <v>29</v>
      </c>
      <c r="C153" s="23" t="s">
        <v>6853</v>
      </c>
      <c r="D153" s="23" t="str">
        <f>VLOOKUP(G153,ОКТМО!B:G,6,0)</f>
        <v>Момский муниципальный район</v>
      </c>
      <c r="E153" s="1" t="s">
        <v>632</v>
      </c>
      <c r="F153" s="1" t="str">
        <f>VLOOKUP(G153,ОКТМО!B:M,12,0)</f>
        <v>Хонуу</v>
      </c>
      <c r="G153" s="1">
        <v>98633423101</v>
      </c>
      <c r="H153" s="1" t="str">
        <f>VLOOKUP(G153,ОКТМО!N:R,4,0)</f>
        <v>66.455</v>
      </c>
      <c r="I153" s="1" t="str">
        <f>VLOOKUP(G153,ОКТМО!N:R,5,0)</f>
        <v>143.219722222222</v>
      </c>
      <c r="J153" s="1">
        <v>600</v>
      </c>
      <c r="K153" s="1">
        <v>181</v>
      </c>
      <c r="L153" s="1">
        <v>42</v>
      </c>
      <c r="M153" s="1" t="s">
        <v>535</v>
      </c>
      <c r="N153" s="88" t="s">
        <v>535</v>
      </c>
      <c r="O153" s="1" t="s">
        <v>535</v>
      </c>
      <c r="P153" s="88" t="s">
        <v>535</v>
      </c>
      <c r="Q153" s="1" t="s">
        <v>535</v>
      </c>
      <c r="R153" s="88" t="s">
        <v>535</v>
      </c>
      <c r="S153" s="1" t="s">
        <v>535</v>
      </c>
      <c r="T153" s="1" t="str">
        <f t="shared" si="2"/>
        <v>Хонуу</v>
      </c>
    </row>
    <row r="154" spans="1:20">
      <c r="A154" s="1">
        <v>30</v>
      </c>
      <c r="C154" s="23" t="s">
        <v>6853</v>
      </c>
      <c r="D154" s="23" t="str">
        <f>VLOOKUP(G154,ОКТМО!B:G,6,0)</f>
        <v>Момский муниципальный район</v>
      </c>
      <c r="E154" s="1" t="s">
        <v>632</v>
      </c>
      <c r="F154" s="1" t="str">
        <f>VLOOKUP(G154,ОКТМО!B:M,12,0)</f>
        <v>Кулун-Елбют</v>
      </c>
      <c r="G154" s="1">
        <v>98633405101</v>
      </c>
      <c r="H154" s="1" t="str">
        <f>VLOOKUP(G154,ОКТМО!N:R,4,0)</f>
        <v>66.7925</v>
      </c>
      <c r="I154" s="1" t="str">
        <f>VLOOKUP(G154,ОКТМО!N:R,5,0)</f>
        <v>142.735833333333</v>
      </c>
      <c r="J154" s="1" t="s">
        <v>535</v>
      </c>
      <c r="K154" s="1">
        <v>48</v>
      </c>
      <c r="L154" s="1">
        <v>12</v>
      </c>
      <c r="M154" s="1">
        <v>1</v>
      </c>
      <c r="N154" s="88" t="s">
        <v>6955</v>
      </c>
      <c r="O154" s="1" t="s">
        <v>535</v>
      </c>
      <c r="P154" s="88" t="s">
        <v>535</v>
      </c>
      <c r="Q154" s="1" t="s">
        <v>535</v>
      </c>
      <c r="R154" s="88" t="s">
        <v>535</v>
      </c>
      <c r="S154" s="1" t="s">
        <v>535</v>
      </c>
      <c r="T154" s="1" t="str">
        <f t="shared" si="2"/>
        <v>Кулун-Елбют</v>
      </c>
    </row>
    <row r="155" spans="1:20">
      <c r="A155" s="1">
        <v>31</v>
      </c>
      <c r="C155" s="23" t="s">
        <v>6853</v>
      </c>
      <c r="D155" s="23" t="str">
        <f>VLOOKUP(G155,ОКТМО!B:G,6,0)</f>
        <v>Момский муниципальный район</v>
      </c>
      <c r="E155" s="1" t="s">
        <v>632</v>
      </c>
      <c r="F155" s="1" t="str">
        <f>VLOOKUP(G155,ОКТМО!B:M,12,0)</f>
        <v>Соболох</v>
      </c>
      <c r="G155" s="1">
        <v>98633428101</v>
      </c>
      <c r="H155" s="1" t="str">
        <f>VLOOKUP(G155,ОКТМО!N:R,4,0)</f>
        <v>66.2530555555556</v>
      </c>
      <c r="I155" s="1" t="str">
        <f>VLOOKUP(G155,ОКТМО!N:R,5,0)</f>
        <v>143.313333333333</v>
      </c>
      <c r="J155" s="1" t="s">
        <v>535</v>
      </c>
      <c r="K155" s="1" t="s">
        <v>535</v>
      </c>
      <c r="L155" s="1">
        <v>3</v>
      </c>
      <c r="M155" s="1" t="s">
        <v>535</v>
      </c>
      <c r="N155" s="88" t="s">
        <v>535</v>
      </c>
      <c r="O155" s="1" t="s">
        <v>535</v>
      </c>
      <c r="P155" s="88" t="s">
        <v>535</v>
      </c>
      <c r="Q155" s="1" t="s">
        <v>535</v>
      </c>
      <c r="R155" s="88" t="s">
        <v>535</v>
      </c>
      <c r="S155" s="1" t="s">
        <v>535</v>
      </c>
      <c r="T155" s="1" t="str">
        <f t="shared" si="2"/>
        <v>Соболох</v>
      </c>
    </row>
    <row r="156" spans="1:20">
      <c r="A156" s="1">
        <v>32</v>
      </c>
      <c r="C156" s="23" t="s">
        <v>6853</v>
      </c>
      <c r="D156" s="23" t="str">
        <f>VLOOKUP(G156,ОКТМО!B:G,6,0)</f>
        <v>Оймяконский муниципальный район</v>
      </c>
      <c r="E156" s="1" t="s">
        <v>632</v>
      </c>
      <c r="F156" s="1" t="str">
        <f>VLOOKUP(G156,ОКТМО!B:M,12,0)</f>
        <v>Берег-Юрдя</v>
      </c>
      <c r="G156" s="1">
        <v>98639405106</v>
      </c>
      <c r="H156" s="1" t="str">
        <f>VLOOKUP(G156,ОКТМО!N:R,4,0)</f>
        <v>63.4541666666667</v>
      </c>
      <c r="I156" s="1" t="str">
        <f>VLOOKUP(G156,ОКТМО!N:R,5,0)</f>
        <v>142.896666666667</v>
      </c>
      <c r="J156" s="1" t="s">
        <v>535</v>
      </c>
      <c r="K156" s="1">
        <v>82</v>
      </c>
      <c r="L156" s="1">
        <v>19</v>
      </c>
      <c r="M156" s="1">
        <v>2</v>
      </c>
      <c r="N156" s="88" t="s">
        <v>6957</v>
      </c>
      <c r="O156" s="1" t="s">
        <v>535</v>
      </c>
      <c r="P156" s="88" t="s">
        <v>535</v>
      </c>
      <c r="Q156" s="1">
        <v>1</v>
      </c>
      <c r="R156" s="88" t="s">
        <v>6908</v>
      </c>
      <c r="S156" s="1" t="s">
        <v>535</v>
      </c>
      <c r="T156" s="1" t="str">
        <f t="shared" si="2"/>
        <v>Берег-Юрдя</v>
      </c>
    </row>
    <row r="157" spans="1:20">
      <c r="A157" s="1">
        <v>33</v>
      </c>
      <c r="C157" s="23" t="s">
        <v>6853</v>
      </c>
      <c r="D157" s="23" t="str">
        <f>VLOOKUP(G157,ОКТМО!B:G,6,0)</f>
        <v>Оймяконский муниципальный район</v>
      </c>
      <c r="E157" s="1" t="s">
        <v>632</v>
      </c>
      <c r="F157" s="1" t="str">
        <f>VLOOKUP(G157,ОКТМО!B:M,12,0)</f>
        <v>Оймякон</v>
      </c>
      <c r="G157" s="1">
        <v>98639405101</v>
      </c>
      <c r="H157" s="1" t="str">
        <f>VLOOKUP(G157,ОКТМО!N:R,4,0)</f>
        <v>63.4636111111111</v>
      </c>
      <c r="I157" s="1" t="str">
        <f>VLOOKUP(G157,ОКТМО!N:R,5,0)</f>
        <v>142.786666666667</v>
      </c>
      <c r="J157" s="1" t="s">
        <v>535</v>
      </c>
      <c r="K157" s="1">
        <v>168</v>
      </c>
      <c r="L157" s="1">
        <v>51</v>
      </c>
      <c r="M157" s="1">
        <v>1</v>
      </c>
      <c r="N157" s="88" t="s">
        <v>6913</v>
      </c>
      <c r="O157" s="1">
        <v>1</v>
      </c>
      <c r="P157" s="88" t="s">
        <v>6958</v>
      </c>
      <c r="Q157" s="1" t="s">
        <v>535</v>
      </c>
      <c r="R157" s="88" t="s">
        <v>535</v>
      </c>
      <c r="S157" s="1" t="s">
        <v>535</v>
      </c>
      <c r="T157" s="1" t="str">
        <f t="shared" si="2"/>
        <v>Оймякон</v>
      </c>
    </row>
    <row r="158" spans="1:20">
      <c r="A158" s="1">
        <v>34</v>
      </c>
      <c r="C158" s="23" t="s">
        <v>6853</v>
      </c>
      <c r="D158" s="23" t="str">
        <f>VLOOKUP(G158,ОКТМО!B:G,6,0)</f>
        <v>Оймяконский муниципальный район</v>
      </c>
      <c r="E158" s="1" t="s">
        <v>632</v>
      </c>
      <c r="F158" s="1" t="str">
        <f>VLOOKUP(G158,ОКТМО!B:M,12,0)</f>
        <v>Хара-Тумул</v>
      </c>
      <c r="G158" s="1">
        <v>98639405111</v>
      </c>
      <c r="H158" s="1" t="str">
        <f>VLOOKUP(G158,ОКТМО!N:R,4,0)</f>
        <v>63.4755555555556</v>
      </c>
      <c r="I158" s="1" t="str">
        <f>VLOOKUP(G158,ОКТМО!N:R,5,0)</f>
        <v>142.730555555556</v>
      </c>
      <c r="J158" s="1" t="s">
        <v>535</v>
      </c>
      <c r="K158" s="1">
        <v>74</v>
      </c>
      <c r="L158" s="1">
        <v>15</v>
      </c>
      <c r="M158" s="1">
        <v>1</v>
      </c>
      <c r="N158" s="88" t="s">
        <v>6913</v>
      </c>
      <c r="O158" s="1" t="s">
        <v>535</v>
      </c>
      <c r="P158" s="88" t="s">
        <v>535</v>
      </c>
      <c r="Q158" s="1" t="s">
        <v>535</v>
      </c>
      <c r="R158" s="88" t="s">
        <v>535</v>
      </c>
      <c r="S158" s="1" t="s">
        <v>535</v>
      </c>
      <c r="T158" s="1" t="str">
        <f t="shared" si="2"/>
        <v>Хара-Тумул</v>
      </c>
    </row>
    <row r="159" spans="1:20">
      <c r="A159" s="1">
        <v>35</v>
      </c>
      <c r="C159" s="23" t="s">
        <v>6853</v>
      </c>
      <c r="D159" s="23" t="str">
        <f>VLOOKUP(G159,ОКТМО!B:G,6,0)</f>
        <v>Оймяконский муниципальный район</v>
      </c>
      <c r="E159" s="1" t="s">
        <v>632</v>
      </c>
      <c r="F159" s="1" t="str">
        <f>VLOOKUP(G159,ОКТМО!B:M,12,0)</f>
        <v>Терют</v>
      </c>
      <c r="G159" s="1">
        <v>98639432101</v>
      </c>
      <c r="H159" s="1" t="str">
        <f>VLOOKUP(G159,ОКТМО!N:R,4,0)</f>
        <v>64.2472222222222</v>
      </c>
      <c r="I159" s="1" t="str">
        <f>VLOOKUP(G159,ОКТМО!N:R,5,0)</f>
        <v>142.079166666667</v>
      </c>
      <c r="J159" s="1" t="s">
        <v>535</v>
      </c>
      <c r="K159" s="1">
        <v>12</v>
      </c>
      <c r="L159" s="1">
        <v>3</v>
      </c>
      <c r="M159" s="1">
        <v>1</v>
      </c>
      <c r="N159" s="88" t="s">
        <v>6955</v>
      </c>
      <c r="O159" s="1" t="s">
        <v>535</v>
      </c>
      <c r="P159" s="88" t="s">
        <v>535</v>
      </c>
      <c r="Q159" s="1" t="s">
        <v>535</v>
      </c>
      <c r="R159" s="88" t="s">
        <v>535</v>
      </c>
      <c r="S159" s="1" t="s">
        <v>535</v>
      </c>
      <c r="T159" s="1" t="str">
        <f t="shared" si="2"/>
        <v>Терют</v>
      </c>
    </row>
    <row r="160" spans="1:20">
      <c r="A160" s="1">
        <v>36</v>
      </c>
      <c r="C160" s="23" t="s">
        <v>6853</v>
      </c>
      <c r="D160" s="23" t="str">
        <f>VLOOKUP(G160,ОКТМО!B:G,6,0)</f>
        <v>Оймяконский муниципальный район</v>
      </c>
      <c r="E160" s="1" t="s">
        <v>632</v>
      </c>
      <c r="F160" s="1" t="str">
        <f>VLOOKUP(G160,ОКТМО!B:M,12,0)</f>
        <v>Усть-Нера</v>
      </c>
      <c r="G160" s="1">
        <v>98639151051</v>
      </c>
      <c r="H160" s="1" t="str">
        <f>VLOOKUP(G160,ОКТМО!N:R,4,0)</f>
        <v>64.5708333333333</v>
      </c>
      <c r="I160" s="1" t="str">
        <f>VLOOKUP(G160,ОКТМО!N:R,5,0)</f>
        <v>143.239722222222</v>
      </c>
      <c r="J160" s="1">
        <v>650</v>
      </c>
      <c r="K160" s="1">
        <v>344</v>
      </c>
      <c r="L160" s="1">
        <v>86</v>
      </c>
      <c r="M160" s="1">
        <v>2</v>
      </c>
      <c r="N160" s="88" t="s">
        <v>6959</v>
      </c>
      <c r="O160" s="1" t="s">
        <v>535</v>
      </c>
      <c r="P160" s="88" t="s">
        <v>535</v>
      </c>
      <c r="Q160" s="1">
        <v>1</v>
      </c>
      <c r="R160" s="88" t="s">
        <v>6935</v>
      </c>
      <c r="S160" s="1" t="s">
        <v>535</v>
      </c>
      <c r="T160" s="1" t="str">
        <f t="shared" si="2"/>
        <v>Усть-Нера</v>
      </c>
    </row>
    <row r="161" spans="1:20">
      <c r="A161" s="1">
        <v>37</v>
      </c>
      <c r="C161" s="23" t="s">
        <v>6853</v>
      </c>
      <c r="D161" s="23" t="str">
        <f>VLOOKUP(G161,ОКТМО!B:G,6,0)</f>
        <v>Верхнеколымский муниципальный район</v>
      </c>
      <c r="E161" s="1" t="s">
        <v>697</v>
      </c>
      <c r="F161" s="1" t="str">
        <f>VLOOKUP(G161,ОКТМО!B:M,12,0)</f>
        <v>Верхнеколымск</v>
      </c>
      <c r="G161" s="1">
        <v>98615409101</v>
      </c>
      <c r="H161" s="1" t="str">
        <f>VLOOKUP(G161,ОКТМО!N:R,4,0)</f>
        <v>65.7183333333333</v>
      </c>
      <c r="I161" s="1" t="str">
        <f>VLOOKUP(G161,ОКТМО!N:R,5,0)</f>
        <v>150.833055555556</v>
      </c>
      <c r="J161" s="1" t="s">
        <v>535</v>
      </c>
      <c r="K161" s="1">
        <v>352</v>
      </c>
      <c r="L161" s="1">
        <v>78</v>
      </c>
      <c r="M161" s="1" t="s">
        <v>535</v>
      </c>
      <c r="N161" s="88" t="s">
        <v>535</v>
      </c>
      <c r="O161" s="1" t="s">
        <v>535</v>
      </c>
      <c r="P161" s="88" t="s">
        <v>535</v>
      </c>
      <c r="Q161" s="1" t="s">
        <v>535</v>
      </c>
      <c r="R161" s="88" t="s">
        <v>535</v>
      </c>
      <c r="S161" s="1" t="s">
        <v>535</v>
      </c>
      <c r="T161" s="1" t="str">
        <f t="shared" si="2"/>
        <v>Верхнеколымск</v>
      </c>
    </row>
    <row r="162" spans="1:20" ht="45">
      <c r="A162" s="1">
        <v>38</v>
      </c>
      <c r="C162" s="23" t="s">
        <v>6853</v>
      </c>
      <c r="D162" s="23" t="str">
        <f>VLOOKUP(G162,ОКТМО!B:G,6,0)</f>
        <v>Верхнеколымский муниципальный район</v>
      </c>
      <c r="E162" s="1" t="s">
        <v>666</v>
      </c>
      <c r="F162" s="1" t="str">
        <f>VLOOKUP(G162,ОКТМО!B:M,12,0)</f>
        <v>Зырянка</v>
      </c>
      <c r="G162" s="1">
        <v>98615151051</v>
      </c>
      <c r="H162" s="1" t="str">
        <f>VLOOKUP(G162,ОКТМО!N:R,4,0)</f>
        <v>65.7344444444444</v>
      </c>
      <c r="I162" s="1" t="str">
        <f>VLOOKUP(G162,ОКТМО!N:R,5,0)</f>
        <v>150.897777777778</v>
      </c>
      <c r="J162" s="1">
        <v>770</v>
      </c>
      <c r="K162" s="1">
        <v>812</v>
      </c>
      <c r="L162" s="1">
        <v>55</v>
      </c>
      <c r="M162" s="1">
        <v>1</v>
      </c>
      <c r="N162" s="88" t="s">
        <v>6913</v>
      </c>
      <c r="O162" s="1">
        <v>2</v>
      </c>
      <c r="P162" s="88" t="s">
        <v>6878</v>
      </c>
      <c r="Q162" s="1">
        <v>2</v>
      </c>
      <c r="R162" s="88" t="s">
        <v>6897</v>
      </c>
      <c r="S162" s="1" t="s">
        <v>535</v>
      </c>
      <c r="T162" s="1" t="str">
        <f t="shared" si="2"/>
        <v>Зырянка</v>
      </c>
    </row>
    <row r="163" spans="1:20" ht="30">
      <c r="A163" s="1">
        <v>39</v>
      </c>
      <c r="C163" s="23" t="s">
        <v>6853</v>
      </c>
      <c r="D163" s="23" t="str">
        <f>VLOOKUP(G163,ОКТМО!B:G,6,0)</f>
        <v>Верхоянский муниципальный район</v>
      </c>
      <c r="E163" s="1" t="s">
        <v>617</v>
      </c>
      <c r="F163" s="1" t="str">
        <f>VLOOKUP(G163,ОКТМО!B:M,12,0)</f>
        <v>Суордах</v>
      </c>
      <c r="G163" s="1">
        <v>98616448101</v>
      </c>
      <c r="H163" s="1" t="str">
        <f>VLOOKUP(G163,ОКТМО!N:R,4,0)</f>
        <v>66.6766666666667</v>
      </c>
      <c r="I163" s="1" t="str">
        <f>VLOOKUP(G163,ОКТМО!N:R,5,0)</f>
        <v>131.772777777778</v>
      </c>
      <c r="J163" s="1">
        <v>780</v>
      </c>
      <c r="K163" s="1">
        <v>386</v>
      </c>
      <c r="L163" s="1">
        <v>82</v>
      </c>
      <c r="M163" s="1">
        <v>5</v>
      </c>
      <c r="N163" s="88" t="s">
        <v>6960</v>
      </c>
      <c r="O163" s="1" t="s">
        <v>535</v>
      </c>
      <c r="P163" s="88" t="s">
        <v>535</v>
      </c>
      <c r="Q163" s="1" t="s">
        <v>535</v>
      </c>
      <c r="R163" s="88" t="s">
        <v>535</v>
      </c>
      <c r="S163" s="1" t="s">
        <v>535</v>
      </c>
      <c r="T163" s="1" t="str">
        <f t="shared" si="2"/>
        <v>Суордах</v>
      </c>
    </row>
    <row r="164" spans="1:20">
      <c r="A164" s="1">
        <v>40</v>
      </c>
      <c r="C164" s="23" t="s">
        <v>6853</v>
      </c>
      <c r="D164" s="23" t="str">
        <f>VLOOKUP(G164,ОКТМО!B:G,6,0)</f>
        <v>Верхоянский муниципальный район</v>
      </c>
      <c r="E164" s="1" t="s">
        <v>3220</v>
      </c>
      <c r="F164" s="1" t="str">
        <f>VLOOKUP(G164,ОКТМО!B:M,12,0)</f>
        <v>Томтор</v>
      </c>
      <c r="G164" s="1">
        <v>98616414101</v>
      </c>
      <c r="H164" s="1" t="str">
        <f>VLOOKUP(G164,ОКТМО!N:R,4,0)</f>
        <v>67.15402194</v>
      </c>
      <c r="I164" s="1" t="str">
        <f>VLOOKUP(G164,ОКТМО!N:R,5,0)</f>
        <v>134.68989235</v>
      </c>
      <c r="J164" s="1">
        <v>460</v>
      </c>
      <c r="K164" s="1">
        <v>18</v>
      </c>
      <c r="L164" s="1">
        <v>6</v>
      </c>
      <c r="M164" s="1" t="s">
        <v>535</v>
      </c>
      <c r="N164" s="88" t="s">
        <v>535</v>
      </c>
      <c r="O164" s="1" t="s">
        <v>535</v>
      </c>
      <c r="P164" s="88" t="s">
        <v>535</v>
      </c>
      <c r="Q164" s="1" t="s">
        <v>535</v>
      </c>
      <c r="R164" s="88" t="s">
        <v>535</v>
      </c>
      <c r="S164" s="1" t="s">
        <v>535</v>
      </c>
      <c r="T164" s="1" t="str">
        <f t="shared" si="2"/>
        <v>Томтор</v>
      </c>
    </row>
    <row r="165" spans="1:20">
      <c r="A165" s="1">
        <v>41</v>
      </c>
      <c r="C165" s="23" t="s">
        <v>6853</v>
      </c>
      <c r="D165" s="23" t="str">
        <f>VLOOKUP(G165,ОКТМО!B:G,6,0)</f>
        <v>Верхоянский муниципальный район</v>
      </c>
      <c r="E165" s="1" t="s">
        <v>588</v>
      </c>
      <c r="F165" s="1" t="str">
        <f>VLOOKUP(G165,ОКТМО!B:M,12,0)</f>
        <v>Хайысардах</v>
      </c>
      <c r="G165" s="1">
        <v>98616470101</v>
      </c>
      <c r="H165" s="1" t="str">
        <f>VLOOKUP(G165,ОКТМО!N:R,4,0)</f>
        <v>67.9641666666667</v>
      </c>
      <c r="I165" s="1" t="str">
        <f>VLOOKUP(G165,ОКТМО!N:R,5,0)</f>
        <v>134.7425</v>
      </c>
      <c r="J165" s="1" t="s">
        <v>535</v>
      </c>
      <c r="K165" s="1">
        <v>66</v>
      </c>
      <c r="L165" s="1">
        <v>6</v>
      </c>
      <c r="M165" s="1" t="s">
        <v>535</v>
      </c>
      <c r="N165" s="88" t="s">
        <v>535</v>
      </c>
      <c r="O165" s="1" t="s">
        <v>535</v>
      </c>
      <c r="P165" s="88" t="s">
        <v>535</v>
      </c>
      <c r="Q165" s="1" t="s">
        <v>535</v>
      </c>
      <c r="R165" s="88" t="s">
        <v>535</v>
      </c>
      <c r="S165" s="1" t="s">
        <v>535</v>
      </c>
      <c r="T165" s="1" t="str">
        <f t="shared" si="2"/>
        <v>Хайысардах</v>
      </c>
    </row>
    <row r="166" spans="1:20">
      <c r="A166" s="1">
        <v>42</v>
      </c>
      <c r="C166" s="23" t="s">
        <v>6853</v>
      </c>
      <c r="D166" s="23" t="str">
        <f>VLOOKUP(G166,ОКТМО!B:G,6,0)</f>
        <v>Верхоянский муниципальный район</v>
      </c>
      <c r="E166" s="1" t="s">
        <v>3220</v>
      </c>
      <c r="F166" s="1" t="str">
        <f>VLOOKUP(G166,ОКТМО!B:M,12,0)</f>
        <v>Токума</v>
      </c>
      <c r="G166" s="1">
        <v>98616414106</v>
      </c>
      <c r="H166" s="1" t="str">
        <f>VLOOKUP(G166,ОКТМО!N:R,4,0)</f>
        <v>67.0930555555556</v>
      </c>
      <c r="I166" s="1" t="str">
        <f>VLOOKUP(G166,ОКТМО!N:R,5,0)</f>
        <v>134.320833333333</v>
      </c>
      <c r="J166" s="1">
        <v>460</v>
      </c>
      <c r="K166" s="1">
        <v>16</v>
      </c>
      <c r="L166" s="1">
        <v>2</v>
      </c>
      <c r="M166" s="1">
        <v>1</v>
      </c>
      <c r="N166" s="88" t="s">
        <v>6955</v>
      </c>
      <c r="O166" s="1" t="s">
        <v>535</v>
      </c>
      <c r="P166" s="88" t="s">
        <v>535</v>
      </c>
      <c r="Q166" s="1" t="s">
        <v>535</v>
      </c>
      <c r="R166" s="88" t="s">
        <v>535</v>
      </c>
      <c r="S166" s="1" t="s">
        <v>535</v>
      </c>
      <c r="T166" s="1" t="str">
        <f t="shared" si="2"/>
        <v>Токума</v>
      </c>
    </row>
    <row r="167" spans="1:20">
      <c r="A167" s="1">
        <v>43</v>
      </c>
      <c r="C167" s="23" t="s">
        <v>6853</v>
      </c>
      <c r="D167" s="23" t="str">
        <f>VLOOKUP(G167,ОКТМО!B:G,6,0)</f>
        <v>Верхоянский муниципальный район</v>
      </c>
      <c r="E167" s="1" t="s">
        <v>610</v>
      </c>
      <c r="F167" s="1" t="str">
        <f>VLOOKUP(G167,ОКТМО!B:M,12,0)</f>
        <v>Сысы-Мейите</v>
      </c>
      <c r="G167" s="1">
        <v>98616442106</v>
      </c>
      <c r="H167" s="1" t="str">
        <f>VLOOKUP(G167,ОКТМО!N:R,4,0)</f>
        <v>66.7302777777778</v>
      </c>
      <c r="I167" s="1" t="str">
        <f>VLOOKUP(G167,ОКТМО!N:R,5,0)</f>
        <v>132.595277777778</v>
      </c>
      <c r="J167" s="1" t="s">
        <v>535</v>
      </c>
      <c r="K167" s="1">
        <v>47</v>
      </c>
      <c r="L167" s="1">
        <v>2</v>
      </c>
      <c r="M167" s="1" t="s">
        <v>535</v>
      </c>
      <c r="N167" s="88" t="s">
        <v>535</v>
      </c>
      <c r="O167" s="1" t="s">
        <v>535</v>
      </c>
      <c r="P167" s="88" t="s">
        <v>535</v>
      </c>
      <c r="Q167" s="1" t="s">
        <v>535</v>
      </c>
      <c r="R167" s="88" t="s">
        <v>535</v>
      </c>
      <c r="S167" s="1" t="s">
        <v>535</v>
      </c>
      <c r="T167" s="1" t="str">
        <f t="shared" si="2"/>
        <v>Сысы-Мейите</v>
      </c>
    </row>
    <row r="168" spans="1:20">
      <c r="A168" s="1">
        <v>44</v>
      </c>
      <c r="C168" s="23" t="s">
        <v>6853</v>
      </c>
      <c r="D168" s="23" t="str">
        <f>VLOOKUP(G168,ОКТМО!B:G,6,0)</f>
        <v>Кобяйский муниципальный район</v>
      </c>
      <c r="E168" s="1" t="s">
        <v>6844</v>
      </c>
      <c r="F168" s="1" t="str">
        <f>VLOOKUP(G168,ОКТМО!B:M,12,0)</f>
        <v>Себян-Кюёль</v>
      </c>
      <c r="G168" s="1">
        <v>98624429101</v>
      </c>
      <c r="H168" s="1" t="str">
        <f>VLOOKUP(G168,ОКТМО!N:R,4,0)</f>
        <v>65.2886111111111</v>
      </c>
      <c r="I168" s="1" t="str">
        <f>VLOOKUP(G168,ОКТМО!N:R,5,0)</f>
        <v>130.008055555556</v>
      </c>
      <c r="J168" s="1" t="s">
        <v>535</v>
      </c>
      <c r="K168" s="1">
        <v>169</v>
      </c>
      <c r="L168" s="1">
        <v>2</v>
      </c>
      <c r="M168" s="1">
        <v>2</v>
      </c>
      <c r="N168" s="88" t="s">
        <v>6961</v>
      </c>
      <c r="O168" s="1" t="s">
        <v>535</v>
      </c>
      <c r="P168" s="88" t="s">
        <v>535</v>
      </c>
      <c r="Q168" s="1" t="s">
        <v>535</v>
      </c>
      <c r="R168" s="88" t="s">
        <v>535</v>
      </c>
      <c r="S168" s="1" t="s">
        <v>535</v>
      </c>
      <c r="T168" s="1" t="str">
        <f t="shared" si="2"/>
        <v>Себян-Кюёль</v>
      </c>
    </row>
    <row r="169" spans="1:20" ht="45">
      <c r="A169" s="1">
        <v>45</v>
      </c>
      <c r="C169" s="23" t="s">
        <v>6853</v>
      </c>
      <c r="D169" s="23" t="str">
        <f>VLOOKUP(G169,ОКТМО!B:G,6,0)</f>
        <v>Эвено-Бытантайский национальный муниципальный район</v>
      </c>
      <c r="E169" s="1" t="s">
        <v>6845</v>
      </c>
      <c r="F169" s="1" t="str">
        <f>VLOOKUP(G169,ОКТМО!B:M,12,0)</f>
        <v>Батагай-Алыта</v>
      </c>
      <c r="G169" s="1">
        <v>98659420101</v>
      </c>
      <c r="H169" s="1" t="str">
        <f>VLOOKUP(G169,ОКТМО!N:R,4,0)</f>
        <v>67.7983333333333</v>
      </c>
      <c r="I169" s="1" t="str">
        <f>VLOOKUP(G169,ОКТМО!N:R,5,0)</f>
        <v>130.401388888889</v>
      </c>
      <c r="J169" s="1" t="s">
        <v>535</v>
      </c>
      <c r="K169" s="1" t="s">
        <v>535</v>
      </c>
      <c r="L169" s="1" t="s">
        <v>535</v>
      </c>
      <c r="M169" s="1" t="s">
        <v>535</v>
      </c>
      <c r="N169" s="88" t="s">
        <v>535</v>
      </c>
      <c r="O169" s="1" t="s">
        <v>535</v>
      </c>
      <c r="P169" s="88" t="s">
        <v>535</v>
      </c>
      <c r="Q169" s="1" t="s">
        <v>535</v>
      </c>
      <c r="R169" s="88" t="s">
        <v>535</v>
      </c>
      <c r="S169" s="88" t="s">
        <v>6846</v>
      </c>
      <c r="T169" s="1" t="str">
        <f t="shared" si="2"/>
        <v>Батагай-Алыта</v>
      </c>
    </row>
    <row r="170" spans="1:20">
      <c r="C170" s="23" t="s">
        <v>6854</v>
      </c>
    </row>
    <row r="171" spans="1:20">
      <c r="A171" s="1">
        <v>1</v>
      </c>
      <c r="C171" s="23" t="s">
        <v>6855</v>
      </c>
      <c r="D171" s="23" t="str">
        <f>VLOOKUP(G171,ОКТМО!B:G,6,0)</f>
        <v>Мирнинский муниципальный район</v>
      </c>
      <c r="E171" s="1" t="s">
        <v>6850</v>
      </c>
      <c r="F171" s="1" t="str">
        <f>VLOOKUP(G171,ОКТМО!B:M,12,0)</f>
        <v>Сюльдюкар</v>
      </c>
      <c r="G171" s="1">
        <v>98631428101</v>
      </c>
      <c r="H171" s="1" t="str">
        <f>VLOOKUP(G171,ОКТМО!N:R,4,0)</f>
        <v>63.2283333333333</v>
      </c>
      <c r="I171" s="1" t="str">
        <f>VLOOKUP(G171,ОКТМО!N:R,5,0)</f>
        <v>113.721388888889</v>
      </c>
      <c r="J171" s="1" t="s">
        <v>535</v>
      </c>
      <c r="K171" s="1">
        <v>374</v>
      </c>
      <c r="L171" s="1">
        <v>108</v>
      </c>
      <c r="M171" s="1">
        <v>7</v>
      </c>
      <c r="N171" s="88" t="s">
        <v>535</v>
      </c>
      <c r="O171" s="1" t="s">
        <v>535</v>
      </c>
      <c r="P171" s="88" t="s">
        <v>535</v>
      </c>
      <c r="Q171" s="1">
        <v>1</v>
      </c>
      <c r="R171" s="88" t="s">
        <v>535</v>
      </c>
      <c r="S171" s="1" t="s">
        <v>535</v>
      </c>
      <c r="T171" s="1" t="str">
        <f t="shared" si="2"/>
        <v>Сюльдюкар</v>
      </c>
    </row>
    <row r="172" spans="1:20">
      <c r="A172" s="1">
        <v>2</v>
      </c>
      <c r="C172" s="23" t="s">
        <v>6855</v>
      </c>
      <c r="D172" s="23" t="str">
        <f>VLOOKUP(G172,ОКТМО!B:G,6,0)</f>
        <v>Сунтарский муниципальный район</v>
      </c>
      <c r="E172" s="1" t="s">
        <v>6850</v>
      </c>
      <c r="F172" s="1" t="str">
        <f>VLOOKUP(G172,ОКТМО!B:M,12,0)</f>
        <v>Хордогой</v>
      </c>
      <c r="G172" s="1">
        <v>98648415101</v>
      </c>
      <c r="H172" s="1" t="str">
        <f>VLOOKUP(G172,ОКТМО!N:R,4,0)</f>
        <v>62.6063888888889</v>
      </c>
      <c r="I172" s="1" t="str">
        <f>VLOOKUP(G172,ОКТМО!N:R,5,0)</f>
        <v>115.678333333333</v>
      </c>
      <c r="J172" s="1" t="s">
        <v>535</v>
      </c>
      <c r="K172" s="1">
        <v>750</v>
      </c>
      <c r="L172" s="1">
        <v>264</v>
      </c>
      <c r="M172" s="1">
        <v>25</v>
      </c>
      <c r="N172" s="88" t="s">
        <v>535</v>
      </c>
      <c r="O172" s="1" t="s">
        <v>535</v>
      </c>
      <c r="P172" s="88" t="s">
        <v>535</v>
      </c>
      <c r="Q172" s="1">
        <v>3</v>
      </c>
      <c r="R172" s="88" t="s">
        <v>535</v>
      </c>
      <c r="S172" s="1" t="s">
        <v>535</v>
      </c>
      <c r="T172" s="1" t="str">
        <f t="shared" si="2"/>
        <v>Хордогой</v>
      </c>
    </row>
    <row r="173" spans="1:20">
      <c r="A173" s="1">
        <v>3</v>
      </c>
      <c r="C173" s="23" t="s">
        <v>6855</v>
      </c>
      <c r="D173" s="23" t="str">
        <f>VLOOKUP(G173,ОКТМО!B:G,6,0)</f>
        <v>Сунтарский муниципальный район</v>
      </c>
      <c r="E173" s="1" t="s">
        <v>6850</v>
      </c>
      <c r="F173" s="1" t="str">
        <f>VLOOKUP(G173,ОКТМО!B:M,12,0)</f>
        <v>Нахара</v>
      </c>
      <c r="G173" s="1">
        <v>98648452101</v>
      </c>
      <c r="H173" s="1" t="str">
        <f>VLOOKUP(G173,ОКТМО!N:R,4,0)</f>
        <v>62.4655555555556</v>
      </c>
      <c r="I173" s="1" t="str">
        <f>VLOOKUP(G173,ОКТМО!N:R,5,0)</f>
        <v>115.719444444444</v>
      </c>
      <c r="J173" s="1" t="s">
        <v>535</v>
      </c>
      <c r="K173" s="1">
        <v>113</v>
      </c>
      <c r="L173" s="1">
        <v>27</v>
      </c>
      <c r="M173" s="1">
        <v>7</v>
      </c>
      <c r="N173" s="88" t="s">
        <v>535</v>
      </c>
      <c r="O173" s="1" t="s">
        <v>535</v>
      </c>
      <c r="P173" s="88" t="s">
        <v>535</v>
      </c>
      <c r="Q173" s="1">
        <v>2</v>
      </c>
      <c r="R173" s="88" t="s">
        <v>535</v>
      </c>
      <c r="S173" s="1" t="s">
        <v>535</v>
      </c>
      <c r="T173" s="1" t="str">
        <f t="shared" si="2"/>
        <v>Нахара</v>
      </c>
    </row>
    <row r="174" spans="1:20">
      <c r="A174" s="1">
        <v>4</v>
      </c>
      <c r="C174" s="23" t="s">
        <v>6855</v>
      </c>
      <c r="D174" s="23" t="str">
        <f>VLOOKUP(G174,ОКТМО!B:G,6,0)</f>
        <v>Сунтарский муниципальный район</v>
      </c>
      <c r="E174" s="1" t="s">
        <v>6850</v>
      </c>
      <c r="F174" s="1" t="str">
        <f>VLOOKUP(G174,ОКТМО!B:M,12,0)</f>
        <v>Крестях</v>
      </c>
      <c r="G174" s="1">
        <v>98648430101</v>
      </c>
      <c r="H174" s="1" t="str">
        <f>VLOOKUP(G174,ОКТМО!N:R,4,0)</f>
        <v>62.2516666666667</v>
      </c>
      <c r="I174" s="1" t="str">
        <f>VLOOKUP(G174,ОКТМО!N:R,5,0)</f>
        <v>116.171111111111</v>
      </c>
      <c r="J174" s="1" t="s">
        <v>535</v>
      </c>
      <c r="K174" s="1">
        <v>837</v>
      </c>
      <c r="L174" s="1">
        <v>268</v>
      </c>
      <c r="M174" s="1">
        <v>10</v>
      </c>
      <c r="N174" s="88" t="s">
        <v>535</v>
      </c>
      <c r="O174" s="1" t="s">
        <v>535</v>
      </c>
      <c r="P174" s="88" t="s">
        <v>535</v>
      </c>
      <c r="Q174" s="1">
        <v>4</v>
      </c>
      <c r="R174" s="88" t="s">
        <v>535</v>
      </c>
      <c r="S174" s="1" t="s">
        <v>535</v>
      </c>
      <c r="T174" s="1" t="str">
        <f t="shared" si="2"/>
        <v>Крестях</v>
      </c>
    </row>
    <row r="175" spans="1:20">
      <c r="A175" s="1">
        <v>5</v>
      </c>
      <c r="C175" s="23" t="s">
        <v>6855</v>
      </c>
      <c r="D175" s="23" t="str">
        <f>VLOOKUP(G175,ОКТМО!B:G,6,0)</f>
        <v>Сунтарский муниципальный район</v>
      </c>
      <c r="E175" s="1" t="s">
        <v>6850</v>
      </c>
      <c r="F175" s="1" t="str">
        <f>VLOOKUP(G175,ОКТМО!B:M,12,0)</f>
        <v>Куокуну</v>
      </c>
      <c r="G175" s="1">
        <v>98648435101</v>
      </c>
      <c r="H175" s="1" t="str">
        <f>VLOOKUP(G175,ОКТМО!N:R,4,0)</f>
        <v>62.0930555555556</v>
      </c>
      <c r="I175" s="1" t="str">
        <f>VLOOKUP(G175,ОКТМО!N:R,5,0)</f>
        <v>116.2225</v>
      </c>
      <c r="J175" s="1" t="s">
        <v>535</v>
      </c>
      <c r="K175" s="1">
        <v>548</v>
      </c>
      <c r="L175" s="1">
        <v>187</v>
      </c>
      <c r="M175" s="1">
        <v>16</v>
      </c>
      <c r="N175" s="88" t="s">
        <v>535</v>
      </c>
      <c r="O175" s="1" t="s">
        <v>535</v>
      </c>
      <c r="P175" s="88" t="s">
        <v>535</v>
      </c>
      <c r="Q175" s="1">
        <v>2</v>
      </c>
      <c r="R175" s="88" t="s">
        <v>535</v>
      </c>
      <c r="S175" s="1" t="s">
        <v>535</v>
      </c>
      <c r="T175" s="1" t="str">
        <f t="shared" si="2"/>
        <v>Куокуну</v>
      </c>
    </row>
    <row r="176" spans="1:20">
      <c r="A176" s="1">
        <v>6</v>
      </c>
      <c r="C176" s="23" t="s">
        <v>6855</v>
      </c>
      <c r="D176" s="23" t="str">
        <f>VLOOKUP(G176,ОКТМО!B:G,6,0)</f>
        <v>Сунтарский муниципальный район</v>
      </c>
      <c r="E176" s="1" t="s">
        <v>6850</v>
      </c>
      <c r="F176" s="1" t="str">
        <f>VLOOKUP(G176,ОКТМО!B:M,12,0)</f>
        <v>Тенкя</v>
      </c>
      <c r="G176" s="1">
        <v>98648457101</v>
      </c>
      <c r="H176" s="1" t="str">
        <f>VLOOKUP(G176,ОКТМО!N:R,4,0)</f>
        <v>61.9983333333333</v>
      </c>
      <c r="I176" s="1" t="str">
        <f>VLOOKUP(G176,ОКТМО!N:R,5,0)</f>
        <v>116.561666666667</v>
      </c>
      <c r="J176" s="1" t="s">
        <v>535</v>
      </c>
      <c r="K176" s="1">
        <v>93</v>
      </c>
      <c r="L176" s="1">
        <v>32</v>
      </c>
      <c r="M176" s="1">
        <v>4</v>
      </c>
      <c r="N176" s="88" t="s">
        <v>535</v>
      </c>
      <c r="O176" s="1" t="s">
        <v>535</v>
      </c>
      <c r="P176" s="88" t="s">
        <v>535</v>
      </c>
      <c r="Q176" s="1">
        <v>2</v>
      </c>
      <c r="R176" s="88" t="s">
        <v>535</v>
      </c>
      <c r="S176" s="1" t="s">
        <v>535</v>
      </c>
      <c r="T176" s="1" t="str">
        <f t="shared" si="2"/>
        <v>Тенкя</v>
      </c>
    </row>
    <row r="177" spans="1:20">
      <c r="A177" s="1">
        <v>7</v>
      </c>
      <c r="C177" s="23" t="s">
        <v>6855</v>
      </c>
      <c r="D177" s="23" t="str">
        <f>VLOOKUP(G177,ОКТМО!B:G,6,0)</f>
        <v>Сунтарский муниципальный район</v>
      </c>
      <c r="E177" s="1" t="s">
        <v>6850</v>
      </c>
      <c r="F177" s="1" t="str">
        <f>VLOOKUP(G177,ОКТМО!B:M,12,0)</f>
        <v>Сарданга</v>
      </c>
      <c r="G177" s="1">
        <v>98648410101</v>
      </c>
      <c r="H177" s="1" t="str">
        <f>VLOOKUP(G177,ОКТМО!N:R,4,0)</f>
        <v>61.9286111111111</v>
      </c>
      <c r="I177" s="1" t="str">
        <f>VLOOKUP(G177,ОКТМО!N:R,5,0)</f>
        <v>117.165</v>
      </c>
      <c r="J177" s="1" t="s">
        <v>535</v>
      </c>
      <c r="K177" s="1">
        <v>907</v>
      </c>
      <c r="L177" s="1">
        <v>271</v>
      </c>
      <c r="M177" s="1">
        <v>8</v>
      </c>
      <c r="N177" s="88" t="s">
        <v>535</v>
      </c>
      <c r="O177" s="1" t="s">
        <v>535</v>
      </c>
      <c r="P177" s="88" t="s">
        <v>535</v>
      </c>
      <c r="Q177" s="1">
        <v>4</v>
      </c>
      <c r="R177" s="88" t="s">
        <v>535</v>
      </c>
      <c r="S177" s="1" t="s">
        <v>535</v>
      </c>
      <c r="T177" s="1" t="str">
        <f t="shared" si="2"/>
        <v>Сарданга</v>
      </c>
    </row>
    <row r="178" spans="1:20">
      <c r="A178" s="1">
        <v>8</v>
      </c>
      <c r="C178" s="23" t="s">
        <v>6855</v>
      </c>
      <c r="D178" s="23" t="str">
        <f>VLOOKUP(G178,ОКТМО!B:G,6,0)</f>
        <v>Сунтарский муниципальный район</v>
      </c>
      <c r="E178" s="1" t="s">
        <v>6850</v>
      </c>
      <c r="F178" s="1" t="str">
        <f>VLOOKUP(G178,ОКТМО!B:M,12,0)</f>
        <v>Илимнир</v>
      </c>
      <c r="G178" s="1">
        <v>98648422101</v>
      </c>
      <c r="H178" s="1" t="str">
        <f>VLOOKUP(G178,ОКТМО!N:R,4,0)</f>
        <v>62.0255555555556</v>
      </c>
      <c r="I178" s="1" t="str">
        <f>VLOOKUP(G178,ОКТМО!N:R,5,0)</f>
        <v>117.423055555556</v>
      </c>
      <c r="J178" s="1" t="s">
        <v>535</v>
      </c>
      <c r="K178" s="1">
        <v>260</v>
      </c>
      <c r="L178" s="1">
        <v>55</v>
      </c>
      <c r="M178" s="1">
        <v>8</v>
      </c>
      <c r="N178" s="88" t="s">
        <v>535</v>
      </c>
      <c r="O178" s="1" t="s">
        <v>535</v>
      </c>
      <c r="P178" s="88" t="s">
        <v>535</v>
      </c>
      <c r="Q178" s="1">
        <v>2</v>
      </c>
      <c r="R178" s="88" t="s">
        <v>535</v>
      </c>
      <c r="S178" s="1" t="s">
        <v>535</v>
      </c>
      <c r="T178" s="1" t="str">
        <f t="shared" si="2"/>
        <v>Илимнир</v>
      </c>
    </row>
    <row r="179" spans="1:20">
      <c r="A179" s="1">
        <v>9</v>
      </c>
      <c r="C179" s="23" t="s">
        <v>6855</v>
      </c>
      <c r="D179" s="23" t="str">
        <f>VLOOKUP(G179,ОКТМО!B:G,6,0)</f>
        <v>Сунтарский муниципальный район</v>
      </c>
      <c r="E179" s="1" t="s">
        <v>6850</v>
      </c>
      <c r="F179" s="1" t="str">
        <f>VLOOKUP(G179,ОКТМО!B:M,12,0)</f>
        <v>Агдары</v>
      </c>
      <c r="G179" s="1">
        <v>98648465101</v>
      </c>
      <c r="H179" s="1" t="str">
        <f>VLOOKUP(G179,ОКТМО!N:R,4,0)</f>
        <v>61.9983333333333</v>
      </c>
      <c r="I179" s="1" t="str">
        <f>VLOOKUP(G179,ОКТМО!N:R,5,0)</f>
        <v>117.4775</v>
      </c>
      <c r="J179" s="1" t="s">
        <v>535</v>
      </c>
      <c r="K179" s="1">
        <v>417</v>
      </c>
      <c r="L179" s="1">
        <v>149</v>
      </c>
      <c r="M179" s="1">
        <v>7</v>
      </c>
      <c r="N179" s="88" t="s">
        <v>535</v>
      </c>
      <c r="O179" s="1" t="s">
        <v>535</v>
      </c>
      <c r="P179" s="88" t="s">
        <v>535</v>
      </c>
      <c r="Q179" s="1">
        <v>3</v>
      </c>
      <c r="R179" s="88" t="s">
        <v>535</v>
      </c>
      <c r="S179" s="1" t="s">
        <v>535</v>
      </c>
      <c r="T179" s="1" t="str">
        <f t="shared" si="2"/>
        <v>Агдары</v>
      </c>
    </row>
    <row r="180" spans="1:20">
      <c r="A180" s="1">
        <v>10</v>
      </c>
      <c r="C180" s="23" t="s">
        <v>6855</v>
      </c>
      <c r="D180" s="23" t="str">
        <f>VLOOKUP(G180,ОКТМО!B:G,6,0)</f>
        <v>Сунтарский муниципальный район</v>
      </c>
      <c r="E180" s="1" t="s">
        <v>6850</v>
      </c>
      <c r="F180" s="1" t="str">
        <f>VLOOKUP(G180,ОКТМО!B:M,12,0)</f>
        <v>Сунтар</v>
      </c>
      <c r="G180" s="1">
        <v>98648455101</v>
      </c>
      <c r="H180" s="1" t="str">
        <f>VLOOKUP(G180,ОКТМО!N:R,4,0)</f>
        <v>62.16</v>
      </c>
      <c r="I180" s="1" t="str">
        <f>VLOOKUP(G180,ОКТМО!N:R,5,0)</f>
        <v>117.643888888889</v>
      </c>
      <c r="J180" s="1" t="s">
        <v>535</v>
      </c>
      <c r="K180" s="1">
        <v>10758</v>
      </c>
      <c r="L180" s="1">
        <v>2992</v>
      </c>
      <c r="M180" s="1">
        <v>110</v>
      </c>
      <c r="N180" s="88" t="s">
        <v>535</v>
      </c>
      <c r="O180" s="1" t="s">
        <v>535</v>
      </c>
      <c r="P180" s="88" t="s">
        <v>535</v>
      </c>
      <c r="Q180" s="1">
        <v>18</v>
      </c>
      <c r="R180" s="88" t="s">
        <v>535</v>
      </c>
      <c r="S180" s="1" t="s">
        <v>535</v>
      </c>
      <c r="T180" s="1" t="str">
        <f t="shared" si="2"/>
        <v>Сунтар</v>
      </c>
    </row>
    <row r="181" spans="1:20">
      <c r="A181" s="1">
        <v>11</v>
      </c>
      <c r="C181" s="23" t="s">
        <v>6855</v>
      </c>
      <c r="D181" s="23" t="str">
        <f>VLOOKUP(G181,ОКТМО!B:G,6,0)</f>
        <v>Сунтарский муниципальный район</v>
      </c>
      <c r="E181" s="1" t="s">
        <v>6850</v>
      </c>
      <c r="F181" s="1" t="str">
        <f>VLOOKUP(G181,ОКТМО!B:M,12,0)</f>
        <v>Устье</v>
      </c>
      <c r="G181" s="1">
        <v>98648480101</v>
      </c>
      <c r="H181" s="1" t="str">
        <f>VLOOKUP(G181,ОКТМО!N:R,4,0)</f>
        <v>62.165</v>
      </c>
      <c r="I181" s="1" t="str">
        <f>VLOOKUP(G181,ОКТМО!N:R,5,0)</f>
        <v>117.733055555556</v>
      </c>
      <c r="J181" s="1" t="s">
        <v>535</v>
      </c>
      <c r="K181" s="1">
        <v>365</v>
      </c>
      <c r="L181" s="1">
        <v>146</v>
      </c>
      <c r="M181" s="1">
        <v>11</v>
      </c>
      <c r="N181" s="88" t="s">
        <v>535</v>
      </c>
      <c r="O181" s="1" t="s">
        <v>535</v>
      </c>
      <c r="P181" s="88" t="s">
        <v>535</v>
      </c>
      <c r="Q181" s="1">
        <v>2</v>
      </c>
      <c r="R181" s="88" t="s">
        <v>535</v>
      </c>
      <c r="S181" s="1" t="s">
        <v>535</v>
      </c>
      <c r="T181" s="1" t="str">
        <f t="shared" si="2"/>
        <v>Устье</v>
      </c>
    </row>
    <row r="182" spans="1:20">
      <c r="A182" s="1">
        <v>12</v>
      </c>
      <c r="C182" s="23" t="s">
        <v>6855</v>
      </c>
      <c r="D182" s="23" t="str">
        <f>VLOOKUP(G182,ОКТМО!B:G,6,0)</f>
        <v>Сунтарский муниципальный район</v>
      </c>
      <c r="E182" s="1" t="s">
        <v>6850</v>
      </c>
      <c r="F182" s="1" t="str">
        <f>VLOOKUP(G182,ОКТМО!B:M,12,0)</f>
        <v>Кюндяе</v>
      </c>
      <c r="G182" s="1">
        <v>98648445101</v>
      </c>
      <c r="H182" s="1" t="str">
        <f>VLOOKUP(G182,ОКТМО!N:R,4,0)</f>
        <v>62.3455555555556</v>
      </c>
      <c r="I182" s="1" t="str">
        <f>VLOOKUP(G182,ОКТМО!N:R,5,0)</f>
        <v>117.701666666667</v>
      </c>
      <c r="J182" s="1" t="s">
        <v>535</v>
      </c>
      <c r="K182" s="1">
        <v>808</v>
      </c>
      <c r="L182" s="1">
        <v>238</v>
      </c>
      <c r="M182" s="1">
        <v>7</v>
      </c>
      <c r="N182" s="88" t="s">
        <v>535</v>
      </c>
      <c r="O182" s="1" t="s">
        <v>535</v>
      </c>
      <c r="P182" s="88" t="s">
        <v>535</v>
      </c>
      <c r="Q182" s="1">
        <v>4</v>
      </c>
      <c r="R182" s="88" t="s">
        <v>535</v>
      </c>
      <c r="S182" s="1" t="s">
        <v>535</v>
      </c>
      <c r="T182" s="1" t="str">
        <f t="shared" si="2"/>
        <v>Кюндяе</v>
      </c>
    </row>
    <row r="183" spans="1:20">
      <c r="A183" s="1">
        <v>13</v>
      </c>
      <c r="C183" s="23" t="s">
        <v>6855</v>
      </c>
      <c r="D183" s="23" t="str">
        <f>VLOOKUP(G183,ОКТМО!B:G,6,0)</f>
        <v>Сунтарский муниципальный район</v>
      </c>
      <c r="E183" s="1" t="s">
        <v>6850</v>
      </c>
      <c r="F183" s="1" t="str">
        <f>VLOOKUP(G183,ОКТМО!B:M,12,0)</f>
        <v>Эльгян</v>
      </c>
      <c r="G183" s="1">
        <v>98648445106</v>
      </c>
      <c r="H183" s="1" t="str">
        <f>VLOOKUP(G183,ОКТМО!N:R,4,0)</f>
        <v>62.4016666666667</v>
      </c>
      <c r="I183" s="1" t="str">
        <f>VLOOKUP(G183,ОКТМО!N:R,5,0)</f>
        <v>117.540833333333</v>
      </c>
      <c r="J183" s="1" t="s">
        <v>535</v>
      </c>
      <c r="K183" s="1">
        <v>3</v>
      </c>
      <c r="L183" s="1">
        <v>1</v>
      </c>
      <c r="M183" s="1" t="s">
        <v>535</v>
      </c>
      <c r="N183" s="88" t="s">
        <v>535</v>
      </c>
      <c r="O183" s="1" t="s">
        <v>535</v>
      </c>
      <c r="P183" s="88" t="s">
        <v>535</v>
      </c>
      <c r="Q183" s="1" t="s">
        <v>535</v>
      </c>
      <c r="R183" s="88" t="s">
        <v>535</v>
      </c>
      <c r="S183" s="1" t="s">
        <v>535</v>
      </c>
      <c r="T183" s="1" t="str">
        <f t="shared" si="2"/>
        <v>Эльгян</v>
      </c>
    </row>
    <row r="184" spans="1:20">
      <c r="A184" s="1">
        <v>14</v>
      </c>
      <c r="C184" s="23" t="s">
        <v>6855</v>
      </c>
      <c r="D184" s="23" t="str">
        <f>VLOOKUP(G184,ОКТМО!B:G,6,0)</f>
        <v>Сунтарский муниципальный район</v>
      </c>
      <c r="E184" s="1" t="s">
        <v>6850</v>
      </c>
      <c r="F184" s="1" t="str">
        <f>VLOOKUP(G184,ОКТМО!B:M,12,0)</f>
        <v>Эльгяй</v>
      </c>
      <c r="G184" s="1">
        <v>98648475101</v>
      </c>
      <c r="H184" s="1" t="str">
        <f>VLOOKUP(G184,ОКТМО!N:R,4,0)</f>
        <v>62.4855555555556</v>
      </c>
      <c r="I184" s="1" t="str">
        <f>VLOOKUP(G184,ОКТМО!N:R,5,0)</f>
        <v>117.510833333333</v>
      </c>
      <c r="J184" s="1" t="s">
        <v>535</v>
      </c>
      <c r="K184" s="1">
        <v>1953</v>
      </c>
      <c r="L184" s="1">
        <v>591</v>
      </c>
      <c r="M184" s="1">
        <v>29</v>
      </c>
      <c r="N184" s="88" t="s">
        <v>535</v>
      </c>
      <c r="O184" s="1" t="s">
        <v>535</v>
      </c>
      <c r="P184" s="88" t="s">
        <v>535</v>
      </c>
      <c r="Q184" s="1">
        <v>4</v>
      </c>
      <c r="R184" s="88" t="s">
        <v>535</v>
      </c>
      <c r="S184" s="1" t="s">
        <v>535</v>
      </c>
      <c r="T184" s="1" t="str">
        <f t="shared" si="2"/>
        <v>Эльгяй</v>
      </c>
    </row>
    <row r="185" spans="1:20">
      <c r="A185" s="1">
        <v>15</v>
      </c>
      <c r="C185" s="23" t="s">
        <v>6855</v>
      </c>
      <c r="D185" s="23" t="str">
        <f>VLOOKUP(G185,ОКТМО!B:G,6,0)</f>
        <v>Сунтарский муниципальный район</v>
      </c>
      <c r="E185" s="1" t="s">
        <v>6850</v>
      </c>
      <c r="F185" s="1" t="str">
        <f>VLOOKUP(G185,ОКТМО!B:M,12,0)</f>
        <v>Толон</v>
      </c>
      <c r="G185" s="1">
        <v>98648459101</v>
      </c>
      <c r="H185" s="1" t="str">
        <f>VLOOKUP(G185,ОКТМО!N:R,4,0)</f>
        <v>62.58528805</v>
      </c>
      <c r="I185" s="1" t="str">
        <f>VLOOKUP(G185,ОКТМО!N:R,5,0)</f>
        <v>117.49992672</v>
      </c>
      <c r="J185" s="1" t="s">
        <v>535</v>
      </c>
      <c r="K185" s="1">
        <v>132</v>
      </c>
      <c r="L185" s="1">
        <v>42</v>
      </c>
      <c r="M185" s="1">
        <v>4</v>
      </c>
      <c r="N185" s="88" t="s">
        <v>535</v>
      </c>
      <c r="O185" s="1" t="s">
        <v>535</v>
      </c>
      <c r="P185" s="88" t="s">
        <v>535</v>
      </c>
      <c r="Q185" s="1">
        <v>2</v>
      </c>
      <c r="R185" s="88" t="s">
        <v>535</v>
      </c>
      <c r="S185" s="1" t="s">
        <v>535</v>
      </c>
      <c r="T185" s="1" t="str">
        <f t="shared" si="2"/>
        <v>Толон</v>
      </c>
    </row>
    <row r="186" spans="1:20">
      <c r="A186" s="1">
        <v>16</v>
      </c>
      <c r="C186" s="23" t="s">
        <v>6855</v>
      </c>
      <c r="D186" s="23" t="str">
        <f>VLOOKUP(G186,ОКТМО!B:G,6,0)</f>
        <v>Сунтарский муниципальный район</v>
      </c>
      <c r="E186" s="1" t="s">
        <v>6850</v>
      </c>
      <c r="F186" s="1" t="str">
        <f>VLOOKUP(G186,ОКТМО!B:M,12,0)</f>
        <v>Кутана</v>
      </c>
      <c r="G186" s="1">
        <v>98648440101</v>
      </c>
      <c r="H186" s="1" t="str">
        <f>VLOOKUP(G186,ОКТМО!N:R,4,0)</f>
        <v>62.7147222222222</v>
      </c>
      <c r="I186" s="1" t="str">
        <f>VLOOKUP(G186,ОКТМО!N:R,5,0)</f>
        <v>117.571944444444</v>
      </c>
      <c r="J186" s="1" t="s">
        <v>535</v>
      </c>
      <c r="K186" s="1">
        <v>1017</v>
      </c>
      <c r="L186" s="1">
        <v>270</v>
      </c>
      <c r="M186" s="1">
        <v>24</v>
      </c>
      <c r="N186" s="88" t="s">
        <v>535</v>
      </c>
      <c r="O186" s="1" t="s">
        <v>535</v>
      </c>
      <c r="P186" s="88" t="s">
        <v>535</v>
      </c>
      <c r="Q186" s="1">
        <v>4</v>
      </c>
      <c r="R186" s="88" t="s">
        <v>535</v>
      </c>
      <c r="S186" s="1" t="s">
        <v>535</v>
      </c>
      <c r="T186" s="1" t="str">
        <f t="shared" si="2"/>
        <v>Кутана</v>
      </c>
    </row>
    <row r="187" spans="1:20">
      <c r="A187" s="1">
        <v>17</v>
      </c>
      <c r="C187" s="23" t="s">
        <v>6855</v>
      </c>
      <c r="D187" s="23" t="str">
        <f>VLOOKUP(G187,ОКТМО!B:G,6,0)</f>
        <v>Сунтарский муниципальный район</v>
      </c>
      <c r="E187" s="1" t="s">
        <v>6850</v>
      </c>
      <c r="F187" s="1" t="str">
        <f>VLOOKUP(G187,ОКТМО!B:M,12,0)</f>
        <v>Тюбяй</v>
      </c>
      <c r="G187" s="1">
        <v>98648463101</v>
      </c>
      <c r="H187" s="1" t="str">
        <f>VLOOKUP(G187,ОКТМО!N:R,4,0)</f>
        <v>62.8811111111111</v>
      </c>
      <c r="I187" s="1" t="str">
        <f>VLOOKUP(G187,ОКТМО!N:R,5,0)</f>
        <v>117.473055555556</v>
      </c>
      <c r="J187" s="1" t="s">
        <v>535</v>
      </c>
      <c r="K187" s="1">
        <v>281</v>
      </c>
      <c r="L187" s="1">
        <v>88</v>
      </c>
      <c r="M187" s="1">
        <v>7</v>
      </c>
      <c r="N187" s="88" t="s">
        <v>535</v>
      </c>
      <c r="O187" s="1" t="s">
        <v>535</v>
      </c>
      <c r="P187" s="88" t="s">
        <v>535</v>
      </c>
      <c r="Q187" s="1">
        <v>2</v>
      </c>
      <c r="R187" s="88" t="s">
        <v>535</v>
      </c>
      <c r="S187" s="1" t="s">
        <v>535</v>
      </c>
      <c r="T187" s="1" t="str">
        <f t="shared" si="2"/>
        <v>Тюбяй</v>
      </c>
    </row>
    <row r="188" spans="1:20">
      <c r="A188" s="1">
        <v>18</v>
      </c>
      <c r="C188" s="23" t="s">
        <v>6855</v>
      </c>
      <c r="D188" s="23" t="str">
        <f>VLOOKUP(G188,ОКТМО!B:G,6,0)</f>
        <v>Сунтарский муниципальный район</v>
      </c>
      <c r="E188" s="1" t="s">
        <v>6850</v>
      </c>
      <c r="F188" s="1" t="str">
        <f>VLOOKUP(G188,ОКТМО!B:M,12,0)</f>
        <v>Ыгыатта</v>
      </c>
      <c r="G188" s="1">
        <v>98648462111</v>
      </c>
      <c r="H188" s="1" t="str">
        <f>VLOOKUP(G188,ОКТМО!N:R,4,0)</f>
        <v>62.9738888888889</v>
      </c>
      <c r="I188" s="1" t="str">
        <f>VLOOKUP(G188,ОКТМО!N:R,5,0)</f>
        <v>117.487222222222</v>
      </c>
      <c r="J188" s="1" t="s">
        <v>535</v>
      </c>
      <c r="K188" s="1">
        <v>2</v>
      </c>
      <c r="L188" s="1">
        <v>1</v>
      </c>
      <c r="M188" s="1" t="s">
        <v>535</v>
      </c>
      <c r="N188" s="88" t="s">
        <v>535</v>
      </c>
      <c r="O188" s="1" t="s">
        <v>535</v>
      </c>
      <c r="P188" s="88" t="s">
        <v>535</v>
      </c>
      <c r="Q188" s="1" t="s">
        <v>6821</v>
      </c>
      <c r="R188" s="88" t="s">
        <v>535</v>
      </c>
      <c r="S188" s="1" t="s">
        <v>535</v>
      </c>
      <c r="T188" s="1" t="str">
        <f t="shared" si="2"/>
        <v>Ыгыатта</v>
      </c>
    </row>
    <row r="189" spans="1:20">
      <c r="A189" s="1">
        <v>19</v>
      </c>
      <c r="C189" s="23" t="s">
        <v>6855</v>
      </c>
      <c r="D189" s="23" t="str">
        <f>VLOOKUP(G189,ОКТМО!B:G,6,0)</f>
        <v>Сунтарский муниципальный район</v>
      </c>
      <c r="E189" s="1" t="s">
        <v>6850</v>
      </c>
      <c r="F189" s="1" t="str">
        <f>VLOOKUP(G189,ОКТМО!B:M,12,0)</f>
        <v>Арылах</v>
      </c>
      <c r="G189" s="1">
        <v>98648462101</v>
      </c>
      <c r="H189" s="1" t="str">
        <f>VLOOKUP(G189,ОКТМО!N:R,4,0)</f>
        <v>62.99639760</v>
      </c>
      <c r="I189" s="1" t="str">
        <f>VLOOKUP(G189,ОКТМО!N:R,5,0)</f>
        <v>117.51056354</v>
      </c>
      <c r="J189" s="1" t="s">
        <v>535</v>
      </c>
      <c r="K189" s="1">
        <v>694</v>
      </c>
      <c r="L189" s="1">
        <v>154</v>
      </c>
      <c r="M189" s="1">
        <v>10</v>
      </c>
      <c r="N189" s="88" t="s">
        <v>535</v>
      </c>
      <c r="O189" s="1" t="s">
        <v>535</v>
      </c>
      <c r="P189" s="88" t="s">
        <v>535</v>
      </c>
      <c r="Q189" s="1">
        <v>4</v>
      </c>
      <c r="R189" s="88" t="s">
        <v>535</v>
      </c>
      <c r="S189" s="1" t="s">
        <v>535</v>
      </c>
      <c r="T189" s="1" t="str">
        <f t="shared" si="2"/>
        <v>Арылах</v>
      </c>
    </row>
    <row r="190" spans="1:20">
      <c r="A190" s="1">
        <v>20</v>
      </c>
      <c r="C190" s="23" t="s">
        <v>6855</v>
      </c>
      <c r="D190" s="23" t="str">
        <f>VLOOKUP(G190,ОКТМО!B:G,6,0)</f>
        <v>Нюрбинский муниципальный район</v>
      </c>
      <c r="E190" s="1" t="s">
        <v>6850</v>
      </c>
      <c r="F190" s="1" t="str">
        <f>VLOOKUP(G190,ОКТМО!B:M,12,0)</f>
        <v>Нюрбачан</v>
      </c>
      <c r="G190" s="1">
        <v>98626450101</v>
      </c>
      <c r="H190" s="1" t="str">
        <f>VLOOKUP(G190,ОКТМО!N:R,4,0)</f>
        <v>63.3347222222222</v>
      </c>
      <c r="I190" s="1" t="str">
        <f>VLOOKUP(G190,ОКТМО!N:R,5,0)</f>
        <v>118.108055555556</v>
      </c>
      <c r="J190" s="1" t="s">
        <v>535</v>
      </c>
      <c r="K190" s="1">
        <v>466</v>
      </c>
      <c r="L190" s="1">
        <v>168</v>
      </c>
      <c r="M190" s="1">
        <v>4</v>
      </c>
      <c r="N190" s="88" t="s">
        <v>535</v>
      </c>
      <c r="O190" s="1" t="s">
        <v>535</v>
      </c>
      <c r="P190" s="88" t="s">
        <v>535</v>
      </c>
      <c r="Q190" s="1">
        <v>2</v>
      </c>
      <c r="R190" s="88" t="s">
        <v>535</v>
      </c>
      <c r="S190" s="1" t="s">
        <v>535</v>
      </c>
      <c r="T190" s="1" t="str">
        <f t="shared" si="2"/>
        <v>Нюрбачан</v>
      </c>
    </row>
    <row r="191" spans="1:20">
      <c r="A191" s="1">
        <v>21</v>
      </c>
      <c r="C191" s="23" t="s">
        <v>6855</v>
      </c>
      <c r="D191" s="23" t="str">
        <f>VLOOKUP(G191,ОКТМО!B:G,6,0)</f>
        <v>Нюрбинский муниципальный район</v>
      </c>
      <c r="E191" s="1" t="s">
        <v>6850</v>
      </c>
      <c r="F191" s="1" t="str">
        <f>VLOOKUP(G191,ОКТМО!B:M,12,0)</f>
        <v>Кюндяде</v>
      </c>
      <c r="G191" s="1">
        <v>98626425101</v>
      </c>
      <c r="H191" s="1" t="str">
        <f>VLOOKUP(G191,ОКТМО!N:R,4,0)</f>
        <v>63.2183333333333</v>
      </c>
      <c r="I191" s="1" t="str">
        <f>VLOOKUP(G191,ОКТМО!N:R,5,0)</f>
        <v>118.144166666667</v>
      </c>
      <c r="J191" s="1" t="s">
        <v>535</v>
      </c>
      <c r="K191" s="1">
        <v>787</v>
      </c>
      <c r="L191" s="1">
        <v>321</v>
      </c>
      <c r="M191" s="1">
        <v>4</v>
      </c>
      <c r="N191" s="88" t="s">
        <v>535</v>
      </c>
      <c r="O191" s="1" t="s">
        <v>535</v>
      </c>
      <c r="P191" s="88" t="s">
        <v>535</v>
      </c>
      <c r="Q191" s="1">
        <v>2</v>
      </c>
      <c r="R191" s="88" t="s">
        <v>535</v>
      </c>
      <c r="S191" s="1" t="s">
        <v>535</v>
      </c>
      <c r="T191" s="1" t="str">
        <f t="shared" si="2"/>
        <v>Кюндяде</v>
      </c>
    </row>
    <row r="192" spans="1:20">
      <c r="A192" s="1">
        <v>22</v>
      </c>
      <c r="C192" s="23" t="s">
        <v>6855</v>
      </c>
      <c r="D192" s="23" t="str">
        <f>VLOOKUP(G192,ОКТМО!B:G,6,0)</f>
        <v>Нюрбинский муниципальный район</v>
      </c>
      <c r="E192" s="1" t="s">
        <v>6850</v>
      </c>
      <c r="F192" s="1" t="str">
        <f>VLOOKUP(G192,ОКТМО!B:M,12,0)</f>
        <v>Нюрба</v>
      </c>
      <c r="G192" s="1">
        <v>98626101001</v>
      </c>
      <c r="H192" s="1" t="str">
        <f>VLOOKUP(G192,ОКТМО!N:R,4,0)</f>
        <v>63.2825</v>
      </c>
      <c r="I192" s="1" t="str">
        <f>VLOOKUP(G192,ОКТМО!N:R,5,0)</f>
        <v>118.340833333333</v>
      </c>
      <c r="J192" s="1" t="s">
        <v>535</v>
      </c>
      <c r="K192" s="1">
        <v>10038</v>
      </c>
      <c r="L192" s="1">
        <v>2881</v>
      </c>
      <c r="M192" s="1">
        <v>60</v>
      </c>
      <c r="N192" s="88" t="s">
        <v>535</v>
      </c>
      <c r="O192" s="1" t="s">
        <v>535</v>
      </c>
      <c r="P192" s="88" t="s">
        <v>535</v>
      </c>
      <c r="Q192" s="1">
        <v>12</v>
      </c>
      <c r="R192" s="88" t="s">
        <v>535</v>
      </c>
      <c r="S192" s="1" t="s">
        <v>535</v>
      </c>
      <c r="T192" s="1" t="str">
        <f t="shared" si="2"/>
        <v>Нюрба</v>
      </c>
    </row>
    <row r="193" spans="1:20">
      <c r="A193" s="1">
        <v>23</v>
      </c>
      <c r="C193" s="23" t="s">
        <v>6855</v>
      </c>
      <c r="D193" s="23" t="str">
        <f>VLOOKUP(G193,ОКТМО!B:G,6,0)</f>
        <v>Нюрбинский муниципальный район</v>
      </c>
      <c r="E193" s="1" t="s">
        <v>6850</v>
      </c>
      <c r="F193" s="1" t="str">
        <f>VLOOKUP(G193,ОКТМО!B:M,12,0)</f>
        <v>Сюля</v>
      </c>
      <c r="G193" s="1">
        <v>98626452101</v>
      </c>
      <c r="H193" s="1" t="str">
        <f>VLOOKUP(G193,ОКТМО!N:R,4,0)</f>
        <v>63.3341666666667</v>
      </c>
      <c r="I193" s="1" t="str">
        <f>VLOOKUP(G193,ОКТМО!N:R,5,0)</f>
        <v>118.288611111111</v>
      </c>
      <c r="J193" s="1" t="s">
        <v>535</v>
      </c>
      <c r="K193" s="1">
        <v>497</v>
      </c>
      <c r="L193" s="1">
        <v>155</v>
      </c>
      <c r="M193" s="1">
        <v>4</v>
      </c>
      <c r="N193" s="88" t="s">
        <v>535</v>
      </c>
      <c r="O193" s="1" t="s">
        <v>535</v>
      </c>
      <c r="P193" s="88" t="s">
        <v>535</v>
      </c>
      <c r="Q193" s="1">
        <v>2</v>
      </c>
      <c r="R193" s="88" t="s">
        <v>535</v>
      </c>
      <c r="S193" s="1" t="s">
        <v>535</v>
      </c>
      <c r="T193" s="1" t="str">
        <f t="shared" si="2"/>
        <v>Сюля</v>
      </c>
    </row>
    <row r="194" spans="1:20">
      <c r="A194" s="1">
        <v>24</v>
      </c>
      <c r="C194" s="23" t="s">
        <v>6855</v>
      </c>
      <c r="D194" s="23" t="str">
        <f>VLOOKUP(G194,ОКТМО!B:G,6,0)</f>
        <v>Нюрбинский муниципальный район</v>
      </c>
      <c r="E194" s="1" t="s">
        <v>6850</v>
      </c>
      <c r="F194" s="1" t="str">
        <f>VLOOKUP(G194,ОКТМО!B:M,12,0)</f>
        <v>Дикимдя</v>
      </c>
      <c r="G194" s="1">
        <v>98626413101</v>
      </c>
      <c r="H194" s="1" t="str">
        <f>VLOOKUP(G194,ОКТМО!N:R,4,0)</f>
        <v>63.3833333333333</v>
      </c>
      <c r="I194" s="1" t="str">
        <f>VLOOKUP(G194,ОКТМО!N:R,5,0)</f>
        <v>118.341944444444</v>
      </c>
      <c r="J194" s="1" t="s">
        <v>535</v>
      </c>
      <c r="K194" s="1">
        <v>330</v>
      </c>
      <c r="L194" s="1">
        <v>82</v>
      </c>
      <c r="M194" s="1">
        <v>3</v>
      </c>
      <c r="N194" s="88" t="s">
        <v>535</v>
      </c>
      <c r="O194" s="1" t="s">
        <v>535</v>
      </c>
      <c r="P194" s="88" t="s">
        <v>535</v>
      </c>
      <c r="Q194" s="1">
        <v>2</v>
      </c>
      <c r="R194" s="88" t="s">
        <v>535</v>
      </c>
      <c r="S194" s="1" t="s">
        <v>535</v>
      </c>
      <c r="T194" s="1" t="str">
        <f t="shared" si="2"/>
        <v>Дикимдя</v>
      </c>
    </row>
    <row r="195" spans="1:20">
      <c r="A195" s="1">
        <v>25</v>
      </c>
      <c r="C195" s="23" t="s">
        <v>6855</v>
      </c>
      <c r="D195" s="23" t="str">
        <f>VLOOKUP(G195,ОКТМО!B:G,6,0)</f>
        <v>Нюрбинский муниципальный район</v>
      </c>
      <c r="E195" s="1" t="s">
        <v>6850</v>
      </c>
      <c r="F195" s="1" t="str">
        <f>VLOOKUP(G195,ОКТМО!B:M,12,0)</f>
        <v>Антоновка</v>
      </c>
      <c r="G195" s="1">
        <v>98626445101</v>
      </c>
      <c r="H195" s="1" t="str">
        <f>VLOOKUP(G195,ОКТМО!N:R,4,0)</f>
        <v>63.2861111111111</v>
      </c>
      <c r="I195" s="1" t="str">
        <f>VLOOKUP(G195,ОКТМО!N:R,5,0)</f>
        <v>118.400555555556</v>
      </c>
      <c r="J195" s="1" t="s">
        <v>535</v>
      </c>
      <c r="K195" s="1">
        <v>3168</v>
      </c>
      <c r="L195" s="1">
        <v>892</v>
      </c>
      <c r="M195" s="1">
        <v>6</v>
      </c>
      <c r="N195" s="88" t="s">
        <v>535</v>
      </c>
      <c r="O195" s="1">
        <v>1</v>
      </c>
      <c r="P195" s="88" t="s">
        <v>6942</v>
      </c>
      <c r="Q195" s="1">
        <v>6</v>
      </c>
      <c r="R195" s="88" t="s">
        <v>535</v>
      </c>
      <c r="S195" s="1" t="s">
        <v>535</v>
      </c>
      <c r="T195" s="1" t="str">
        <f t="shared" si="2"/>
        <v>Антоновка</v>
      </c>
    </row>
    <row r="196" spans="1:20">
      <c r="A196" s="1">
        <v>26</v>
      </c>
      <c r="C196" s="23" t="s">
        <v>6855</v>
      </c>
      <c r="D196" s="23" t="str">
        <f>VLOOKUP(G196,ОКТМО!B:G,6,0)</f>
        <v>Нюрбинский муниципальный район</v>
      </c>
      <c r="E196" s="1" t="s">
        <v>6850</v>
      </c>
      <c r="F196" s="1" t="str">
        <f>VLOOKUP(G196,ОКТМО!B:M,12,0)</f>
        <v>Чаппанда</v>
      </c>
      <c r="G196" s="1">
        <v>98626470101</v>
      </c>
      <c r="H196" s="1" t="str">
        <f>VLOOKUP(G196,ОКТМО!N:R,4,0)</f>
        <v>63.4211111111111</v>
      </c>
      <c r="I196" s="1" t="str">
        <f>VLOOKUP(G196,ОКТМО!N:R,5,0)</f>
        <v>118.613888888889</v>
      </c>
      <c r="J196" s="1" t="s">
        <v>535</v>
      </c>
      <c r="K196" s="1">
        <v>758</v>
      </c>
      <c r="L196" s="1">
        <v>203</v>
      </c>
      <c r="M196" s="1">
        <v>3</v>
      </c>
      <c r="N196" s="88" t="s">
        <v>535</v>
      </c>
      <c r="O196" s="1" t="s">
        <v>535</v>
      </c>
      <c r="P196" s="88" t="s">
        <v>535</v>
      </c>
      <c r="Q196" s="1">
        <v>1</v>
      </c>
      <c r="R196" s="88" t="s">
        <v>535</v>
      </c>
      <c r="S196" s="1" t="s">
        <v>535</v>
      </c>
      <c r="T196" s="1" t="str">
        <f t="shared" si="2"/>
        <v>Чаппанда</v>
      </c>
    </row>
    <row r="197" spans="1:20">
      <c r="A197" s="1">
        <v>27</v>
      </c>
      <c r="C197" s="23" t="s">
        <v>6855</v>
      </c>
      <c r="D197" s="23" t="str">
        <f>VLOOKUP(G197,ОКТМО!B:G,6,0)</f>
        <v>Нюрбинский муниципальный район</v>
      </c>
      <c r="E197" s="1" t="s">
        <v>6850</v>
      </c>
      <c r="F197" s="1" t="str">
        <f>VLOOKUP(G197,ОКТМО!B:M,12,0)</f>
        <v>Жархан</v>
      </c>
      <c r="G197" s="1">
        <v>98626415101</v>
      </c>
      <c r="H197" s="1" t="str">
        <f>VLOOKUP(G197,ОКТМО!N:R,4,0)</f>
        <v>63.5186111111111</v>
      </c>
      <c r="I197" s="1" t="str">
        <f>VLOOKUP(G197,ОКТМО!N:R,5,0)</f>
        <v>118.822777777778</v>
      </c>
      <c r="J197" s="1" t="s">
        <v>535</v>
      </c>
      <c r="K197" s="1">
        <v>391</v>
      </c>
      <c r="L197" s="1">
        <v>119</v>
      </c>
      <c r="M197" s="1">
        <v>3</v>
      </c>
      <c r="N197" s="88" t="s">
        <v>535</v>
      </c>
      <c r="O197" s="1" t="s">
        <v>535</v>
      </c>
      <c r="P197" s="88" t="s">
        <v>535</v>
      </c>
      <c r="Q197" s="1">
        <v>1</v>
      </c>
      <c r="R197" s="88" t="s">
        <v>535</v>
      </c>
      <c r="S197" s="1" t="s">
        <v>535</v>
      </c>
      <c r="T197" s="1" t="str">
        <f t="shared" ref="T197:T221" si="3">F197</f>
        <v>Жархан</v>
      </c>
    </row>
    <row r="198" spans="1:20">
      <c r="A198" s="1">
        <v>28</v>
      </c>
      <c r="C198" s="23" t="s">
        <v>6855</v>
      </c>
      <c r="D198" s="23" t="str">
        <f>VLOOKUP(G198,ОКТМО!B:G,6,0)</f>
        <v>Нюрбинский муниципальный район</v>
      </c>
      <c r="E198" s="1" t="s">
        <v>6850</v>
      </c>
      <c r="F198" s="1" t="str">
        <f>VLOOKUP(G198,ОКТМО!B:M,12,0)</f>
        <v>Хатын-Сысы</v>
      </c>
      <c r="G198" s="1">
        <v>98626455101</v>
      </c>
      <c r="H198" s="1" t="str">
        <f>VLOOKUP(G198,ОКТМО!N:R,4,0)</f>
        <v>63.5919444444444</v>
      </c>
      <c r="I198" s="1" t="str">
        <f>VLOOKUP(G198,ОКТМО!N:R,5,0)</f>
        <v>118.845555555556</v>
      </c>
      <c r="J198" s="1" t="s">
        <v>535</v>
      </c>
      <c r="K198" s="1">
        <v>817</v>
      </c>
      <c r="L198" s="1">
        <v>356</v>
      </c>
      <c r="M198" s="1">
        <v>4</v>
      </c>
      <c r="N198" s="88" t="s">
        <v>535</v>
      </c>
      <c r="O198" s="1" t="s">
        <v>535</v>
      </c>
      <c r="P198" s="88" t="s">
        <v>535</v>
      </c>
      <c r="Q198" s="1">
        <v>2</v>
      </c>
      <c r="R198" s="88" t="s">
        <v>535</v>
      </c>
      <c r="S198" s="1" t="s">
        <v>535</v>
      </c>
      <c r="T198" s="1" t="str">
        <f t="shared" si="3"/>
        <v>Хатын-Сысы</v>
      </c>
    </row>
    <row r="199" spans="1:20">
      <c r="A199" s="1">
        <v>29</v>
      </c>
      <c r="C199" s="23" t="s">
        <v>6855</v>
      </c>
      <c r="D199" s="23" t="str">
        <f>VLOOKUP(G199,ОКТМО!B:G,6,0)</f>
        <v>Нюрбинский муниципальный район</v>
      </c>
      <c r="E199" s="1" t="s">
        <v>6850</v>
      </c>
      <c r="F199" s="1" t="str">
        <f>VLOOKUP(G199,ОКТМО!B:M,12,0)</f>
        <v>Чукар</v>
      </c>
      <c r="G199" s="1">
        <v>98626475101</v>
      </c>
      <c r="H199" s="1" t="str">
        <f>VLOOKUP(G199,ОКТМО!N:R,4,0)</f>
        <v>63.7475</v>
      </c>
      <c r="I199" s="1" t="str">
        <f>VLOOKUP(G199,ОКТМО!N:R,5,0)</f>
        <v>117.968611111111</v>
      </c>
      <c r="J199" s="1" t="s">
        <v>535</v>
      </c>
      <c r="K199" s="1">
        <v>524</v>
      </c>
      <c r="L199" s="1">
        <v>276</v>
      </c>
      <c r="M199" s="1">
        <v>4</v>
      </c>
      <c r="N199" s="88" t="s">
        <v>535</v>
      </c>
      <c r="O199" s="1" t="s">
        <v>535</v>
      </c>
      <c r="P199" s="88" t="s">
        <v>535</v>
      </c>
      <c r="Q199" s="1">
        <v>3</v>
      </c>
      <c r="R199" s="88" t="s">
        <v>535</v>
      </c>
      <c r="S199" s="1" t="s">
        <v>535</v>
      </c>
      <c r="T199" s="1" t="str">
        <f t="shared" si="3"/>
        <v>Чукар</v>
      </c>
    </row>
    <row r="200" spans="1:20">
      <c r="A200" s="1">
        <v>30</v>
      </c>
      <c r="C200" s="23" t="s">
        <v>6855</v>
      </c>
      <c r="D200" s="23" t="str">
        <f>VLOOKUP(G200,ОКТМО!B:G,6,0)</f>
        <v>Нюрбинский муниципальный район</v>
      </c>
      <c r="E200" s="1" t="s">
        <v>6850</v>
      </c>
      <c r="F200" s="1" t="str">
        <f>VLOOKUP(G200,ОКТМО!B:M,12,0)</f>
        <v>Бысыттах</v>
      </c>
      <c r="G200" s="1">
        <v>98626430101</v>
      </c>
      <c r="H200" s="1" t="str">
        <f>VLOOKUP(G200,ОКТМО!N:R,4,0)</f>
        <v>63.5777777777778</v>
      </c>
      <c r="I200" s="1" t="str">
        <f>VLOOKUP(G200,ОКТМО!N:R,5,0)</f>
        <v>117.453333333333</v>
      </c>
      <c r="J200" s="1" t="s">
        <v>535</v>
      </c>
      <c r="K200" s="1">
        <v>401</v>
      </c>
      <c r="L200" s="1">
        <v>143</v>
      </c>
      <c r="M200" s="1">
        <v>4</v>
      </c>
      <c r="N200" s="88" t="s">
        <v>535</v>
      </c>
      <c r="O200" s="1" t="s">
        <v>535</v>
      </c>
      <c r="P200" s="88" t="s">
        <v>535</v>
      </c>
      <c r="Q200" s="1">
        <v>2</v>
      </c>
      <c r="R200" s="88" t="s">
        <v>535</v>
      </c>
      <c r="S200" s="1" t="s">
        <v>535</v>
      </c>
      <c r="T200" s="1" t="str">
        <f t="shared" si="3"/>
        <v>Бысыттах</v>
      </c>
    </row>
    <row r="201" spans="1:20">
      <c r="A201" s="1">
        <v>31</v>
      </c>
      <c r="C201" s="23" t="s">
        <v>6855</v>
      </c>
      <c r="D201" s="23" t="str">
        <f>VLOOKUP(G201,ОКТМО!B:G,6,0)</f>
        <v>Нюрбинский муниципальный район</v>
      </c>
      <c r="E201" s="1" t="s">
        <v>6850</v>
      </c>
      <c r="F201" s="1" t="str">
        <f>VLOOKUP(G201,ОКТМО!B:M,12,0)</f>
        <v>Мар</v>
      </c>
      <c r="G201" s="1">
        <v>98626460101</v>
      </c>
      <c r="H201" s="1" t="str">
        <f>VLOOKUP(G201,ОКТМО!N:R,4,0)</f>
        <v>63.5202777777778</v>
      </c>
      <c r="I201" s="1" t="str">
        <f>VLOOKUP(G201,ОКТМО!N:R,5,0)</f>
        <v>118.988055555556</v>
      </c>
      <c r="J201" s="1" t="s">
        <v>535</v>
      </c>
      <c r="K201" s="1">
        <v>761</v>
      </c>
      <c r="L201" s="1">
        <v>281</v>
      </c>
      <c r="M201" s="1">
        <v>7</v>
      </c>
      <c r="N201" s="88" t="s">
        <v>535</v>
      </c>
      <c r="O201" s="1" t="s">
        <v>535</v>
      </c>
      <c r="P201" s="88" t="s">
        <v>535</v>
      </c>
      <c r="Q201" s="1">
        <v>4</v>
      </c>
      <c r="R201" s="88" t="s">
        <v>535</v>
      </c>
      <c r="S201" s="1" t="s">
        <v>535</v>
      </c>
      <c r="T201" s="1" t="str">
        <f t="shared" si="3"/>
        <v>Мар</v>
      </c>
    </row>
    <row r="202" spans="1:20">
      <c r="A202" s="1">
        <v>32</v>
      </c>
      <c r="C202" s="23" t="s">
        <v>6855</v>
      </c>
      <c r="D202" s="23" t="str">
        <f>VLOOKUP(G202,ОКТМО!B:G,6,0)</f>
        <v>Нюрбинский муниципальный район</v>
      </c>
      <c r="E202" s="1" t="s">
        <v>6850</v>
      </c>
      <c r="F202" s="1" t="str">
        <f>VLOOKUP(G202,ОКТМО!B:M,12,0)</f>
        <v>Ынахсыт</v>
      </c>
      <c r="G202" s="1">
        <v>98626420101</v>
      </c>
      <c r="H202" s="1" t="str">
        <f>VLOOKUP(G202,ОКТМО!N:R,4,0)</f>
        <v>63.5686111111111</v>
      </c>
      <c r="I202" s="1" t="str">
        <f>VLOOKUP(G202,ОКТМО!N:R,5,0)</f>
        <v>119.205</v>
      </c>
      <c r="J202" s="1" t="s">
        <v>535</v>
      </c>
      <c r="K202" s="1">
        <v>476</v>
      </c>
      <c r="L202" s="1">
        <v>189</v>
      </c>
      <c r="M202" s="1">
        <v>3</v>
      </c>
      <c r="N202" s="88" t="s">
        <v>535</v>
      </c>
      <c r="O202" s="1" t="s">
        <v>535</v>
      </c>
      <c r="P202" s="88" t="s">
        <v>535</v>
      </c>
      <c r="Q202" s="1">
        <v>1</v>
      </c>
      <c r="R202" s="88" t="s">
        <v>535</v>
      </c>
      <c r="S202" s="1" t="s">
        <v>535</v>
      </c>
      <c r="T202" s="1" t="str">
        <f t="shared" si="3"/>
        <v>Ынахсыт</v>
      </c>
    </row>
    <row r="203" spans="1:20">
      <c r="A203" s="1">
        <v>33</v>
      </c>
      <c r="C203" s="23" t="s">
        <v>6855</v>
      </c>
      <c r="D203" s="23" t="str">
        <f>VLOOKUP(G203,ОКТМО!B:G,6,0)</f>
        <v>Верхневилюйский муниципальный район</v>
      </c>
      <c r="E203" s="1" t="s">
        <v>6850</v>
      </c>
      <c r="F203" s="1" t="str">
        <f>VLOOKUP(G203,ОКТМО!B:M,12,0)</f>
        <v>Сайылык</v>
      </c>
      <c r="G203" s="1">
        <v>98614440101</v>
      </c>
      <c r="H203" s="1" t="str">
        <f>VLOOKUP(G203,ОКТМО!N:R,4,0)</f>
        <v>63.8430555555556</v>
      </c>
      <c r="I203" s="1" t="str">
        <f>VLOOKUP(G203,ОКТМО!N:R,5,0)</f>
        <v>120.063611111111</v>
      </c>
      <c r="J203" s="1" t="s">
        <v>535</v>
      </c>
      <c r="K203" s="1">
        <v>665</v>
      </c>
      <c r="L203" s="1">
        <v>171</v>
      </c>
      <c r="M203" s="1">
        <v>4</v>
      </c>
      <c r="N203" s="88" t="s">
        <v>535</v>
      </c>
      <c r="O203" s="1" t="s">
        <v>535</v>
      </c>
      <c r="P203" s="88" t="s">
        <v>535</v>
      </c>
      <c r="Q203" s="1">
        <v>2</v>
      </c>
      <c r="R203" s="88" t="s">
        <v>535</v>
      </c>
      <c r="S203" s="1" t="s">
        <v>535</v>
      </c>
      <c r="T203" s="1" t="str">
        <f t="shared" si="3"/>
        <v>Сайылык</v>
      </c>
    </row>
    <row r="204" spans="1:20" ht="45">
      <c r="A204" s="1">
        <v>34</v>
      </c>
      <c r="C204" s="23" t="s">
        <v>6855</v>
      </c>
      <c r="D204" s="23" t="str">
        <f>VLOOKUP(G204,ОКТМО!B:G,6,0)</f>
        <v>Верхневилюйский муниципальный район</v>
      </c>
      <c r="E204" s="1" t="s">
        <v>6850</v>
      </c>
      <c r="F204" s="1" t="str">
        <f>VLOOKUP(G204,ОКТМО!B:M,12,0)</f>
        <v>Хоро</v>
      </c>
      <c r="G204" s="1">
        <v>98614486101</v>
      </c>
      <c r="H204" s="1" t="str">
        <f>VLOOKUP(G204,ОКТМО!N:R,4,0)</f>
        <v>63.5358333333333</v>
      </c>
      <c r="I204" s="1" t="str">
        <f>VLOOKUP(G204,ОКТМО!N:R,5,0)</f>
        <v>120.1875</v>
      </c>
      <c r="J204" s="1">
        <v>1209</v>
      </c>
      <c r="K204" s="1">
        <v>1230</v>
      </c>
      <c r="L204" s="1">
        <v>266</v>
      </c>
      <c r="M204" s="1">
        <v>16</v>
      </c>
      <c r="N204" s="88" t="s">
        <v>535</v>
      </c>
      <c r="O204" s="1">
        <v>2</v>
      </c>
      <c r="P204" s="88" t="s">
        <v>6962</v>
      </c>
      <c r="Q204" s="1">
        <v>1</v>
      </c>
      <c r="R204" s="88" t="s">
        <v>535</v>
      </c>
      <c r="S204" s="1" t="s">
        <v>535</v>
      </c>
      <c r="T204" s="1" t="str">
        <f t="shared" si="3"/>
        <v>Хоро</v>
      </c>
    </row>
    <row r="205" spans="1:20" ht="60">
      <c r="A205" s="1">
        <v>35</v>
      </c>
      <c r="C205" s="23" t="s">
        <v>6855</v>
      </c>
      <c r="D205" s="23" t="str">
        <f>VLOOKUP(G205,ОКТМО!B:G,6,0)</f>
        <v>Верхневилюйский муниципальный район</v>
      </c>
      <c r="E205" s="1" t="s">
        <v>6850</v>
      </c>
      <c r="F205" s="1" t="str">
        <f>VLOOKUP(G205,ОКТМО!B:M,12,0)</f>
        <v>Верхневилюйск</v>
      </c>
      <c r="G205" s="1">
        <v>98614412101</v>
      </c>
      <c r="H205" s="1" t="str">
        <f>VLOOKUP(G205,ОКТМО!N:R,4,0)</f>
        <v>63.4447222222222</v>
      </c>
      <c r="I205" s="1" t="str">
        <f>VLOOKUP(G205,ОКТМО!N:R,5,0)</f>
        <v>120.319722222222</v>
      </c>
      <c r="J205" s="1">
        <v>1450</v>
      </c>
      <c r="K205" s="1">
        <v>6601</v>
      </c>
      <c r="L205" s="1">
        <v>2064</v>
      </c>
      <c r="M205" s="1">
        <v>93</v>
      </c>
      <c r="N205" s="88" t="s">
        <v>535</v>
      </c>
      <c r="O205" s="1">
        <v>3</v>
      </c>
      <c r="P205" s="88" t="s">
        <v>6963</v>
      </c>
      <c r="Q205" s="1">
        <v>18</v>
      </c>
      <c r="R205" s="88" t="s">
        <v>535</v>
      </c>
      <c r="S205" s="1" t="s">
        <v>535</v>
      </c>
      <c r="T205" s="1" t="str">
        <f t="shared" si="3"/>
        <v>Верхневилюйск</v>
      </c>
    </row>
    <row r="206" spans="1:20">
      <c r="A206" s="1">
        <v>36</v>
      </c>
      <c r="C206" s="23" t="s">
        <v>6855</v>
      </c>
      <c r="D206" s="23" t="str">
        <f>VLOOKUP(G206,ОКТМО!B:G,6,0)</f>
        <v>Верхневилюйский муниципальный район</v>
      </c>
      <c r="E206" s="1" t="s">
        <v>6850</v>
      </c>
      <c r="F206" s="1" t="str">
        <f>VLOOKUP(G206,ОКТМО!B:M,12,0)</f>
        <v>Хомустах</v>
      </c>
      <c r="G206" s="1">
        <v>98614445101</v>
      </c>
      <c r="H206" s="1" t="str">
        <f>VLOOKUP(G206,ОКТМО!N:R,4,0)</f>
        <v>63.475</v>
      </c>
      <c r="I206" s="1" t="str">
        <f>VLOOKUP(G206,ОКТМО!N:R,5,0)</f>
        <v>120.530555555556</v>
      </c>
      <c r="J206" s="1" t="s">
        <v>535</v>
      </c>
      <c r="K206" s="1">
        <v>215</v>
      </c>
      <c r="L206" s="1">
        <v>57</v>
      </c>
      <c r="M206" s="1">
        <v>12</v>
      </c>
      <c r="N206" s="88" t="s">
        <v>535</v>
      </c>
      <c r="O206" s="1" t="s">
        <v>535</v>
      </c>
      <c r="P206" s="88" t="s">
        <v>535</v>
      </c>
      <c r="Q206" s="1">
        <v>2</v>
      </c>
      <c r="R206" s="88" t="s">
        <v>535</v>
      </c>
      <c r="S206" s="1" t="s">
        <v>535</v>
      </c>
      <c r="T206" s="1" t="str">
        <f t="shared" si="3"/>
        <v>Хомустах</v>
      </c>
    </row>
    <row r="207" spans="1:20">
      <c r="A207" s="1">
        <v>37</v>
      </c>
      <c r="C207" s="23" t="s">
        <v>6855</v>
      </c>
      <c r="D207" s="23" t="str">
        <f>VLOOKUP(G207,ОКТМО!B:G,6,0)</f>
        <v>Верхневилюйский муниципальный район</v>
      </c>
      <c r="E207" s="1" t="s">
        <v>6850</v>
      </c>
      <c r="F207" s="1" t="str">
        <f>VLOOKUP(G207,ОКТМО!B:M,12,0)</f>
        <v>Тамалакан</v>
      </c>
      <c r="G207" s="1">
        <v>98614469101</v>
      </c>
      <c r="H207" s="1" t="str">
        <f>VLOOKUP(G207,ОКТМО!N:R,4,0)</f>
        <v>63.5155555555556</v>
      </c>
      <c r="I207" s="1" t="str">
        <f>VLOOKUP(G207,ОКТМО!N:R,5,0)</f>
        <v>120.838611111111</v>
      </c>
      <c r="J207" s="1" t="s">
        <v>535</v>
      </c>
      <c r="K207" s="1">
        <v>652</v>
      </c>
      <c r="L207" s="1">
        <v>163</v>
      </c>
      <c r="M207" s="1">
        <v>8</v>
      </c>
      <c r="N207" s="88" t="s">
        <v>535</v>
      </c>
      <c r="O207" s="1" t="s">
        <v>535</v>
      </c>
      <c r="P207" s="88" t="s">
        <v>535</v>
      </c>
      <c r="Q207" s="1">
        <v>2</v>
      </c>
      <c r="R207" s="88" t="s">
        <v>535</v>
      </c>
      <c r="S207" s="1" t="s">
        <v>535</v>
      </c>
      <c r="T207" s="1" t="str">
        <f t="shared" si="3"/>
        <v>Тамалакан</v>
      </c>
    </row>
    <row r="208" spans="1:20" ht="60">
      <c r="A208" s="1">
        <v>38</v>
      </c>
      <c r="C208" s="23" t="s">
        <v>6855</v>
      </c>
      <c r="D208" s="23" t="str">
        <f>VLOOKUP(G208,ОКТМО!B:G,6,0)</f>
        <v>Вилюйский муниципальный район</v>
      </c>
      <c r="E208" s="1" t="s">
        <v>6850</v>
      </c>
      <c r="F208" s="1" t="str">
        <f>VLOOKUP(G208,ОКТМО!B:M,12,0)</f>
        <v>Вилюйск</v>
      </c>
      <c r="G208" s="1">
        <v>98618101001</v>
      </c>
      <c r="H208" s="1" t="str">
        <f>VLOOKUP(G208,ОКТМО!N:R,4,0)</f>
        <v>63.75</v>
      </c>
      <c r="I208" s="1" t="str">
        <f>VLOOKUP(G208,ОКТМО!N:R,5,0)</f>
        <v>121.616666666667</v>
      </c>
      <c r="J208" s="1">
        <v>990</v>
      </c>
      <c r="K208" s="1">
        <v>10560</v>
      </c>
      <c r="L208" s="1">
        <v>1094</v>
      </c>
      <c r="M208" s="1">
        <v>18</v>
      </c>
      <c r="N208" s="88" t="s">
        <v>535</v>
      </c>
      <c r="O208" s="1">
        <v>2</v>
      </c>
      <c r="P208" s="88" t="s">
        <v>6964</v>
      </c>
      <c r="Q208" s="1">
        <v>5</v>
      </c>
      <c r="R208" s="88" t="s">
        <v>535</v>
      </c>
      <c r="S208" s="1" t="s">
        <v>535</v>
      </c>
      <c r="T208" s="1" t="str">
        <f t="shared" si="3"/>
        <v>Вилюйск</v>
      </c>
    </row>
    <row r="209" spans="1:20" ht="60">
      <c r="A209" s="1">
        <v>39</v>
      </c>
      <c r="C209" s="23" t="s">
        <v>6855</v>
      </c>
      <c r="D209" s="23" t="str">
        <f>VLOOKUP(G209,ОКТМО!B:G,6,0)</f>
        <v>Вилюйский муниципальный район</v>
      </c>
      <c r="E209" s="1" t="s">
        <v>6850</v>
      </c>
      <c r="F209" s="1" t="str">
        <f>VLOOKUP(G209,ОКТМО!B:M,12,0)</f>
        <v>Кысыл-Сыр</v>
      </c>
      <c r="G209" s="1">
        <v>98618153051</v>
      </c>
      <c r="H209" s="1" t="str">
        <f>VLOOKUP(G209,ОКТМО!N:R,4,0)</f>
        <v>63.8941666666667</v>
      </c>
      <c r="I209" s="1" t="str">
        <f>VLOOKUP(G209,ОКТМО!N:R,5,0)</f>
        <v>122.765833333333</v>
      </c>
      <c r="J209" s="1" t="s">
        <v>535</v>
      </c>
      <c r="K209" s="1">
        <v>3048</v>
      </c>
      <c r="L209" s="1">
        <v>495</v>
      </c>
      <c r="M209" s="1">
        <v>11</v>
      </c>
      <c r="N209" s="88" t="s">
        <v>535</v>
      </c>
      <c r="O209" s="1">
        <v>3</v>
      </c>
      <c r="P209" s="88" t="s">
        <v>6965</v>
      </c>
      <c r="Q209" s="1">
        <v>5</v>
      </c>
      <c r="R209" s="88" t="s">
        <v>535</v>
      </c>
      <c r="S209" s="1" t="s">
        <v>535</v>
      </c>
      <c r="T209" s="1" t="str">
        <f t="shared" si="3"/>
        <v>Кысыл-Сыр</v>
      </c>
    </row>
    <row r="210" spans="1:20">
      <c r="A210" s="1">
        <v>40</v>
      </c>
      <c r="C210" s="23" t="s">
        <v>6855</v>
      </c>
      <c r="D210" s="23" t="str">
        <f>VLOOKUP(G210,ОКТМО!B:G,6,0)</f>
        <v>Кобяйский муниципальный район</v>
      </c>
      <c r="E210" s="1" t="s">
        <v>6850</v>
      </c>
      <c r="F210" s="1" t="str">
        <f>VLOOKUP(G210,ОКТМО!B:M,12,0)</f>
        <v>Аргас</v>
      </c>
      <c r="G210" s="1">
        <v>98624424101</v>
      </c>
      <c r="H210" s="1" t="str">
        <f>VLOOKUP(G210,ОКТМО!N:R,4,0)</f>
        <v>63.9633333333333</v>
      </c>
      <c r="I210" s="1" t="str">
        <f>VLOOKUP(G210,ОКТМО!N:R,5,0)</f>
        <v>126.621944444444</v>
      </c>
      <c r="J210" s="1" t="s">
        <v>535</v>
      </c>
      <c r="K210" s="1">
        <v>572</v>
      </c>
      <c r="L210" s="1">
        <v>167</v>
      </c>
      <c r="M210" s="1">
        <v>4</v>
      </c>
      <c r="N210" s="88" t="s">
        <v>535</v>
      </c>
      <c r="O210" s="1" t="s">
        <v>535</v>
      </c>
      <c r="P210" s="88" t="s">
        <v>535</v>
      </c>
      <c r="Q210" s="1">
        <v>2</v>
      </c>
      <c r="R210" s="88" t="s">
        <v>535</v>
      </c>
      <c r="S210" s="1" t="s">
        <v>535</v>
      </c>
      <c r="T210" s="1" t="str">
        <f t="shared" si="3"/>
        <v>Аргас</v>
      </c>
    </row>
    <row r="211" spans="1:20" ht="45">
      <c r="A211" s="1">
        <v>41</v>
      </c>
      <c r="C211" s="23" t="s">
        <v>6855</v>
      </c>
      <c r="D211" s="23" t="str">
        <f>VLOOKUP(G211,ОКТМО!B:G,6,0)</f>
        <v>Верхнеколымский муниципальный район</v>
      </c>
      <c r="E211" s="1" t="s">
        <v>6849</v>
      </c>
      <c r="F211" s="1" t="str">
        <f>VLOOKUP(G211,ОКТМО!B:M,12,0)</f>
        <v>Зырянка</v>
      </c>
      <c r="G211" s="1">
        <v>98615151051</v>
      </c>
      <c r="H211" s="1" t="str">
        <f>VLOOKUP(G211,ОКТМО!N:R,4,0)</f>
        <v>65.7344444444444</v>
      </c>
      <c r="I211" s="1" t="str">
        <f>VLOOKUP(G211,ОКТМО!N:R,5,0)</f>
        <v>150.897777777778</v>
      </c>
      <c r="J211" s="1">
        <v>770</v>
      </c>
      <c r="K211" s="1">
        <v>2700</v>
      </c>
      <c r="L211" s="1">
        <v>116</v>
      </c>
      <c r="M211" s="1">
        <v>10</v>
      </c>
      <c r="N211" s="88" t="s">
        <v>535</v>
      </c>
      <c r="O211" s="1">
        <v>2</v>
      </c>
      <c r="P211" s="88" t="s">
        <v>6878</v>
      </c>
      <c r="Q211" s="1">
        <v>9</v>
      </c>
      <c r="R211" s="88" t="s">
        <v>535</v>
      </c>
      <c r="S211" s="1" t="s">
        <v>535</v>
      </c>
      <c r="T211" s="1" t="str">
        <f t="shared" si="3"/>
        <v>Зырянка</v>
      </c>
    </row>
    <row r="212" spans="1:20">
      <c r="A212" s="1">
        <v>42</v>
      </c>
      <c r="C212" s="23" t="s">
        <v>6855</v>
      </c>
      <c r="D212" s="23" t="str">
        <f>VLOOKUP(G212,ОКТМО!B:G,6,0)</f>
        <v>Верхнеколымский муниципальный район</v>
      </c>
      <c r="E212" s="1" t="s">
        <v>6849</v>
      </c>
      <c r="F212" s="1" t="str">
        <f>VLOOKUP(G212,ОКТМО!B:M,12,0)</f>
        <v>Верхнеколымск</v>
      </c>
      <c r="G212" s="1">
        <v>98615409101</v>
      </c>
      <c r="H212" s="1" t="str">
        <f>VLOOKUP(G212,ОКТМО!N:R,4,0)</f>
        <v>65.7183333333333</v>
      </c>
      <c r="I212" s="1" t="str">
        <f>VLOOKUP(G212,ОКТМО!N:R,5,0)</f>
        <v>150.833055555556</v>
      </c>
      <c r="J212" s="1" t="s">
        <v>535</v>
      </c>
      <c r="K212" s="1">
        <v>347</v>
      </c>
      <c r="L212" s="1">
        <v>43</v>
      </c>
      <c r="M212" s="1">
        <v>3</v>
      </c>
      <c r="N212" s="88" t="s">
        <v>535</v>
      </c>
      <c r="O212" s="1" t="s">
        <v>535</v>
      </c>
      <c r="P212" s="88" t="s">
        <v>535</v>
      </c>
      <c r="Q212" s="1">
        <v>1</v>
      </c>
      <c r="R212" s="88" t="s">
        <v>535</v>
      </c>
      <c r="S212" s="1" t="s">
        <v>535</v>
      </c>
      <c r="T212" s="1" t="str">
        <f t="shared" si="3"/>
        <v>Верхнеколымск</v>
      </c>
    </row>
    <row r="213" spans="1:20">
      <c r="A213" s="1">
        <v>43</v>
      </c>
      <c r="C213" s="23" t="s">
        <v>6855</v>
      </c>
      <c r="D213" s="23" t="str">
        <f>VLOOKUP(G213,ОКТМО!B:G,6,0)</f>
        <v>Верхнеколымский муниципальный район</v>
      </c>
      <c r="E213" s="1" t="s">
        <v>6849</v>
      </c>
      <c r="F213" s="1" t="str">
        <f>VLOOKUP(G213,ОКТМО!B:M,12,0)</f>
        <v>Нелемное</v>
      </c>
      <c r="G213" s="1">
        <v>98615414101</v>
      </c>
      <c r="H213" s="1" t="str">
        <f>VLOOKUP(G213,ОКТМО!N:R,4,0)</f>
        <v>65.4980555555556</v>
      </c>
      <c r="I213" s="1" t="str">
        <f>VLOOKUP(G213,ОКТМО!N:R,5,0)</f>
        <v>151.078611111111</v>
      </c>
      <c r="J213" s="1" t="s">
        <v>535</v>
      </c>
      <c r="K213" s="1">
        <v>231</v>
      </c>
      <c r="L213" s="1">
        <v>39</v>
      </c>
      <c r="M213" s="1">
        <v>4</v>
      </c>
      <c r="N213" s="88" t="s">
        <v>535</v>
      </c>
      <c r="O213" s="1" t="s">
        <v>535</v>
      </c>
      <c r="P213" s="88" t="s">
        <v>535</v>
      </c>
      <c r="Q213" s="1">
        <v>1</v>
      </c>
      <c r="R213" s="88" t="s">
        <v>535</v>
      </c>
      <c r="S213" s="1" t="s">
        <v>535</v>
      </c>
      <c r="T213" s="1" t="str">
        <f t="shared" si="3"/>
        <v>Нелемное</v>
      </c>
    </row>
    <row r="214" spans="1:20" ht="60">
      <c r="A214" s="1">
        <v>44</v>
      </c>
      <c r="C214" s="23" t="s">
        <v>6855</v>
      </c>
      <c r="D214" s="23" t="str">
        <f>VLOOKUP(G214,ОКТМО!B:G,6,0)</f>
        <v>Горный муниципальный район</v>
      </c>
      <c r="E214" s="1" t="s">
        <v>6848</v>
      </c>
      <c r="F214" s="1" t="str">
        <f>VLOOKUP(G214,ОКТМО!B:M,12,0)</f>
        <v>Ерт</v>
      </c>
      <c r="G214" s="1">
        <v>98620465101</v>
      </c>
      <c r="H214" s="1" t="str">
        <f>VLOOKUP(G214,ОКТМО!N:R,4,0)</f>
        <v>62.0194444444444</v>
      </c>
      <c r="I214" s="1" t="str">
        <f>VLOOKUP(G214,ОКТМО!N:R,5,0)</f>
        <v>125.793888888889</v>
      </c>
      <c r="J214" s="1" t="s">
        <v>535</v>
      </c>
      <c r="K214" s="1">
        <v>30</v>
      </c>
      <c r="L214" s="1">
        <v>5</v>
      </c>
      <c r="M214" s="1">
        <v>2</v>
      </c>
      <c r="N214" s="88" t="s">
        <v>535</v>
      </c>
      <c r="O214" s="1" t="s">
        <v>535</v>
      </c>
      <c r="P214" s="88" t="s">
        <v>535</v>
      </c>
      <c r="Q214" s="1">
        <v>1</v>
      </c>
      <c r="R214" s="88" t="s">
        <v>535</v>
      </c>
      <c r="S214" s="88" t="s">
        <v>6836</v>
      </c>
      <c r="T214" s="1" t="str">
        <f t="shared" si="3"/>
        <v>Ерт</v>
      </c>
    </row>
    <row r="215" spans="1:20">
      <c r="A215" s="1">
        <v>1</v>
      </c>
      <c r="C215" s="23" t="s">
        <v>6856</v>
      </c>
      <c r="D215" s="23" t="str">
        <f>VLOOKUP(G215,ОКТМО!B:G,6,0)</f>
        <v>Ленский муниципальный район</v>
      </c>
      <c r="E215" s="1" t="s">
        <v>11</v>
      </c>
      <c r="F215" s="1" t="str">
        <f>VLOOKUP(G215,ОКТМО!B:M,12,0)</f>
        <v>Ленск</v>
      </c>
      <c r="G215" s="1">
        <v>98627101001</v>
      </c>
      <c r="H215" s="1" t="str">
        <f>VLOOKUP(G215,ОКТМО!N:R,4,0)</f>
        <v>60.7244444444444</v>
      </c>
      <c r="I215" s="1" t="str">
        <f>VLOOKUP(G215,ОКТМО!N:R,5,0)</f>
        <v>114.928333333333</v>
      </c>
      <c r="J215" s="1">
        <v>1760</v>
      </c>
      <c r="K215" s="1">
        <v>21057</v>
      </c>
      <c r="L215" s="1">
        <v>2475</v>
      </c>
      <c r="M215" s="1">
        <v>34</v>
      </c>
      <c r="N215" s="88">
        <v>34</v>
      </c>
      <c r="O215" s="1">
        <v>2</v>
      </c>
      <c r="P215" s="88">
        <v>2</v>
      </c>
      <c r="Q215" s="1" t="s">
        <v>535</v>
      </c>
      <c r="R215" s="88" t="s">
        <v>535</v>
      </c>
      <c r="S215" s="88" t="s">
        <v>6861</v>
      </c>
      <c r="T215" s="1" t="str">
        <f t="shared" si="3"/>
        <v>Ленск</v>
      </c>
    </row>
    <row r="216" spans="1:20">
      <c r="A216" s="1">
        <v>2</v>
      </c>
      <c r="C216" s="23" t="s">
        <v>6856</v>
      </c>
      <c r="D216" s="23" t="str">
        <f>VLOOKUP(G216,ОКТМО!B:G,6,0)</f>
        <v>Олекминский муниципальный район</v>
      </c>
      <c r="E216" s="1" t="s">
        <v>11</v>
      </c>
      <c r="F216" s="1" t="str">
        <f>VLOOKUP(G216,ОКТМО!B:M,12,0)</f>
        <v>Олёкминск</v>
      </c>
      <c r="G216" s="1">
        <v>98641101001</v>
      </c>
      <c r="H216" s="1" t="str">
        <f>VLOOKUP(G216,ОКТМО!N:R,4,0)</f>
        <v>60.3752777777778</v>
      </c>
      <c r="I216" s="1" t="str">
        <f>VLOOKUP(G216,ОКТМО!N:R,5,0)</f>
        <v>120.428888888889</v>
      </c>
      <c r="J216" s="1">
        <v>1350</v>
      </c>
      <c r="K216" s="1">
        <v>460</v>
      </c>
      <c r="L216" s="1">
        <v>115</v>
      </c>
      <c r="M216" s="1" t="s">
        <v>535</v>
      </c>
      <c r="N216" s="88" t="s">
        <v>535</v>
      </c>
      <c r="O216" s="1" t="s">
        <v>535</v>
      </c>
      <c r="P216" s="88" t="s">
        <v>535</v>
      </c>
      <c r="Q216" s="1" t="s">
        <v>535</v>
      </c>
      <c r="R216" s="88" t="s">
        <v>535</v>
      </c>
      <c r="S216" s="88" t="s">
        <v>6862</v>
      </c>
      <c r="T216" s="1" t="str">
        <f t="shared" si="3"/>
        <v>Олёкминск</v>
      </c>
    </row>
    <row r="217" spans="1:20">
      <c r="A217" s="1">
        <v>3</v>
      </c>
      <c r="C217" s="23" t="s">
        <v>6856</v>
      </c>
      <c r="D217" s="23" t="str">
        <f>VLOOKUP(G217,ОКТМО!B:G,6,0)</f>
        <v>Таттинский муниципальный район</v>
      </c>
      <c r="E217" s="1" t="s">
        <v>6843</v>
      </c>
      <c r="F217" s="1" t="str">
        <f>VLOOKUP(G217,ОКТМО!B:M,12,0)</f>
        <v>Ытык-Кюёль</v>
      </c>
      <c r="G217" s="1">
        <v>98604445101</v>
      </c>
      <c r="H217" s="1" t="str">
        <f>VLOOKUP(G217,ОКТМО!N:R,4,0)</f>
        <v>62.3602777777778</v>
      </c>
      <c r="I217" s="1" t="str">
        <f>VLOOKUP(G217,ОКТМО!N:R,5,0)</f>
        <v>133.543611111111</v>
      </c>
      <c r="J217" s="1" t="s">
        <v>535</v>
      </c>
      <c r="K217" s="1">
        <v>153</v>
      </c>
      <c r="L217" s="1">
        <v>141</v>
      </c>
      <c r="M217" s="1">
        <v>1</v>
      </c>
      <c r="N217" s="88" t="s">
        <v>6966</v>
      </c>
      <c r="O217" s="1">
        <v>11</v>
      </c>
      <c r="P217" s="88" t="s">
        <v>6967</v>
      </c>
      <c r="Q217" s="1" t="s">
        <v>535</v>
      </c>
      <c r="R217" s="88" t="s">
        <v>535</v>
      </c>
      <c r="S217" s="88" t="s">
        <v>6863</v>
      </c>
      <c r="T217" s="1" t="str">
        <f t="shared" si="3"/>
        <v>Ытык-Кюёль</v>
      </c>
    </row>
    <row r="218" spans="1:20" ht="45">
      <c r="A218" s="1">
        <v>4</v>
      </c>
      <c r="C218" s="23" t="s">
        <v>6856</v>
      </c>
      <c r="D218" s="23" t="str">
        <f>VLOOKUP(G218,ОКТМО!B:G,6,0)</f>
        <v>Горный муниципальный район</v>
      </c>
      <c r="E218" s="1" t="s">
        <v>6860</v>
      </c>
      <c r="F218" s="1" t="str">
        <f>VLOOKUP(G218,ОКТМО!B:M,12,0)</f>
        <v>Бердигестях</v>
      </c>
      <c r="G218" s="1">
        <v>98620410101</v>
      </c>
      <c r="H218" s="1" t="str">
        <f>VLOOKUP(G218,ОКТМО!N:R,4,0)</f>
        <v>62.0947222222222</v>
      </c>
      <c r="I218" s="1" t="str">
        <f>VLOOKUP(G218,ОКТМО!N:R,5,0)</f>
        <v>126.696666666667</v>
      </c>
      <c r="J218" s="1" t="s">
        <v>535</v>
      </c>
      <c r="K218" s="1">
        <v>1712</v>
      </c>
      <c r="L218" s="1">
        <v>622</v>
      </c>
      <c r="M218" s="1">
        <v>19</v>
      </c>
      <c r="N218" s="88">
        <v>19</v>
      </c>
      <c r="O218" s="1" t="s">
        <v>535</v>
      </c>
      <c r="P218" s="88" t="s">
        <v>535</v>
      </c>
      <c r="Q218" s="1">
        <v>10</v>
      </c>
      <c r="R218" s="88">
        <v>10</v>
      </c>
      <c r="S218" s="88" t="s">
        <v>6864</v>
      </c>
      <c r="T218" s="1" t="str">
        <f t="shared" si="3"/>
        <v>Бердигестях</v>
      </c>
    </row>
    <row r="219" spans="1:20" ht="45">
      <c r="A219" s="1">
        <v>5</v>
      </c>
      <c r="C219" s="23" t="s">
        <v>6856</v>
      </c>
      <c r="D219" s="23" t="str">
        <f>VLOOKUP(G219,ОКТМО!B:G,6,0)</f>
        <v>Городской округ Город Якутск</v>
      </c>
      <c r="E219" s="1" t="s">
        <v>6859</v>
      </c>
      <c r="F219" s="1" t="str">
        <f>VLOOKUP(G219,ОКТМО!B:M,12,0)</f>
        <v>Якутск</v>
      </c>
      <c r="G219" s="1">
        <v>98701000001</v>
      </c>
      <c r="H219" s="1" t="str">
        <f>VLOOKUP(G219,ОКТМО!N:R,4,0)</f>
        <v>62.3488888888889</v>
      </c>
      <c r="I219" s="1" t="str">
        <f>VLOOKUP(G219,ОКТМО!N:R,5,0)</f>
        <v>129.968611111111</v>
      </c>
      <c r="J219" s="1" t="s">
        <v>535</v>
      </c>
      <c r="K219" s="1">
        <v>77</v>
      </c>
      <c r="L219" s="1">
        <v>17</v>
      </c>
      <c r="M219" s="1" t="s">
        <v>535</v>
      </c>
      <c r="N219" s="88" t="s">
        <v>535</v>
      </c>
      <c r="O219" s="1" t="s">
        <v>535</v>
      </c>
      <c r="P219" s="88" t="s">
        <v>535</v>
      </c>
      <c r="Q219" s="1">
        <v>11</v>
      </c>
      <c r="R219" s="88" t="s">
        <v>6968</v>
      </c>
      <c r="S219" s="88" t="s">
        <v>6864</v>
      </c>
      <c r="T219" s="1" t="str">
        <f t="shared" si="3"/>
        <v>Якутск</v>
      </c>
    </row>
    <row r="220" spans="1:20" ht="45">
      <c r="A220" s="1">
        <v>6</v>
      </c>
      <c r="C220" s="23" t="s">
        <v>6856</v>
      </c>
      <c r="D220" s="23" t="str">
        <f>VLOOKUP(G220,ОКТМО!B:G,6,0)</f>
        <v>Чурапчинский муниципальный район</v>
      </c>
      <c r="E220" s="1" t="s">
        <v>6858</v>
      </c>
      <c r="F220" s="1" t="str">
        <f>VLOOKUP(G220,ОКТМО!B:M,12,0)</f>
        <v>Чурапча</v>
      </c>
      <c r="G220" s="1">
        <v>98658470101</v>
      </c>
      <c r="H220" s="1" t="str">
        <f>VLOOKUP(G220,ОКТМО!N:R,4,0)</f>
        <v>61.9983333333333</v>
      </c>
      <c r="I220" s="1" t="str">
        <f>VLOOKUP(G220,ОКТМО!N:R,5,0)</f>
        <v>132.4275</v>
      </c>
      <c r="J220" s="1" t="s">
        <v>535</v>
      </c>
      <c r="K220" s="1">
        <v>213</v>
      </c>
      <c r="L220" s="1">
        <v>38</v>
      </c>
      <c r="M220" s="1" t="s">
        <v>535</v>
      </c>
      <c r="N220" s="88" t="s">
        <v>535</v>
      </c>
      <c r="O220" s="1" t="s">
        <v>535</v>
      </c>
      <c r="P220" s="88" t="s">
        <v>535</v>
      </c>
      <c r="Q220" s="1" t="s">
        <v>535</v>
      </c>
      <c r="R220" s="88" t="s">
        <v>535</v>
      </c>
      <c r="S220" s="88" t="s">
        <v>6864</v>
      </c>
      <c r="T220" s="1" t="str">
        <f t="shared" si="3"/>
        <v>Чурапча</v>
      </c>
    </row>
    <row r="221" spans="1:20">
      <c r="A221" s="1">
        <v>7</v>
      </c>
      <c r="C221" s="23" t="s">
        <v>6856</v>
      </c>
      <c r="D221" s="23" t="str">
        <f>VLOOKUP(G221,ОКТМО!B:G,6,0)</f>
        <v>Чурапчинский муниципальный район</v>
      </c>
      <c r="E221" s="1" t="s">
        <v>6857</v>
      </c>
      <c r="F221" s="1" t="str">
        <f>VLOOKUP(G221,ОКТМО!B:M,12,0)</f>
        <v>Дябыла</v>
      </c>
      <c r="G221" s="1">
        <v>98658430101</v>
      </c>
      <c r="H221" s="1" t="str">
        <f>VLOOKUP(G221,ОКТМО!N:R,4,0)</f>
        <v>61.9022222222222</v>
      </c>
      <c r="I221" s="1" t="str">
        <f>VLOOKUP(G221,ОКТМО!N:R,5,0)</f>
        <v>132.354444444444</v>
      </c>
      <c r="J221" s="1" t="s">
        <v>535</v>
      </c>
      <c r="K221" s="1">
        <v>920</v>
      </c>
      <c r="L221" s="1">
        <v>229</v>
      </c>
      <c r="M221" s="1">
        <v>11</v>
      </c>
      <c r="N221" s="88">
        <v>11</v>
      </c>
      <c r="O221" s="1">
        <v>7</v>
      </c>
      <c r="P221" s="88" t="s">
        <v>6969</v>
      </c>
      <c r="Q221" s="1">
        <v>1</v>
      </c>
      <c r="R221" s="88" t="s">
        <v>6908</v>
      </c>
      <c r="S221" s="1" t="s">
        <v>535</v>
      </c>
      <c r="T221" s="1" t="str">
        <f t="shared" si="3"/>
        <v>Дябыла</v>
      </c>
    </row>
  </sheetData>
  <mergeCells count="16">
    <mergeCell ref="A1:X1"/>
    <mergeCell ref="A2:A3"/>
    <mergeCell ref="B2:B3"/>
    <mergeCell ref="C2:C3"/>
    <mergeCell ref="D2:D3"/>
    <mergeCell ref="E2:E3"/>
    <mergeCell ref="F2:F3"/>
    <mergeCell ref="H2:H3"/>
    <mergeCell ref="I2:I3"/>
    <mergeCell ref="J2:J3"/>
    <mergeCell ref="G2:G3"/>
    <mergeCell ref="K2:K3"/>
    <mergeCell ref="L2:S2"/>
    <mergeCell ref="M3:N3"/>
    <mergeCell ref="O3:P3"/>
    <mergeCell ref="Q3:R3"/>
  </mergeCells>
  <conditionalFormatting sqref="J4:S148 J150:S221 J149:M149 O149:S149">
    <cfRule type="cellIs" dxfId="5" priority="1" operator="equal">
      <formula>"NULL"</formula>
    </cfRule>
  </conditionalFormatting>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633C-BC59-4900-8182-1D0CB4CAE7D8}">
  <sheetPr>
    <tabColor rgb="FFFF0000"/>
  </sheetPr>
  <dimension ref="A1:J19"/>
  <sheetViews>
    <sheetView workbookViewId="0">
      <selection activeCell="A2" sqref="A2:J6"/>
    </sheetView>
  </sheetViews>
  <sheetFormatPr defaultColWidth="10.7109375" defaultRowHeight="15"/>
  <cols>
    <col min="1" max="1" width="5.5703125" style="227" customWidth="1"/>
    <col min="2" max="2" width="12.5703125" style="227" customWidth="1"/>
    <col min="3" max="4" width="25.28515625" style="227" customWidth="1"/>
    <col min="5" max="5" width="21.85546875" style="227" customWidth="1"/>
    <col min="6" max="10" width="25.28515625" style="227" customWidth="1"/>
    <col min="11" max="11" width="10.7109375" style="227" bestFit="1" customWidth="1"/>
    <col min="12" max="16384" width="10.7109375" style="227"/>
  </cols>
  <sheetData>
    <row r="1" spans="1:10" s="223" customFormat="1" ht="31.5" customHeight="1">
      <c r="A1" s="269" t="s">
        <v>6595</v>
      </c>
      <c r="B1" s="270"/>
      <c r="C1" s="270"/>
      <c r="D1" s="270"/>
      <c r="E1" s="270"/>
      <c r="F1" s="270"/>
      <c r="G1" s="270"/>
      <c r="H1" s="270"/>
      <c r="I1" s="270"/>
      <c r="J1" s="271"/>
    </row>
    <row r="2" spans="1:10" ht="60">
      <c r="A2" s="224" t="s">
        <v>6596</v>
      </c>
      <c r="B2" s="224" t="s">
        <v>6597</v>
      </c>
      <c r="C2" s="225" t="s">
        <v>5194</v>
      </c>
      <c r="D2" s="226" t="s">
        <v>6598</v>
      </c>
      <c r="E2" s="225" t="s">
        <v>4</v>
      </c>
      <c r="F2" s="224" t="s">
        <v>6599</v>
      </c>
      <c r="G2" s="224" t="s">
        <v>6600</v>
      </c>
      <c r="H2" s="224" t="s">
        <v>6601</v>
      </c>
      <c r="I2" s="225" t="s">
        <v>5193</v>
      </c>
      <c r="J2" s="225" t="s">
        <v>6602</v>
      </c>
    </row>
    <row r="3" spans="1:10">
      <c r="A3" s="228"/>
      <c r="B3" s="228"/>
      <c r="C3" s="228"/>
      <c r="D3" s="228"/>
      <c r="E3" s="228"/>
      <c r="F3" s="228"/>
      <c r="G3" s="228"/>
      <c r="H3" s="228"/>
      <c r="I3" s="228"/>
      <c r="J3" s="228"/>
    </row>
    <row r="4" spans="1:10">
      <c r="A4" s="228"/>
      <c r="B4" s="228"/>
      <c r="C4" s="228"/>
      <c r="D4" s="228"/>
      <c r="E4" s="228"/>
      <c r="F4" s="228"/>
      <c r="G4" s="228"/>
      <c r="H4" s="228"/>
      <c r="I4" s="228"/>
      <c r="J4" s="228"/>
    </row>
    <row r="5" spans="1:10">
      <c r="A5" s="228"/>
      <c r="B5" s="228"/>
      <c r="C5" s="228"/>
      <c r="D5" s="228"/>
      <c r="E5" s="228"/>
      <c r="F5" s="228"/>
      <c r="G5" s="228"/>
      <c r="H5" s="228"/>
      <c r="I5" s="228"/>
      <c r="J5" s="228"/>
    </row>
    <row r="6" spans="1:10">
      <c r="A6" s="228"/>
      <c r="B6" s="228"/>
      <c r="C6" s="228"/>
      <c r="D6" s="228"/>
      <c r="E6" s="228"/>
      <c r="F6" s="228"/>
      <c r="G6" s="228"/>
      <c r="H6" s="228"/>
      <c r="I6" s="228"/>
      <c r="J6" s="228"/>
    </row>
    <row r="7" spans="1:10">
      <c r="A7" s="228"/>
      <c r="B7" s="228"/>
      <c r="C7" s="228"/>
      <c r="D7" s="228"/>
      <c r="E7" s="228"/>
      <c r="F7" s="228"/>
      <c r="G7" s="228"/>
      <c r="H7" s="228"/>
      <c r="I7" s="228"/>
      <c r="J7" s="228"/>
    </row>
    <row r="8" spans="1:10">
      <c r="A8" s="228"/>
      <c r="B8" s="228"/>
      <c r="C8" s="228"/>
      <c r="D8" s="228"/>
      <c r="E8" s="228"/>
      <c r="F8" s="228"/>
      <c r="G8" s="228"/>
      <c r="H8" s="228"/>
      <c r="I8" s="228"/>
      <c r="J8" s="228"/>
    </row>
    <row r="9" spans="1:10">
      <c r="A9" s="228"/>
      <c r="B9" s="228"/>
      <c r="C9" s="228"/>
      <c r="D9" s="228"/>
      <c r="E9" s="228"/>
      <c r="F9" s="228"/>
      <c r="G9" s="228"/>
      <c r="H9" s="228"/>
      <c r="I9" s="228"/>
      <c r="J9" s="228"/>
    </row>
    <row r="10" spans="1:10">
      <c r="A10" s="228"/>
      <c r="B10" s="228"/>
      <c r="C10" s="228"/>
      <c r="D10" s="228"/>
      <c r="E10" s="228"/>
      <c r="F10" s="228"/>
      <c r="G10" s="228"/>
      <c r="H10" s="228"/>
      <c r="I10" s="228"/>
      <c r="J10" s="228"/>
    </row>
    <row r="11" spans="1:10">
      <c r="A11" s="228"/>
      <c r="B11" s="228"/>
      <c r="C11" s="228"/>
      <c r="D11" s="228"/>
      <c r="E11" s="228"/>
      <c r="F11" s="228"/>
      <c r="G11" s="228"/>
      <c r="H11" s="228"/>
      <c r="I11" s="228"/>
      <c r="J11" s="228"/>
    </row>
    <row r="12" spans="1:10">
      <c r="A12" s="228"/>
      <c r="B12" s="228"/>
      <c r="C12" s="228"/>
      <c r="D12" s="228"/>
      <c r="E12" s="228"/>
      <c r="F12" s="228"/>
      <c r="G12" s="228"/>
      <c r="H12" s="228"/>
      <c r="I12" s="228"/>
      <c r="J12" s="228"/>
    </row>
    <row r="13" spans="1:10">
      <c r="A13" s="228"/>
      <c r="B13" s="228"/>
      <c r="C13" s="228"/>
      <c r="D13" s="228"/>
      <c r="E13" s="228"/>
      <c r="F13" s="228"/>
      <c r="G13" s="228"/>
      <c r="H13" s="228"/>
      <c r="I13" s="228"/>
      <c r="J13" s="228"/>
    </row>
    <row r="14" spans="1:10">
      <c r="A14" s="228"/>
      <c r="B14" s="228"/>
      <c r="C14" s="228"/>
      <c r="D14" s="228"/>
      <c r="E14" s="228"/>
      <c r="F14" s="228"/>
      <c r="G14" s="228"/>
      <c r="H14" s="228"/>
      <c r="I14" s="228"/>
      <c r="J14" s="228"/>
    </row>
    <row r="15" spans="1:10">
      <c r="A15" s="228"/>
      <c r="B15" s="228"/>
      <c r="C15" s="228"/>
      <c r="D15" s="228"/>
      <c r="E15" s="228"/>
      <c r="F15" s="228"/>
      <c r="G15" s="228"/>
      <c r="H15" s="228"/>
      <c r="I15" s="228"/>
      <c r="J15" s="228"/>
    </row>
    <row r="16" spans="1:10">
      <c r="A16" s="228"/>
      <c r="B16" s="228"/>
      <c r="C16" s="228"/>
      <c r="D16" s="228"/>
      <c r="E16" s="228"/>
      <c r="F16" s="228"/>
      <c r="G16" s="228"/>
      <c r="H16" s="228"/>
      <c r="I16" s="228"/>
      <c r="J16" s="228"/>
    </row>
    <row r="17" spans="1:10">
      <c r="A17" s="228"/>
      <c r="B17" s="228"/>
      <c r="C17" s="228"/>
      <c r="D17" s="228"/>
      <c r="E17" s="228"/>
      <c r="F17" s="228"/>
      <c r="G17" s="228"/>
      <c r="H17" s="228"/>
      <c r="I17" s="228"/>
      <c r="J17" s="228"/>
    </row>
    <row r="18" spans="1:10">
      <c r="A18" s="228"/>
      <c r="B18" s="228"/>
      <c r="C18" s="228"/>
      <c r="D18" s="228"/>
      <c r="E18" s="228"/>
      <c r="F18" s="228"/>
      <c r="G18" s="228"/>
      <c r="H18" s="228"/>
      <c r="I18" s="228"/>
      <c r="J18" s="228"/>
    </row>
    <row r="19" spans="1:10">
      <c r="A19" s="228"/>
      <c r="B19" s="228"/>
      <c r="C19" s="228"/>
      <c r="D19" s="228"/>
      <c r="E19" s="228"/>
      <c r="F19" s="228"/>
      <c r="G19" s="228"/>
      <c r="H19" s="228"/>
      <c r="I19" s="228"/>
      <c r="J19" s="228"/>
    </row>
  </sheetData>
  <mergeCells count="1">
    <mergeCell ref="A1:J1"/>
  </mergeCells>
  <pageMargins left="0.59055554866790805" right="0.59055554866790805" top="0.59055554866790805" bottom="0.59055554866790805" header="0.5" footer="0.5"/>
  <pageSetup paperSize="9" fitToWidth="0"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11C1-C557-4303-8708-991EE44E6147}">
  <sheetPr>
    <tabColor rgb="FFFF0000"/>
  </sheetPr>
  <dimension ref="A1:V18"/>
  <sheetViews>
    <sheetView workbookViewId="0">
      <selection activeCell="A2" sqref="A2:U6"/>
    </sheetView>
  </sheetViews>
  <sheetFormatPr defaultColWidth="10.7109375" defaultRowHeight="15"/>
  <cols>
    <col min="1" max="1" width="5.140625" style="239" customWidth="1"/>
    <col min="2" max="2" width="9.5703125" style="239" customWidth="1"/>
    <col min="3" max="5" width="13.85546875" style="239" customWidth="1"/>
    <col min="6" max="6" width="21.85546875" style="239" customWidth="1"/>
    <col min="7" max="7" width="10.7109375" style="239"/>
    <col min="8" max="8" width="13.42578125" style="239" customWidth="1"/>
    <col min="9" max="9" width="10.7109375" style="239"/>
    <col min="10" max="10" width="13" style="239" customWidth="1"/>
    <col min="11" max="11" width="10.7109375" style="239"/>
    <col min="12" max="12" width="13.42578125" style="239" customWidth="1"/>
    <col min="13" max="17" width="10.7109375" style="239"/>
    <col min="18" max="18" width="13.42578125" style="239" customWidth="1"/>
    <col min="19" max="19" width="12.5703125" style="239" customWidth="1"/>
    <col min="20" max="20" width="11.7109375" style="239" customWidth="1"/>
    <col min="21" max="21" width="14.42578125" style="239" customWidth="1"/>
    <col min="22" max="16384" width="10.7109375" style="239"/>
  </cols>
  <sheetData>
    <row r="1" spans="1:22" s="230" customFormat="1" ht="15.75">
      <c r="A1" s="272" t="s">
        <v>6603</v>
      </c>
      <c r="B1" s="273"/>
      <c r="C1" s="273"/>
      <c r="D1" s="273"/>
      <c r="E1" s="273"/>
      <c r="F1" s="273"/>
      <c r="G1" s="273"/>
      <c r="H1" s="273"/>
      <c r="I1" s="273"/>
      <c r="J1" s="273"/>
      <c r="K1" s="273"/>
      <c r="L1" s="273"/>
      <c r="M1" s="273"/>
      <c r="N1" s="273"/>
      <c r="O1" s="273"/>
      <c r="P1" s="273"/>
      <c r="Q1" s="273"/>
      <c r="R1" s="273"/>
      <c r="S1" s="273"/>
      <c r="T1" s="273"/>
      <c r="U1" s="274"/>
      <c r="V1" s="229"/>
    </row>
    <row r="2" spans="1:22" s="227" customFormat="1">
      <c r="A2" s="275"/>
      <c r="B2" s="276"/>
      <c r="C2" s="276"/>
      <c r="D2" s="276"/>
      <c r="E2" s="276"/>
      <c r="F2" s="276"/>
      <c r="G2" s="276"/>
      <c r="H2" s="276"/>
      <c r="I2" s="276"/>
      <c r="J2" s="276"/>
      <c r="K2" s="276"/>
      <c r="L2" s="276"/>
      <c r="M2" s="276"/>
      <c r="N2" s="276"/>
      <c r="O2" s="276"/>
      <c r="P2" s="276"/>
      <c r="Q2" s="276"/>
      <c r="R2" s="276"/>
      <c r="S2" s="276"/>
      <c r="T2" s="276"/>
      <c r="U2" s="277"/>
      <c r="V2" s="231"/>
    </row>
    <row r="3" spans="1:22" s="227" customFormat="1" ht="105">
      <c r="A3" s="232"/>
      <c r="B3" s="232" t="s">
        <v>6604</v>
      </c>
      <c r="C3" s="233" t="s">
        <v>6605</v>
      </c>
      <c r="D3" s="233" t="s">
        <v>6606</v>
      </c>
      <c r="E3" s="233" t="s">
        <v>6607</v>
      </c>
      <c r="F3" s="233" t="s">
        <v>6608</v>
      </c>
      <c r="G3" s="232" t="s">
        <v>6609</v>
      </c>
      <c r="H3" s="232" t="s">
        <v>6610</v>
      </c>
      <c r="I3" s="232" t="s">
        <v>6611</v>
      </c>
      <c r="J3" s="232" t="s">
        <v>6612</v>
      </c>
      <c r="K3" s="232" t="s">
        <v>6613</v>
      </c>
      <c r="L3" s="232" t="s">
        <v>6614</v>
      </c>
      <c r="M3" s="232" t="s">
        <v>6615</v>
      </c>
      <c r="N3" s="232" t="s">
        <v>6616</v>
      </c>
      <c r="O3" s="232" t="s">
        <v>6617</v>
      </c>
      <c r="P3" s="232" t="s">
        <v>6618</v>
      </c>
      <c r="Q3" s="232" t="s">
        <v>6619</v>
      </c>
      <c r="R3" s="234" t="s">
        <v>6620</v>
      </c>
      <c r="S3" s="232" t="s">
        <v>6621</v>
      </c>
      <c r="T3" s="232" t="s">
        <v>6622</v>
      </c>
      <c r="U3" s="235" t="s">
        <v>6594</v>
      </c>
      <c r="V3" s="236"/>
    </row>
    <row r="4" spans="1:22" s="227" customFormat="1">
      <c r="A4" s="228">
        <v>1</v>
      </c>
      <c r="B4" s="228"/>
      <c r="C4" s="228"/>
      <c r="D4" s="228"/>
      <c r="E4" s="228"/>
      <c r="F4" s="228"/>
      <c r="G4" s="228"/>
      <c r="H4" s="228"/>
      <c r="I4" s="228"/>
      <c r="J4" s="228"/>
      <c r="K4" s="228"/>
      <c r="L4" s="228"/>
      <c r="M4" s="228"/>
      <c r="N4" s="228"/>
      <c r="O4" s="228"/>
      <c r="P4" s="237"/>
      <c r="Q4" s="237"/>
      <c r="R4" s="237"/>
      <c r="S4" s="237"/>
      <c r="T4" s="237"/>
      <c r="U4" s="238"/>
      <c r="V4" s="231"/>
    </row>
    <row r="5" spans="1:22" s="227" customFormat="1">
      <c r="A5" s="228">
        <v>2</v>
      </c>
      <c r="B5" s="228"/>
      <c r="C5" s="228"/>
      <c r="D5" s="228"/>
      <c r="E5" s="228"/>
      <c r="F5" s="228"/>
      <c r="G5" s="228"/>
      <c r="H5" s="228"/>
      <c r="I5" s="228"/>
      <c r="J5" s="228"/>
      <c r="K5" s="228"/>
      <c r="L5" s="228"/>
      <c r="M5" s="228"/>
      <c r="N5" s="228"/>
      <c r="O5" s="228"/>
      <c r="P5" s="237"/>
      <c r="Q5" s="237"/>
      <c r="R5" s="237"/>
      <c r="S5" s="237"/>
      <c r="T5" s="237"/>
      <c r="U5" s="238"/>
      <c r="V5" s="231"/>
    </row>
    <row r="6" spans="1:22" s="227" customFormat="1">
      <c r="A6" s="228">
        <v>3</v>
      </c>
      <c r="B6" s="228"/>
      <c r="C6" s="228"/>
      <c r="D6" s="228"/>
      <c r="E6" s="228"/>
      <c r="F6" s="228"/>
      <c r="G6" s="228"/>
      <c r="H6" s="228"/>
      <c r="I6" s="228"/>
      <c r="J6" s="228"/>
      <c r="K6" s="228"/>
      <c r="L6" s="228"/>
      <c r="M6" s="228"/>
      <c r="N6" s="228"/>
      <c r="O6" s="228"/>
      <c r="P6" s="237"/>
      <c r="Q6" s="237"/>
      <c r="R6" s="237"/>
      <c r="S6" s="237"/>
      <c r="T6" s="237"/>
      <c r="U6" s="238"/>
      <c r="V6" s="231"/>
    </row>
    <row r="7" spans="1:22" s="227" customFormat="1">
      <c r="A7" s="228">
        <v>4</v>
      </c>
      <c r="B7" s="228"/>
      <c r="C7" s="228"/>
      <c r="D7" s="228"/>
      <c r="E7" s="228"/>
      <c r="F7" s="228"/>
      <c r="G7" s="228"/>
      <c r="H7" s="228"/>
      <c r="I7" s="228"/>
      <c r="J7" s="228"/>
      <c r="K7" s="228"/>
      <c r="L7" s="228"/>
      <c r="M7" s="228"/>
      <c r="N7" s="228"/>
      <c r="O7" s="228"/>
      <c r="P7" s="237"/>
      <c r="Q7" s="237"/>
      <c r="R7" s="237"/>
      <c r="S7" s="237"/>
      <c r="T7" s="237"/>
      <c r="U7" s="238"/>
      <c r="V7" s="231"/>
    </row>
    <row r="8" spans="1:22" s="227" customFormat="1">
      <c r="A8" s="228">
        <v>5</v>
      </c>
      <c r="B8" s="228"/>
      <c r="C8" s="228"/>
      <c r="D8" s="228"/>
      <c r="E8" s="228"/>
      <c r="F8" s="228"/>
      <c r="G8" s="228"/>
      <c r="H8" s="228"/>
      <c r="I8" s="228"/>
      <c r="J8" s="228"/>
      <c r="K8" s="228"/>
      <c r="L8" s="228"/>
      <c r="M8" s="228"/>
      <c r="N8" s="228"/>
      <c r="O8" s="228"/>
      <c r="P8" s="237"/>
      <c r="Q8" s="237"/>
      <c r="R8" s="237"/>
      <c r="S8" s="237"/>
      <c r="T8" s="237"/>
      <c r="U8" s="238"/>
      <c r="V8" s="231"/>
    </row>
    <row r="9" spans="1:22" s="227" customFormat="1">
      <c r="A9" s="228">
        <v>6</v>
      </c>
      <c r="B9" s="228"/>
      <c r="C9" s="228"/>
      <c r="D9" s="228"/>
      <c r="E9" s="228"/>
      <c r="F9" s="228"/>
      <c r="G9" s="228"/>
      <c r="H9" s="228"/>
      <c r="I9" s="228"/>
      <c r="J9" s="228"/>
      <c r="K9" s="228"/>
      <c r="L9" s="228"/>
      <c r="M9" s="228"/>
      <c r="N9" s="228"/>
      <c r="O9" s="228"/>
      <c r="P9" s="237"/>
      <c r="Q9" s="237"/>
      <c r="R9" s="237"/>
      <c r="S9" s="237"/>
      <c r="T9" s="237"/>
      <c r="U9" s="238"/>
      <c r="V9" s="231"/>
    </row>
    <row r="10" spans="1:22" s="227" customFormat="1">
      <c r="A10" s="228"/>
      <c r="B10" s="228"/>
      <c r="C10" s="228"/>
      <c r="D10" s="228"/>
      <c r="E10" s="228"/>
      <c r="F10" s="228"/>
      <c r="G10" s="228"/>
      <c r="H10" s="228"/>
      <c r="I10" s="228"/>
      <c r="J10" s="228"/>
      <c r="K10" s="228"/>
      <c r="L10" s="228"/>
      <c r="M10" s="228"/>
      <c r="N10" s="228"/>
      <c r="O10" s="228"/>
      <c r="P10" s="237"/>
      <c r="Q10" s="237"/>
      <c r="R10" s="237"/>
      <c r="S10" s="237"/>
      <c r="T10" s="237"/>
      <c r="U10" s="238"/>
      <c r="V10" s="231"/>
    </row>
    <row r="11" spans="1:22" s="227" customFormat="1">
      <c r="A11" s="228"/>
      <c r="B11" s="228"/>
      <c r="C11" s="228"/>
      <c r="D11" s="228"/>
      <c r="E11" s="228"/>
      <c r="F11" s="228"/>
      <c r="G11" s="228"/>
      <c r="H11" s="228"/>
      <c r="I11" s="228"/>
      <c r="J11" s="228"/>
      <c r="K11" s="228"/>
      <c r="L11" s="228"/>
      <c r="M11" s="228"/>
      <c r="N11" s="228"/>
      <c r="O11" s="228"/>
      <c r="P11" s="237"/>
      <c r="Q11" s="237"/>
      <c r="R11" s="237"/>
      <c r="S11" s="237"/>
      <c r="T11" s="237"/>
      <c r="U11" s="238"/>
      <c r="V11" s="231"/>
    </row>
    <row r="12" spans="1:22" s="227" customFormat="1">
      <c r="A12" s="228"/>
      <c r="B12" s="228"/>
      <c r="C12" s="228"/>
      <c r="D12" s="228"/>
      <c r="E12" s="228"/>
      <c r="F12" s="228"/>
      <c r="G12" s="228"/>
      <c r="H12" s="228"/>
      <c r="I12" s="228"/>
      <c r="J12" s="228"/>
      <c r="K12" s="228"/>
      <c r="L12" s="228"/>
      <c r="M12" s="228"/>
      <c r="N12" s="228"/>
      <c r="O12" s="228"/>
      <c r="P12" s="237"/>
      <c r="Q12" s="237"/>
      <c r="R12" s="237"/>
      <c r="S12" s="237"/>
      <c r="T12" s="237"/>
      <c r="U12" s="238"/>
      <c r="V12" s="231"/>
    </row>
    <row r="13" spans="1:22" s="227" customFormat="1">
      <c r="A13" s="228"/>
      <c r="B13" s="228"/>
      <c r="C13" s="228"/>
      <c r="D13" s="228"/>
      <c r="E13" s="228"/>
      <c r="F13" s="228"/>
      <c r="G13" s="228"/>
      <c r="H13" s="228"/>
      <c r="I13" s="228"/>
      <c r="J13" s="228"/>
      <c r="K13" s="228"/>
      <c r="L13" s="228"/>
      <c r="M13" s="228"/>
      <c r="N13" s="228"/>
      <c r="O13" s="228"/>
      <c r="P13" s="237"/>
      <c r="Q13" s="237"/>
      <c r="R13" s="237"/>
      <c r="S13" s="237"/>
      <c r="T13" s="237"/>
      <c r="U13" s="238"/>
      <c r="V13" s="231"/>
    </row>
    <row r="18" spans="2:6">
      <c r="B18" s="278" t="s">
        <v>6623</v>
      </c>
      <c r="C18" s="278"/>
      <c r="D18" s="278"/>
      <c r="E18" s="278"/>
      <c r="F18" s="278"/>
    </row>
  </sheetData>
  <mergeCells count="3">
    <mergeCell ref="A1:U1"/>
    <mergeCell ref="A2:U2"/>
    <mergeCell ref="B18:F18"/>
  </mergeCells>
  <pageMargins left="0.59055554866790805" right="0.59055554866790805" top="0.59055554866790805" bottom="0.59055554866790805" header="0.5" footer="0.5"/>
  <pageSetup paperSize="9" fitToWidth="0"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F2892-2FA4-4976-BE4D-3E46D33DEE17}">
  <sheetPr>
    <tabColor rgb="FFFF0000"/>
  </sheetPr>
  <dimension ref="A1:P17"/>
  <sheetViews>
    <sheetView workbookViewId="0">
      <selection activeCell="A2" sqref="A2:K6"/>
    </sheetView>
  </sheetViews>
  <sheetFormatPr defaultColWidth="10.7109375" defaultRowHeight="15"/>
  <cols>
    <col min="1" max="1" width="5.7109375" style="239" customWidth="1"/>
    <col min="2" max="2" width="14" style="239" customWidth="1"/>
    <col min="3" max="3" width="22.5703125" style="239" customWidth="1"/>
    <col min="4" max="16384" width="10.7109375" style="239"/>
  </cols>
  <sheetData>
    <row r="1" spans="1:16" s="240" customFormat="1">
      <c r="A1" s="284" t="s">
        <v>6624</v>
      </c>
      <c r="B1" s="285"/>
      <c r="C1" s="285"/>
      <c r="D1" s="285"/>
      <c r="E1" s="285"/>
      <c r="F1" s="285"/>
      <c r="G1" s="285"/>
      <c r="H1" s="285"/>
      <c r="I1" s="285"/>
      <c r="J1" s="285"/>
      <c r="K1" s="285"/>
      <c r="L1" s="285"/>
      <c r="M1" s="285"/>
      <c r="N1" s="285"/>
      <c r="O1" s="285"/>
      <c r="P1" s="286"/>
    </row>
    <row r="2" spans="1:16" s="241" customFormat="1">
      <c r="A2" s="279"/>
      <c r="B2" s="279" t="s">
        <v>6604</v>
      </c>
      <c r="C2" s="279" t="s">
        <v>6625</v>
      </c>
      <c r="D2" s="279" t="s">
        <v>6626</v>
      </c>
      <c r="E2" s="279" t="s">
        <v>6627</v>
      </c>
      <c r="F2" s="279" t="s">
        <v>6628</v>
      </c>
      <c r="G2" s="283"/>
      <c r="H2" s="279" t="s">
        <v>6629</v>
      </c>
      <c r="I2" s="283"/>
      <c r="J2" s="279" t="s">
        <v>6630</v>
      </c>
      <c r="K2" s="283"/>
      <c r="L2" s="279" t="s">
        <v>6631</v>
      </c>
      <c r="M2" s="282"/>
      <c r="N2" s="282"/>
      <c r="O2" s="282"/>
      <c r="P2" s="283"/>
    </row>
    <row r="3" spans="1:16" s="241" customFormat="1">
      <c r="A3" s="287"/>
      <c r="B3" s="280"/>
      <c r="C3" s="280"/>
      <c r="D3" s="280"/>
      <c r="E3" s="280"/>
      <c r="F3" s="279" t="s">
        <v>6632</v>
      </c>
      <c r="G3" s="279" t="s">
        <v>6633</v>
      </c>
      <c r="H3" s="279" t="s">
        <v>6634</v>
      </c>
      <c r="I3" s="279" t="s">
        <v>6635</v>
      </c>
      <c r="J3" s="279" t="s">
        <v>6636</v>
      </c>
      <c r="K3" s="279" t="s">
        <v>6637</v>
      </c>
      <c r="L3" s="279" t="s">
        <v>6638</v>
      </c>
      <c r="M3" s="279" t="s">
        <v>6639</v>
      </c>
      <c r="N3" s="282"/>
      <c r="O3" s="282"/>
      <c r="P3" s="283"/>
    </row>
    <row r="4" spans="1:16" s="241" customFormat="1">
      <c r="A4" s="287"/>
      <c r="B4" s="280"/>
      <c r="C4" s="280"/>
      <c r="D4" s="280"/>
      <c r="E4" s="280"/>
      <c r="F4" s="280"/>
      <c r="G4" s="280"/>
      <c r="H4" s="280"/>
      <c r="I4" s="280"/>
      <c r="J4" s="280"/>
      <c r="K4" s="280"/>
      <c r="L4" s="280"/>
      <c r="M4" s="279" t="s">
        <v>6640</v>
      </c>
      <c r="N4" s="283"/>
      <c r="O4" s="279" t="s">
        <v>6641</v>
      </c>
      <c r="P4" s="283"/>
    </row>
    <row r="5" spans="1:16" s="241" customFormat="1">
      <c r="A5" s="287"/>
      <c r="B5" s="281"/>
      <c r="C5" s="281"/>
      <c r="D5" s="281"/>
      <c r="E5" s="281"/>
      <c r="F5" s="281"/>
      <c r="G5" s="281"/>
      <c r="H5" s="281"/>
      <c r="I5" s="281"/>
      <c r="J5" s="281"/>
      <c r="K5" s="281"/>
      <c r="L5" s="281"/>
      <c r="M5" s="224" t="s">
        <v>6642</v>
      </c>
      <c r="N5" s="224" t="s">
        <v>6643</v>
      </c>
      <c r="O5" s="224" t="s">
        <v>6642</v>
      </c>
      <c r="P5" s="224" t="s">
        <v>6643</v>
      </c>
    </row>
    <row r="6" spans="1:16">
      <c r="A6" s="242">
        <v>1</v>
      </c>
      <c r="B6" s="243"/>
      <c r="C6" s="243"/>
      <c r="D6" s="243"/>
      <c r="E6" s="243"/>
      <c r="F6" s="243"/>
      <c r="G6" s="243"/>
      <c r="H6" s="243"/>
      <c r="I6" s="243"/>
      <c r="J6" s="243"/>
      <c r="K6" s="243"/>
      <c r="L6" s="243"/>
      <c r="M6" s="243"/>
      <c r="N6" s="243"/>
      <c r="O6" s="243"/>
      <c r="P6" s="243"/>
    </row>
    <row r="7" spans="1:16">
      <c r="A7" s="242">
        <v>2</v>
      </c>
      <c r="B7" s="243"/>
      <c r="C7" s="243"/>
      <c r="D7" s="243"/>
      <c r="E7" s="243"/>
      <c r="F7" s="243"/>
      <c r="G7" s="243"/>
      <c r="H7" s="243"/>
      <c r="I7" s="243"/>
      <c r="J7" s="243"/>
      <c r="K7" s="243"/>
      <c r="L7" s="243"/>
      <c r="M7" s="243"/>
      <c r="N7" s="243"/>
      <c r="O7" s="243"/>
      <c r="P7" s="243"/>
    </row>
    <row r="8" spans="1:16">
      <c r="A8" s="242">
        <v>3</v>
      </c>
      <c r="B8" s="243"/>
      <c r="C8" s="243"/>
      <c r="D8" s="243"/>
      <c r="E8" s="243"/>
      <c r="F8" s="243"/>
      <c r="G8" s="243"/>
      <c r="H8" s="243"/>
      <c r="I8" s="243"/>
      <c r="J8" s="243"/>
      <c r="K8" s="243"/>
      <c r="L8" s="243"/>
      <c r="M8" s="243"/>
      <c r="N8" s="243"/>
      <c r="O8" s="243"/>
      <c r="P8" s="243"/>
    </row>
    <row r="9" spans="1:16">
      <c r="A9" s="242">
        <v>4</v>
      </c>
      <c r="B9" s="243"/>
      <c r="C9" s="243"/>
      <c r="D9" s="243"/>
      <c r="E9" s="243"/>
      <c r="F9" s="243"/>
      <c r="G9" s="243"/>
      <c r="H9" s="243"/>
      <c r="I9" s="243"/>
      <c r="J9" s="243"/>
      <c r="K9" s="243"/>
      <c r="L9" s="243"/>
      <c r="M9" s="243"/>
      <c r="N9" s="243"/>
      <c r="O9" s="243"/>
      <c r="P9" s="243"/>
    </row>
    <row r="10" spans="1:16">
      <c r="A10" s="243"/>
      <c r="B10" s="243"/>
      <c r="C10" s="243"/>
      <c r="D10" s="243"/>
      <c r="E10" s="243"/>
      <c r="F10" s="243"/>
      <c r="G10" s="243"/>
      <c r="H10" s="243"/>
      <c r="I10" s="243"/>
      <c r="J10" s="243"/>
      <c r="K10" s="243"/>
      <c r="L10" s="243"/>
      <c r="M10" s="243"/>
      <c r="N10" s="243"/>
      <c r="O10" s="243"/>
      <c r="P10" s="243"/>
    </row>
    <row r="11" spans="1:16">
      <c r="A11" s="243"/>
      <c r="B11" s="243"/>
      <c r="C11" s="243"/>
      <c r="D11" s="243"/>
      <c r="E11" s="243"/>
      <c r="F11" s="243"/>
      <c r="G11" s="243"/>
      <c r="H11" s="243"/>
      <c r="I11" s="243"/>
      <c r="J11" s="243"/>
      <c r="K11" s="243"/>
      <c r="L11" s="243"/>
      <c r="M11" s="243" t="s">
        <v>6194</v>
      </c>
      <c r="N11" s="243"/>
      <c r="O11" s="243"/>
      <c r="P11" s="243"/>
    </row>
    <row r="12" spans="1:16">
      <c r="A12" s="244"/>
      <c r="B12" s="244"/>
      <c r="C12" s="244"/>
      <c r="D12" s="244"/>
      <c r="E12" s="244"/>
      <c r="F12" s="244"/>
      <c r="G12" s="244"/>
      <c r="H12" s="244"/>
      <c r="I12" s="244"/>
      <c r="J12" s="244"/>
      <c r="K12" s="244"/>
      <c r="L12" s="244"/>
      <c r="M12" s="244"/>
      <c r="N12" s="244"/>
      <c r="O12" s="244"/>
      <c r="P12" s="244"/>
    </row>
    <row r="13" spans="1:16">
      <c r="O13" s="239" t="s">
        <v>6194</v>
      </c>
    </row>
    <row r="15" spans="1:16">
      <c r="C15" s="278" t="s">
        <v>6644</v>
      </c>
      <c r="D15" s="278"/>
      <c r="E15" s="278"/>
      <c r="F15" s="278"/>
      <c r="G15" s="278"/>
      <c r="H15" s="278"/>
    </row>
    <row r="17" spans="16:16">
      <c r="P17" s="239" t="s">
        <v>6194</v>
      </c>
    </row>
  </sheetData>
  <mergeCells count="21">
    <mergeCell ref="A1:P1"/>
    <mergeCell ref="A2:A5"/>
    <mergeCell ref="B2:B5"/>
    <mergeCell ref="C2:C5"/>
    <mergeCell ref="D2:D5"/>
    <mergeCell ref="E2:E5"/>
    <mergeCell ref="F2:G2"/>
    <mergeCell ref="H2:I2"/>
    <mergeCell ref="J2:K2"/>
    <mergeCell ref="L2:P2"/>
    <mergeCell ref="L3:L5"/>
    <mergeCell ref="M3:P3"/>
    <mergeCell ref="M4:N4"/>
    <mergeCell ref="O4:P4"/>
    <mergeCell ref="C15:H15"/>
    <mergeCell ref="F3:F5"/>
    <mergeCell ref="G3:G5"/>
    <mergeCell ref="H3:H5"/>
    <mergeCell ref="I3:I5"/>
    <mergeCell ref="J3:J5"/>
    <mergeCell ref="K3:K5"/>
  </mergeCells>
  <pageMargins left="0.59055554866790805" right="0.59055554866790805" top="0.59055554866790805" bottom="0.59055554866790805" header="0.5" footer="0.5"/>
  <pageSetup paperSize="9"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F433-67B7-440E-9224-2DD816E4A272}">
  <sheetPr>
    <tabColor rgb="FFFF0000"/>
  </sheetPr>
  <dimension ref="A1:V19"/>
  <sheetViews>
    <sheetView workbookViewId="0">
      <selection activeCell="A2" sqref="A2:J6"/>
    </sheetView>
  </sheetViews>
  <sheetFormatPr defaultColWidth="10.7109375" defaultRowHeight="15"/>
  <cols>
    <col min="1" max="1" width="4.7109375" style="239" customWidth="1"/>
    <col min="2" max="7" width="10.7109375" style="239"/>
    <col min="8" max="8" width="15" style="239" customWidth="1"/>
    <col min="9" max="9" width="15.5703125" style="239" customWidth="1"/>
    <col min="10" max="10" width="16.28515625" style="239" customWidth="1"/>
    <col min="11" max="11" width="17" style="239" customWidth="1"/>
    <col min="12" max="12" width="22.42578125" style="239" customWidth="1"/>
    <col min="13" max="13" width="25.5703125" style="239" customWidth="1"/>
    <col min="14" max="16384" width="10.7109375" style="239"/>
  </cols>
  <sheetData>
    <row r="1" spans="1:22" ht="15.75">
      <c r="A1" s="272" t="s">
        <v>6645</v>
      </c>
      <c r="B1" s="273"/>
      <c r="C1" s="273"/>
      <c r="D1" s="273"/>
      <c r="E1" s="273"/>
      <c r="F1" s="273"/>
      <c r="G1" s="273"/>
      <c r="H1" s="273"/>
      <c r="I1" s="273"/>
      <c r="J1" s="273"/>
      <c r="K1" s="273"/>
      <c r="L1" s="273"/>
      <c r="M1" s="274"/>
      <c r="N1" s="245"/>
      <c r="O1" s="245"/>
      <c r="P1" s="246"/>
      <c r="Q1" s="246"/>
      <c r="R1" s="246"/>
      <c r="S1" s="246"/>
      <c r="T1" s="246"/>
      <c r="U1" s="246"/>
      <c r="V1" s="246"/>
    </row>
    <row r="2" spans="1:22">
      <c r="A2" s="291" t="s">
        <v>6194</v>
      </c>
      <c r="B2" s="279" t="s">
        <v>6646</v>
      </c>
      <c r="C2" s="279" t="s">
        <v>6647</v>
      </c>
      <c r="D2" s="288" t="s">
        <v>6648</v>
      </c>
      <c r="E2" s="288" t="s">
        <v>6649</v>
      </c>
      <c r="F2" s="288" t="s">
        <v>6650</v>
      </c>
      <c r="G2" s="288" t="s">
        <v>6651</v>
      </c>
      <c r="H2" s="295"/>
      <c r="I2" s="295"/>
      <c r="J2" s="289"/>
      <c r="K2" s="288" t="s">
        <v>6652</v>
      </c>
      <c r="L2" s="289"/>
      <c r="M2" s="288" t="s">
        <v>6653</v>
      </c>
      <c r="N2" s="247"/>
    </row>
    <row r="3" spans="1:22">
      <c r="A3" s="292"/>
      <c r="B3" s="280"/>
      <c r="C3" s="280"/>
      <c r="D3" s="294"/>
      <c r="E3" s="294"/>
      <c r="F3" s="294"/>
      <c r="G3" s="288" t="s">
        <v>6654</v>
      </c>
      <c r="H3" s="289"/>
      <c r="I3" s="288" t="s">
        <v>6655</v>
      </c>
      <c r="J3" s="289"/>
      <c r="K3" s="288" t="s">
        <v>6656</v>
      </c>
      <c r="L3" s="288" t="s">
        <v>6657</v>
      </c>
      <c r="M3" s="294"/>
      <c r="N3" s="247"/>
    </row>
    <row r="4" spans="1:22" ht="30">
      <c r="A4" s="293"/>
      <c r="B4" s="281"/>
      <c r="C4" s="281"/>
      <c r="D4" s="290"/>
      <c r="E4" s="290"/>
      <c r="F4" s="290"/>
      <c r="G4" s="248" t="s">
        <v>6658</v>
      </c>
      <c r="H4" s="248" t="s">
        <v>6659</v>
      </c>
      <c r="I4" s="248" t="s">
        <v>6660</v>
      </c>
      <c r="J4" s="248" t="s">
        <v>6659</v>
      </c>
      <c r="K4" s="290"/>
      <c r="L4" s="290"/>
      <c r="M4" s="290"/>
      <c r="N4" s="247"/>
    </row>
    <row r="5" spans="1:22">
      <c r="A5" s="249">
        <v>1</v>
      </c>
      <c r="B5" s="250"/>
      <c r="C5" s="250"/>
      <c r="D5" s="250"/>
      <c r="E5" s="250"/>
      <c r="F5" s="250"/>
      <c r="G5" s="250"/>
      <c r="H5" s="250"/>
      <c r="I5" s="250"/>
      <c r="J5" s="250"/>
      <c r="K5" s="250"/>
      <c r="L5" s="250"/>
      <c r="M5" s="250"/>
      <c r="N5" s="247"/>
    </row>
    <row r="6" spans="1:22">
      <c r="A6" s="249">
        <v>2</v>
      </c>
      <c r="B6" s="250"/>
      <c r="C6" s="250"/>
      <c r="D6" s="250"/>
      <c r="E6" s="250"/>
      <c r="F6" s="250"/>
      <c r="G6" s="250"/>
      <c r="H6" s="250"/>
      <c r="I6" s="250"/>
      <c r="J6" s="250"/>
      <c r="K6" s="250"/>
      <c r="L6" s="250"/>
      <c r="M6" s="250"/>
      <c r="N6" s="247"/>
    </row>
    <row r="7" spans="1:22">
      <c r="A7" s="249">
        <v>3</v>
      </c>
      <c r="B7" s="250"/>
      <c r="C7" s="250"/>
      <c r="D7" s="250"/>
      <c r="E7" s="250"/>
      <c r="F7" s="250"/>
      <c r="G7" s="250"/>
      <c r="H7" s="250"/>
      <c r="I7" s="250"/>
      <c r="J7" s="250"/>
      <c r="K7" s="250"/>
      <c r="L7" s="250"/>
      <c r="M7" s="250"/>
      <c r="N7" s="247"/>
    </row>
    <row r="8" spans="1:22">
      <c r="A8" s="249">
        <v>4</v>
      </c>
      <c r="B8" s="250"/>
      <c r="C8" s="250"/>
      <c r="D8" s="250"/>
      <c r="E8" s="250"/>
      <c r="F8" s="250"/>
      <c r="G8" s="250"/>
      <c r="H8" s="250"/>
      <c r="I8" s="250"/>
      <c r="J8" s="250"/>
      <c r="K8" s="250"/>
      <c r="L8" s="250"/>
      <c r="M8" s="250"/>
      <c r="N8" s="247"/>
    </row>
    <row r="9" spans="1:22">
      <c r="A9" s="244"/>
      <c r="B9" s="244"/>
      <c r="C9" s="244"/>
      <c r="D9" s="244"/>
      <c r="E9" s="244"/>
      <c r="F9" s="244"/>
      <c r="G9" s="244"/>
      <c r="H9" s="244"/>
      <c r="I9" s="244"/>
      <c r="J9" s="244"/>
      <c r="K9" s="244" t="s">
        <v>6194</v>
      </c>
      <c r="L9" s="244"/>
      <c r="M9" s="244"/>
    </row>
    <row r="13" spans="1:22">
      <c r="E13" s="278" t="s">
        <v>6661</v>
      </c>
      <c r="F13" s="278"/>
      <c r="G13" s="278"/>
      <c r="H13" s="278"/>
      <c r="I13" s="278"/>
      <c r="J13" s="278"/>
    </row>
    <row r="16" spans="1:22">
      <c r="I16" s="239" t="s">
        <v>6194</v>
      </c>
    </row>
    <row r="17" spans="11:15">
      <c r="O17" s="239" t="s">
        <v>6194</v>
      </c>
    </row>
    <row r="19" spans="11:15">
      <c r="K19" s="239" t="s">
        <v>6194</v>
      </c>
      <c r="N19" s="239" t="s">
        <v>6194</v>
      </c>
    </row>
  </sheetData>
  <mergeCells count="15">
    <mergeCell ref="A1:M1"/>
    <mergeCell ref="A2:A4"/>
    <mergeCell ref="B2:B4"/>
    <mergeCell ref="C2:C4"/>
    <mergeCell ref="D2:D4"/>
    <mergeCell ref="E2:E4"/>
    <mergeCell ref="F2:F4"/>
    <mergeCell ref="G2:J2"/>
    <mergeCell ref="K2:L2"/>
    <mergeCell ref="M2:M4"/>
    <mergeCell ref="G3:H3"/>
    <mergeCell ref="I3:J3"/>
    <mergeCell ref="K3:K4"/>
    <mergeCell ref="L3:L4"/>
    <mergeCell ref="E13:J13"/>
  </mergeCells>
  <pageMargins left="0.39375001192092901" right="0.39375001192092901" top="0.39375001192092901" bottom="0.39375001192092901" header="0.51180553436279297" footer="0.51180553436279297"/>
  <pageSetup paperSize="9" fitToWidth="0"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F972-A3D0-40BC-96EB-184223F4C530}">
  <sheetPr>
    <tabColor rgb="FFFFFF00"/>
  </sheetPr>
  <dimension ref="A1:M224"/>
  <sheetViews>
    <sheetView topLeftCell="A119" zoomScale="85" zoomScaleNormal="85" workbookViewId="0">
      <selection activeCell="C118" sqref="C118"/>
    </sheetView>
  </sheetViews>
  <sheetFormatPr defaultRowHeight="15"/>
  <cols>
    <col min="1" max="1" width="4.140625" style="1" bestFit="1" customWidth="1"/>
    <col min="2" max="2" width="67.85546875" style="1" customWidth="1"/>
    <col min="3" max="3" width="36" style="1" customWidth="1"/>
    <col min="4" max="4" width="27.140625" style="1" customWidth="1"/>
    <col min="5" max="5" width="15.28515625" style="17" customWidth="1"/>
    <col min="6" max="6" width="21.7109375" style="1" customWidth="1"/>
    <col min="7" max="7" width="27.5703125" style="1" customWidth="1"/>
    <col min="8" max="8" width="20.28515625" style="1" customWidth="1"/>
    <col min="9" max="9" width="18.85546875" style="1" bestFit="1" customWidth="1"/>
    <col min="10" max="10" width="15.7109375" style="18" customWidth="1"/>
    <col min="11" max="11" width="15.28515625" style="18" customWidth="1"/>
    <col min="12" max="12" width="19" customWidth="1"/>
    <col min="13" max="13" width="26" customWidth="1"/>
    <col min="41" max="41" width="11" customWidth="1"/>
    <col min="42" max="43" width="17.85546875" customWidth="1"/>
    <col min="44" max="44" width="18" customWidth="1"/>
    <col min="45" max="45" width="26.5703125" customWidth="1"/>
    <col min="46" max="46" width="33.5703125" customWidth="1"/>
  </cols>
  <sheetData>
    <row r="1" spans="1:13" ht="30">
      <c r="A1" s="1" t="s">
        <v>0</v>
      </c>
      <c r="B1" s="2" t="s">
        <v>1</v>
      </c>
      <c r="C1" s="2" t="s">
        <v>2</v>
      </c>
      <c r="D1" s="2" t="s">
        <v>3</v>
      </c>
      <c r="E1" s="3" t="s">
        <v>4</v>
      </c>
      <c r="F1" s="2" t="s">
        <v>5</v>
      </c>
      <c r="G1" s="2" t="s">
        <v>6</v>
      </c>
      <c r="H1" s="2" t="s">
        <v>7</v>
      </c>
      <c r="I1" s="2" t="s">
        <v>8</v>
      </c>
      <c r="J1" s="4" t="s">
        <v>9</v>
      </c>
      <c r="K1" s="4" t="s">
        <v>10</v>
      </c>
      <c r="L1" s="2"/>
      <c r="M1" s="5"/>
    </row>
    <row r="2" spans="1:13">
      <c r="A2" s="1">
        <v>1</v>
      </c>
      <c r="B2" s="1" t="str">
        <f>VLOOKUP(E2,ОКТМО!B:J,6,0)</f>
        <v>Усть-Кутский муниципальный район</v>
      </c>
      <c r="C2" s="1" t="str">
        <f>VLOOKUP(E2,ОКТМО!B:J,9,0)</f>
        <v>Усть-Кутское</v>
      </c>
      <c r="D2" s="1" t="str">
        <f>VLOOKUP(E2,ОКТМО!B:M,12,0)</f>
        <v>Усть-Кут</v>
      </c>
      <c r="E2" s="6">
        <v>25644101001</v>
      </c>
      <c r="F2" s="1" t="s">
        <v>11</v>
      </c>
      <c r="G2" s="1" t="s">
        <v>12</v>
      </c>
      <c r="H2" s="1">
        <v>700</v>
      </c>
      <c r="I2" s="1">
        <v>0</v>
      </c>
      <c r="J2" s="7" t="s">
        <v>13</v>
      </c>
      <c r="K2" s="7" t="s">
        <v>14</v>
      </c>
      <c r="L2" s="8"/>
      <c r="M2" s="9"/>
    </row>
    <row r="3" spans="1:13">
      <c r="A3" s="1">
        <v>2</v>
      </c>
      <c r="B3" s="1" t="str">
        <f>VLOOKUP(E3,ОКТМО!B:J,6,0)</f>
        <v>Киренский муниципальный район</v>
      </c>
      <c r="C3" s="1" t="str">
        <f>VLOOKUP(E3,ОКТМО!B:J,9,0)</f>
        <v>Киренское</v>
      </c>
      <c r="D3" s="1" t="str">
        <f>VLOOKUP(E3,ОКТМО!B:M,12,0)</f>
        <v>Змеиново</v>
      </c>
      <c r="E3" s="6">
        <v>25620101141</v>
      </c>
      <c r="F3" s="1" t="s">
        <v>11</v>
      </c>
      <c r="G3" s="1" t="s">
        <v>15</v>
      </c>
      <c r="H3" s="1">
        <v>680</v>
      </c>
      <c r="I3" s="1">
        <v>0</v>
      </c>
      <c r="J3" s="7" t="s">
        <v>16</v>
      </c>
      <c r="K3" s="7" t="s">
        <v>17</v>
      </c>
      <c r="L3" s="8"/>
    </row>
    <row r="4" spans="1:13">
      <c r="A4" s="1">
        <v>3</v>
      </c>
      <c r="B4" s="1" t="str">
        <f>VLOOKUP(E4,ОКТМО!B:J,6,0)</f>
        <v>Киренский муниципальный район</v>
      </c>
      <c r="C4" s="1" t="str">
        <f>VLOOKUP(E4,ОКТМО!B:J,9,0)</f>
        <v>Межселенные территории Киренского муниципального района, на территории которых расположены земли следующих населенных пунктов: с Улькан, с Красноярово, п Визирный</v>
      </c>
      <c r="D4" s="1" t="str">
        <f>VLOOKUP(E4,ОКТМО!B:M,12,0)</f>
        <v>Визирный</v>
      </c>
      <c r="E4" s="6">
        <v>25620701912</v>
      </c>
      <c r="F4" s="1" t="s">
        <v>11</v>
      </c>
      <c r="G4" s="1" t="s">
        <v>18</v>
      </c>
      <c r="H4" s="1">
        <v>0</v>
      </c>
      <c r="I4" s="1">
        <v>0</v>
      </c>
      <c r="J4" s="7" t="s">
        <v>19</v>
      </c>
      <c r="K4" s="7" t="s">
        <v>20</v>
      </c>
      <c r="L4" s="8"/>
    </row>
    <row r="5" spans="1:13">
      <c r="A5" s="1">
        <v>4</v>
      </c>
      <c r="B5" s="1" t="str">
        <f>VLOOKUP(E5,ОКТМО!B:J,6,0)</f>
        <v>Киренский муниципальный район</v>
      </c>
      <c r="C5" s="1" t="str">
        <f>VLOOKUP(E5,ОКТМО!B:J,9,0)</f>
        <v>Коршуновское</v>
      </c>
      <c r="D5" s="1" t="str">
        <f>VLOOKUP(E5,ОКТМО!B:M,12,0)</f>
        <v>Дарьина</v>
      </c>
      <c r="E5" s="10">
        <v>25620419104</v>
      </c>
      <c r="F5" s="1" t="s">
        <v>11</v>
      </c>
      <c r="G5" s="1" t="s">
        <v>21</v>
      </c>
      <c r="H5" s="1">
        <v>0</v>
      </c>
      <c r="I5" s="1">
        <v>0</v>
      </c>
      <c r="J5" s="1" t="s">
        <v>22</v>
      </c>
      <c r="K5" s="1" t="s">
        <v>23</v>
      </c>
      <c r="L5" s="8"/>
    </row>
    <row r="6" spans="1:13">
      <c r="A6" s="1">
        <v>5</v>
      </c>
      <c r="B6" s="1" t="str">
        <f>VLOOKUP(E6,ОКТМО!B:J,6,0)</f>
        <v>Ленский муниципальный район</v>
      </c>
      <c r="C6" s="1" t="str">
        <f>VLOOKUP(E6,ОКТМО!B:J,9,0)</f>
        <v>поселок Витим</v>
      </c>
      <c r="D6" s="1" t="str">
        <f>VLOOKUP(E6,ОКТМО!B:M,12,0)</f>
        <v>Витим</v>
      </c>
      <c r="E6" s="6">
        <v>98627153051</v>
      </c>
      <c r="F6" s="1" t="s">
        <v>11</v>
      </c>
      <c r="G6" s="1" t="s">
        <v>24</v>
      </c>
      <c r="H6" s="1">
        <v>950</v>
      </c>
      <c r="I6" s="1">
        <v>30</v>
      </c>
      <c r="J6" s="7" t="s">
        <v>25</v>
      </c>
      <c r="K6" s="7" t="s">
        <v>26</v>
      </c>
      <c r="L6" s="8"/>
    </row>
    <row r="7" spans="1:13">
      <c r="A7" s="1">
        <v>6</v>
      </c>
      <c r="B7" s="1" t="str">
        <f>VLOOKUP(E7,ОКТМО!B:J,6,0)</f>
        <v>Ленский муниципальный район</v>
      </c>
      <c r="C7" s="1" t="str">
        <f>VLOOKUP(E7,ОКТМО!B:J,9,0)</f>
        <v>поселок Пеледуй</v>
      </c>
      <c r="D7" s="1" t="str">
        <f>VLOOKUP(E7,ОКТМО!B:M,12,0)</f>
        <v>Пеледуй</v>
      </c>
      <c r="E7" s="6">
        <v>98627157051</v>
      </c>
      <c r="F7" s="1" t="s">
        <v>11</v>
      </c>
      <c r="G7" s="1" t="s">
        <v>27</v>
      </c>
      <c r="H7" s="1">
        <v>1200</v>
      </c>
      <c r="I7" s="1">
        <v>175</v>
      </c>
      <c r="J7" s="7" t="s">
        <v>28</v>
      </c>
      <c r="K7" s="7" t="s">
        <v>29</v>
      </c>
      <c r="L7" s="8"/>
    </row>
    <row r="8" spans="1:13">
      <c r="A8" s="1">
        <v>7</v>
      </c>
      <c r="B8" s="1" t="str">
        <f>VLOOKUP(E8,ОКТМО!B:J,6,0)</f>
        <v>Ленский муниципальный район</v>
      </c>
      <c r="C8" s="1" t="str">
        <f>VLOOKUP(E8,ОКТМО!B:J,9,0)</f>
        <v>поселок Пеледуй</v>
      </c>
      <c r="D8" s="1" t="str">
        <f>VLOOKUP(E8,ОКТМО!B:M,12,0)</f>
        <v>Крестовский лесоучасток</v>
      </c>
      <c r="E8" s="6">
        <v>98627157106</v>
      </c>
      <c r="F8" s="1" t="s">
        <v>11</v>
      </c>
      <c r="G8" s="1" t="s">
        <v>30</v>
      </c>
      <c r="H8" s="1">
        <v>1760</v>
      </c>
      <c r="I8" s="1">
        <v>0</v>
      </c>
      <c r="J8" s="7" t="s">
        <v>31</v>
      </c>
      <c r="K8" s="7" t="s">
        <v>32</v>
      </c>
      <c r="L8" s="8"/>
    </row>
    <row r="9" spans="1:13">
      <c r="A9" s="1">
        <v>8</v>
      </c>
      <c r="B9" s="1" t="str">
        <f>VLOOKUP(E9,ОКТМО!B:J,6,0)</f>
        <v>Ленский муниципальный район</v>
      </c>
      <c r="C9" s="1" t="str">
        <f>VLOOKUP(E9,ОКТМО!B:J,9,0)</f>
        <v>Ярославский наслег</v>
      </c>
      <c r="D9" s="1" t="str">
        <f>VLOOKUP(E9,ОКТМО!B:M,12,0)</f>
        <v>Хамра</v>
      </c>
      <c r="E9" s="6">
        <v>98627449106</v>
      </c>
      <c r="F9" s="1" t="s">
        <v>11</v>
      </c>
      <c r="G9" s="1" t="s">
        <v>33</v>
      </c>
      <c r="H9" s="1">
        <v>900</v>
      </c>
      <c r="I9" s="1">
        <v>0</v>
      </c>
      <c r="J9" s="1" t="s">
        <v>34</v>
      </c>
      <c r="K9" s="1" t="s">
        <v>35</v>
      </c>
      <c r="L9" s="8"/>
    </row>
    <row r="10" spans="1:13">
      <c r="A10" s="1">
        <v>9</v>
      </c>
      <c r="B10" s="1" t="str">
        <f>VLOOKUP(E10,ОКТМО!B:J,6,0)</f>
        <v>Ленский муниципальный район</v>
      </c>
      <c r="C10" s="1" t="str">
        <f>VLOOKUP(E10,ОКТМО!B:J,9,0)</f>
        <v>город Ленск</v>
      </c>
      <c r="D10" s="1" t="str">
        <f>VLOOKUP(E10,ОКТМО!B:M,12,0)</f>
        <v>Ленск</v>
      </c>
      <c r="E10" s="6">
        <v>98627101001</v>
      </c>
      <c r="F10" s="1" t="s">
        <v>11</v>
      </c>
      <c r="G10" s="1" t="s">
        <v>36</v>
      </c>
      <c r="H10" s="1">
        <v>1760</v>
      </c>
      <c r="I10" s="1">
        <v>75</v>
      </c>
      <c r="J10" s="7" t="s">
        <v>37</v>
      </c>
      <c r="K10" s="7" t="s">
        <v>38</v>
      </c>
      <c r="L10" s="8"/>
    </row>
    <row r="11" spans="1:13">
      <c r="A11" s="1">
        <v>10</v>
      </c>
      <c r="B11" s="1" t="str">
        <f>VLOOKUP(E11,ОКТМО!B:J,6,0)</f>
        <v>Ленский муниципальный район</v>
      </c>
      <c r="C11" s="1" t="str">
        <f>VLOOKUP(E11,ОКТМО!B:J,9,0)</f>
        <v>Салдыкельский наслег</v>
      </c>
      <c r="D11" s="1" t="str">
        <f>VLOOKUP(E11,ОКТМО!B:M,12,0)</f>
        <v>Мурья</v>
      </c>
      <c r="E11" s="6">
        <v>98627436101</v>
      </c>
      <c r="F11" s="1" t="s">
        <v>11</v>
      </c>
      <c r="G11" s="1" t="s">
        <v>39</v>
      </c>
      <c r="H11" s="1">
        <v>920</v>
      </c>
      <c r="I11" s="1">
        <v>0</v>
      </c>
      <c r="J11" s="1" t="s">
        <v>40</v>
      </c>
      <c r="K11" s="1" t="s">
        <v>41</v>
      </c>
      <c r="L11" s="8"/>
    </row>
    <row r="12" spans="1:13">
      <c r="A12" s="1">
        <v>11</v>
      </c>
      <c r="B12" s="1" t="str">
        <f>VLOOKUP(E12,ОКТМО!B:J,6,0)</f>
        <v>Ленский муниципальный район</v>
      </c>
      <c r="C12" s="1" t="str">
        <f>VLOOKUP(E12,ОКТМО!B:J,9,0)</f>
        <v>Салдыкельский наслег</v>
      </c>
      <c r="D12" s="1" t="str">
        <f>VLOOKUP(E12,ОКТМО!B:M,12,0)</f>
        <v>Батамай</v>
      </c>
      <c r="E12" s="6">
        <v>98627436106</v>
      </c>
      <c r="F12" s="1" t="s">
        <v>11</v>
      </c>
      <c r="G12" s="1" t="s">
        <v>42</v>
      </c>
      <c r="H12" s="1">
        <v>1100</v>
      </c>
      <c r="I12" s="1">
        <v>0</v>
      </c>
      <c r="J12" s="1" t="s">
        <v>43</v>
      </c>
      <c r="K12" s="1" t="s">
        <v>44</v>
      </c>
      <c r="L12" s="8"/>
    </row>
    <row r="13" spans="1:13">
      <c r="A13" s="1">
        <v>12</v>
      </c>
      <c r="B13" s="1" t="str">
        <f>VLOOKUP(E13,ОКТМО!B:J,6,0)</f>
        <v>Ленский муниципальный район</v>
      </c>
      <c r="C13" s="1" t="str">
        <f>VLOOKUP(E13,ОКТМО!B:J,9,0)</f>
        <v>Нюйский наслег</v>
      </c>
      <c r="D13" s="1" t="str">
        <f>VLOOKUP(E13,ОКТМО!B:M,12,0)</f>
        <v>Нюя</v>
      </c>
      <c r="E13" s="6">
        <v>98627430101</v>
      </c>
      <c r="F13" s="1" t="s">
        <v>11</v>
      </c>
      <c r="G13" s="1" t="s">
        <v>45</v>
      </c>
      <c r="H13" s="1">
        <v>1300</v>
      </c>
      <c r="I13" s="1">
        <v>0</v>
      </c>
      <c r="J13" s="7" t="s">
        <v>46</v>
      </c>
      <c r="K13" s="7" t="s">
        <v>47</v>
      </c>
      <c r="L13" s="8"/>
    </row>
    <row r="14" spans="1:13">
      <c r="A14" s="1">
        <v>13</v>
      </c>
      <c r="B14" s="1" t="str">
        <f>VLOOKUP(E14,ОКТМО!B:J,6,0)</f>
        <v>Ленский муниципальный район</v>
      </c>
      <c r="C14" s="1" t="str">
        <f>VLOOKUP(E14,ОКТМО!B:J,9,0)</f>
        <v>Нюйский наслег</v>
      </c>
      <c r="D14" s="1" t="str">
        <f>VLOOKUP(E14,ОКТМО!B:M,12,0)</f>
        <v>Турукта</v>
      </c>
      <c r="E14" s="6">
        <v>98627430106</v>
      </c>
      <c r="F14" s="1" t="s">
        <v>11</v>
      </c>
      <c r="G14" s="1" t="s">
        <v>48</v>
      </c>
      <c r="H14" s="1">
        <v>850</v>
      </c>
      <c r="I14" s="1">
        <v>0</v>
      </c>
      <c r="J14" s="1" t="s">
        <v>49</v>
      </c>
      <c r="K14" s="1" t="s">
        <v>50</v>
      </c>
      <c r="L14" s="8"/>
    </row>
    <row r="15" spans="1:13">
      <c r="A15" s="1">
        <v>14</v>
      </c>
      <c r="B15" s="1" t="str">
        <f>VLOOKUP(E15,ОКТМО!B:J,6,0)</f>
        <v>Олекминский муниципальный район</v>
      </c>
      <c r="C15" s="1" t="str">
        <f>VLOOKUP(E15,ОКТМО!B:J,9,0)</f>
        <v>Мачинский наслег</v>
      </c>
      <c r="D15" s="1" t="str">
        <f>VLOOKUP(E15,ОКТМО!B:M,12,0)</f>
        <v>Мача</v>
      </c>
      <c r="E15" s="6">
        <v>98641440101</v>
      </c>
      <c r="F15" s="1" t="s">
        <v>11</v>
      </c>
      <c r="G15" s="1" t="s">
        <v>51</v>
      </c>
      <c r="H15" s="1">
        <v>1290</v>
      </c>
      <c r="I15" s="1">
        <v>60</v>
      </c>
      <c r="J15" s="7" t="s">
        <v>52</v>
      </c>
      <c r="K15" s="7" t="s">
        <v>53</v>
      </c>
      <c r="L15" s="8"/>
    </row>
    <row r="16" spans="1:13">
      <c r="A16" s="1">
        <v>15</v>
      </c>
      <c r="B16" s="1" t="str">
        <f>VLOOKUP(E16,ОКТМО!B:J,6,0)</f>
        <v>Олекминский муниципальный район</v>
      </c>
      <c r="C16" s="1" t="str">
        <f>VLOOKUP(E16,ОКТМО!B:J,9,0)</f>
        <v>Дельгейский наслег</v>
      </c>
      <c r="D16" s="1" t="str">
        <f>VLOOKUP(E16,ОКТМО!B:M,12,0)</f>
        <v>Дельгей</v>
      </c>
      <c r="E16" s="6">
        <v>98641415101</v>
      </c>
      <c r="F16" s="1" t="s">
        <v>11</v>
      </c>
      <c r="G16" s="1" t="s">
        <v>54</v>
      </c>
      <c r="H16" s="1">
        <v>1000</v>
      </c>
      <c r="I16" s="1">
        <v>0</v>
      </c>
      <c r="J16" s="1" t="s">
        <v>55</v>
      </c>
      <c r="K16" s="1" t="s">
        <v>56</v>
      </c>
      <c r="L16" s="8"/>
    </row>
    <row r="17" spans="1:12">
      <c r="A17" s="1">
        <v>16</v>
      </c>
      <c r="B17" s="1" t="str">
        <f>VLOOKUP(E17,ОКТМО!B:J,6,0)</f>
        <v>Олекминский муниципальный район</v>
      </c>
      <c r="C17" s="1" t="str">
        <f>VLOOKUP(E17,ОКТМО!B:J,9,0)</f>
        <v>Дабанский наслег</v>
      </c>
      <c r="D17" s="1" t="str">
        <f>VLOOKUP(E17,ОКТМО!B:M,12,0)</f>
        <v>Дабан</v>
      </c>
      <c r="E17" s="6">
        <v>98641410101</v>
      </c>
      <c r="F17" s="1" t="s">
        <v>11</v>
      </c>
      <c r="G17" s="1" t="s">
        <v>57</v>
      </c>
      <c r="H17" s="1">
        <v>1000</v>
      </c>
      <c r="I17" s="1">
        <v>0</v>
      </c>
      <c r="J17" s="1" t="s">
        <v>58</v>
      </c>
      <c r="K17" s="1" t="s">
        <v>59</v>
      </c>
      <c r="L17" s="8"/>
    </row>
    <row r="18" spans="1:12">
      <c r="A18" s="1">
        <v>17</v>
      </c>
      <c r="B18" s="1" t="str">
        <f>VLOOKUP(E18,ОКТМО!B:J,6,0)</f>
        <v>Олекминский муниципальный район</v>
      </c>
      <c r="C18" s="1" t="str">
        <f>VLOOKUP(E18,ОКТМО!B:J,9,0)</f>
        <v>Нерюктяйинский 1-й наслег</v>
      </c>
      <c r="D18" s="1" t="str">
        <f>VLOOKUP(E18,ОКТМО!B:M,12,0)</f>
        <v>Нерюктяйинск 1-й</v>
      </c>
      <c r="E18" s="6">
        <v>98641445101</v>
      </c>
      <c r="F18" s="1" t="s">
        <v>11</v>
      </c>
      <c r="G18" s="1" t="s">
        <v>60</v>
      </c>
      <c r="H18" s="1">
        <v>1000</v>
      </c>
      <c r="I18" s="1">
        <v>0</v>
      </c>
      <c r="J18" s="1" t="s">
        <v>61</v>
      </c>
      <c r="K18" s="1" t="s">
        <v>62</v>
      </c>
      <c r="L18" s="8"/>
    </row>
    <row r="19" spans="1:12">
      <c r="A19" s="1">
        <v>18</v>
      </c>
      <c r="B19" s="1" t="str">
        <f>VLOOKUP(E19,ОКТМО!B:J,6,0)</f>
        <v>Олекминский муниципальный район</v>
      </c>
      <c r="C19" s="1" t="str">
        <f>VLOOKUP(E19,ОКТМО!B:J,9,0)</f>
        <v>Кыллахский наслег</v>
      </c>
      <c r="D19" s="1" t="str">
        <f>VLOOKUP(E19,ОКТМО!B:M,12,0)</f>
        <v>Кыллах</v>
      </c>
      <c r="E19" s="6">
        <v>98641430101</v>
      </c>
      <c r="F19" s="1" t="s">
        <v>11</v>
      </c>
      <c r="G19" s="1" t="s">
        <v>63</v>
      </c>
      <c r="H19" s="1">
        <v>1000</v>
      </c>
      <c r="I19" s="1">
        <v>0</v>
      </c>
      <c r="J19" s="1" t="s">
        <v>64</v>
      </c>
      <c r="K19" s="1" t="s">
        <v>65</v>
      </c>
      <c r="L19" s="8"/>
    </row>
    <row r="20" spans="1:12">
      <c r="A20" s="1">
        <v>19</v>
      </c>
      <c r="B20" s="1" t="str">
        <f>VLOOKUP(E20,ОКТМО!B:J,6,0)</f>
        <v>Олекминский муниципальный район</v>
      </c>
      <c r="C20" s="1" t="str">
        <f>VLOOKUP(E20,ОКТМО!B:J,9,0)</f>
        <v>город Олекминск</v>
      </c>
      <c r="D20" s="1" t="str">
        <f>VLOOKUP(E20,ОКТМО!B:M,12,0)</f>
        <v>Олёкминск</v>
      </c>
      <c r="E20" s="6">
        <v>98641101001</v>
      </c>
      <c r="F20" s="1" t="s">
        <v>11</v>
      </c>
      <c r="G20" s="1" t="s">
        <v>66</v>
      </c>
      <c r="H20" s="1">
        <v>1060</v>
      </c>
      <c r="I20" s="1">
        <v>60</v>
      </c>
      <c r="J20" s="7" t="s">
        <v>67</v>
      </c>
      <c r="K20" s="7" t="s">
        <v>68</v>
      </c>
      <c r="L20" s="8"/>
    </row>
    <row r="21" spans="1:12">
      <c r="A21" s="1">
        <v>20</v>
      </c>
      <c r="B21" s="1" t="str">
        <f>VLOOKUP(E21,ОКТМО!B:J,6,0)</f>
        <v>Олекминский муниципальный район</v>
      </c>
      <c r="C21" s="1" t="str">
        <f>VLOOKUP(E21,ОКТМО!B:J,9,0)</f>
        <v>Солянский наслег</v>
      </c>
      <c r="D21" s="1" t="str">
        <f>VLOOKUP(E21,ОКТМО!B:M,12,0)</f>
        <v>Солянка</v>
      </c>
      <c r="E21" s="6">
        <v>98641465101</v>
      </c>
      <c r="F21" s="1" t="s">
        <v>11</v>
      </c>
      <c r="G21" s="1" t="s">
        <v>69</v>
      </c>
      <c r="H21" s="1">
        <v>1445</v>
      </c>
      <c r="I21" s="1">
        <v>0</v>
      </c>
      <c r="J21" s="7" t="s">
        <v>70</v>
      </c>
      <c r="K21" s="7" t="s">
        <v>71</v>
      </c>
      <c r="L21" s="8"/>
    </row>
    <row r="22" spans="1:12">
      <c r="A22" s="1">
        <v>21</v>
      </c>
      <c r="B22" s="1" t="str">
        <f>VLOOKUP(E22,ОКТМО!B:J,6,0)</f>
        <v>Олекминский муниципальный район</v>
      </c>
      <c r="C22" s="1" t="str">
        <f>VLOOKUP(E22,ОКТМО!B:J,9,0)</f>
        <v>Хоринский наслег</v>
      </c>
      <c r="D22" s="1" t="str">
        <f>VLOOKUP(E22,ОКТМО!B:M,12,0)</f>
        <v>Хоринцы</v>
      </c>
      <c r="E22" s="6">
        <v>98641485101</v>
      </c>
      <c r="F22" s="1" t="s">
        <v>11</v>
      </c>
      <c r="G22" s="1" t="s">
        <v>72</v>
      </c>
      <c r="H22" s="1">
        <v>1000</v>
      </c>
      <c r="I22" s="1">
        <v>0</v>
      </c>
      <c r="J22" s="1" t="s">
        <v>73</v>
      </c>
      <c r="K22" s="1" t="s">
        <v>74</v>
      </c>
      <c r="L22" s="8"/>
    </row>
    <row r="23" spans="1:12">
      <c r="A23" s="1">
        <v>22</v>
      </c>
      <c r="B23" s="1" t="str">
        <f>VLOOKUP(E23,ОКТМО!B:J,6,0)</f>
        <v>Олекминский муниципальный район</v>
      </c>
      <c r="C23" s="1" t="str">
        <f>VLOOKUP(E23,ОКТМО!B:J,9,0)</f>
        <v>Урицкий наслег</v>
      </c>
      <c r="D23" s="1" t="str">
        <f>VLOOKUP(E23,ОКТМО!B:M,12,0)</f>
        <v>Хатынг-Тумул</v>
      </c>
      <c r="E23" s="6">
        <v>98641480106</v>
      </c>
      <c r="F23" s="1" t="s">
        <v>11</v>
      </c>
      <c r="G23" s="1" t="s">
        <v>75</v>
      </c>
      <c r="H23" s="1">
        <v>1113</v>
      </c>
      <c r="I23" s="1">
        <v>40</v>
      </c>
      <c r="J23" s="7" t="s">
        <v>76</v>
      </c>
      <c r="K23" s="7" t="s">
        <v>77</v>
      </c>
      <c r="L23" s="8"/>
    </row>
    <row r="24" spans="1:12">
      <c r="A24" s="1">
        <v>23</v>
      </c>
      <c r="B24" s="1" t="str">
        <f>VLOOKUP(E24,ОКТМО!B:J,6,0)</f>
        <v>Олекминский муниципальный район</v>
      </c>
      <c r="C24" s="1" t="str">
        <f>VLOOKUP(E24,ОКТМО!B:J,9,0)</f>
        <v>Саныяхтахский наслег</v>
      </c>
      <c r="D24" s="1" t="str">
        <f>VLOOKUP(E24,ОКТМО!B:M,12,0)</f>
        <v>Саныяхтах</v>
      </c>
      <c r="E24" s="6">
        <v>98641460101</v>
      </c>
      <c r="F24" s="1" t="s">
        <v>11</v>
      </c>
      <c r="G24" s="1" t="s">
        <v>78</v>
      </c>
      <c r="H24" s="1">
        <v>1340</v>
      </c>
      <c r="I24" s="1">
        <v>190</v>
      </c>
      <c r="J24" s="7" t="s">
        <v>79</v>
      </c>
      <c r="K24" s="7" t="s">
        <v>80</v>
      </c>
      <c r="L24" s="8"/>
    </row>
    <row r="25" spans="1:12">
      <c r="A25" s="1">
        <v>24</v>
      </c>
      <c r="B25" s="1" t="str">
        <f>VLOOKUP(E25,ОКТМО!B:J,6,0)</f>
        <v>Хангаласский муниципальный район</v>
      </c>
      <c r="C25" s="1" t="str">
        <f>VLOOKUP(E25,ОКТМО!B:J,9,0)</f>
        <v>Мальжагарский 5-й наслег</v>
      </c>
      <c r="D25" s="1" t="str">
        <f>VLOOKUP(E25,ОКТМО!B:M,12,0)</f>
        <v>Кытыл-Дюра</v>
      </c>
      <c r="E25" s="6">
        <v>98644428101</v>
      </c>
      <c r="F25" s="1" t="s">
        <v>11</v>
      </c>
      <c r="G25" s="1" t="s">
        <v>81</v>
      </c>
      <c r="H25" s="1">
        <v>1631</v>
      </c>
      <c r="I25" s="1">
        <v>0</v>
      </c>
      <c r="J25" s="1" t="s">
        <v>82</v>
      </c>
      <c r="K25" s="1" t="s">
        <v>83</v>
      </c>
      <c r="L25" s="8"/>
    </row>
    <row r="26" spans="1:12">
      <c r="A26" s="1">
        <v>25</v>
      </c>
      <c r="B26" s="1" t="str">
        <f>VLOOKUP(E26,ОКТМО!B:J,6,0)</f>
        <v>Хангаласский муниципальный район</v>
      </c>
      <c r="C26" s="1" t="str">
        <f>VLOOKUP(E26,ОКТМО!B:J,9,0)</f>
        <v>Мальжагарский 4-й наслег</v>
      </c>
      <c r="D26" s="1" t="str">
        <f>VLOOKUP(E26,ОКТМО!B:M,12,0)</f>
        <v>Едей</v>
      </c>
      <c r="E26" s="6">
        <v>98644427101</v>
      </c>
      <c r="F26" s="1" t="s">
        <v>11</v>
      </c>
      <c r="G26" s="1" t="s">
        <v>84</v>
      </c>
      <c r="H26" s="1">
        <v>0</v>
      </c>
      <c r="I26" s="1">
        <v>0</v>
      </c>
      <c r="J26" s="1" t="s">
        <v>85</v>
      </c>
      <c r="K26" s="1" t="s">
        <v>86</v>
      </c>
      <c r="L26" s="8"/>
    </row>
    <row r="27" spans="1:12">
      <c r="A27" s="1">
        <v>26</v>
      </c>
      <c r="B27" s="1" t="str">
        <f>VLOOKUP(E27,ОКТМО!B:J,6,0)</f>
        <v>Хангаласский муниципальный район</v>
      </c>
      <c r="C27" s="1" t="str">
        <f>VLOOKUP(E27,ОКТМО!B:J,9,0)</f>
        <v>Синский наслег</v>
      </c>
      <c r="D27" s="1" t="str">
        <f>VLOOKUP(E27,ОКТМО!B:M,12,0)</f>
        <v>Синск</v>
      </c>
      <c r="E27" s="6">
        <v>98644445101</v>
      </c>
      <c r="F27" s="1" t="s">
        <v>11</v>
      </c>
      <c r="G27" s="1" t="s">
        <v>87</v>
      </c>
      <c r="H27" s="1">
        <v>814</v>
      </c>
      <c r="I27" s="1">
        <v>0</v>
      </c>
      <c r="J27" s="1" t="s">
        <v>88</v>
      </c>
      <c r="K27" s="1" t="s">
        <v>89</v>
      </c>
      <c r="L27" s="8"/>
    </row>
    <row r="28" spans="1:12">
      <c r="A28" s="1">
        <v>27</v>
      </c>
      <c r="B28" s="1" t="str">
        <f>VLOOKUP(E28,ОКТМО!B:J,6,0)</f>
        <v>Хангаласский муниципальный район</v>
      </c>
      <c r="C28" s="1" t="str">
        <f>VLOOKUP(E28,ОКТМО!B:J,9,0)</f>
        <v>Тит-Арынский наслег</v>
      </c>
      <c r="D28" s="1" t="str">
        <f>VLOOKUP(E28,ОКТМО!B:M,12,0)</f>
        <v>Чкалов</v>
      </c>
      <c r="E28" s="6">
        <v>98644450111</v>
      </c>
      <c r="F28" s="1" t="s">
        <v>11</v>
      </c>
      <c r="G28" s="1" t="s">
        <v>90</v>
      </c>
      <c r="H28" s="1">
        <v>386</v>
      </c>
      <c r="I28" s="1">
        <v>0</v>
      </c>
      <c r="J28" s="1" t="s">
        <v>91</v>
      </c>
      <c r="K28" s="1" t="s">
        <v>92</v>
      </c>
      <c r="L28" s="8"/>
    </row>
    <row r="29" spans="1:12">
      <c r="A29" s="1">
        <v>28</v>
      </c>
      <c r="B29" s="1" t="str">
        <f>VLOOKUP(E29,ОКТМО!B:J,6,0)</f>
        <v>Хангаласский муниципальный район</v>
      </c>
      <c r="C29" s="1" t="str">
        <f>VLOOKUP(E29,ОКТМО!B:J,9,0)</f>
        <v>Мальжагарский 1-й наслег</v>
      </c>
      <c r="D29" s="1" t="str">
        <f>VLOOKUP(E29,ОКТМО!B:M,12,0)</f>
        <v>Тойон-Ары</v>
      </c>
      <c r="E29" s="6">
        <v>98644423106</v>
      </c>
      <c r="F29" s="1" t="s">
        <v>11</v>
      </c>
      <c r="G29" s="1" t="s">
        <v>93</v>
      </c>
      <c r="H29" s="1">
        <v>684</v>
      </c>
      <c r="I29" s="1">
        <v>0</v>
      </c>
      <c r="J29" s="1" t="s">
        <v>94</v>
      </c>
      <c r="K29" s="1" t="s">
        <v>95</v>
      </c>
      <c r="L29" s="8"/>
    </row>
    <row r="30" spans="1:12">
      <c r="A30" s="1">
        <v>29</v>
      </c>
      <c r="B30" s="1" t="str">
        <f>VLOOKUP(E30,ОКТМО!B:J,6,0)</f>
        <v>Хангаласский муниципальный район</v>
      </c>
      <c r="C30" s="1" t="str">
        <f>VLOOKUP(E30,ОКТМО!B:J,9,0)</f>
        <v>Качикатский наслег</v>
      </c>
      <c r="D30" s="1" t="str">
        <f>VLOOKUP(E30,ОКТМО!B:M,12,0)</f>
        <v>Кысыл-Юрюйя</v>
      </c>
      <c r="E30" s="6">
        <v>98644418106</v>
      </c>
      <c r="F30" s="1" t="s">
        <v>11</v>
      </c>
      <c r="G30" s="1" t="s">
        <v>96</v>
      </c>
      <c r="H30" s="1">
        <v>1000</v>
      </c>
      <c r="I30" s="1">
        <v>0</v>
      </c>
      <c r="J30" s="1" t="s">
        <v>97</v>
      </c>
      <c r="K30" s="1" t="s">
        <v>98</v>
      </c>
      <c r="L30" s="8"/>
    </row>
    <row r="31" spans="1:12">
      <c r="A31" s="1">
        <v>30</v>
      </c>
      <c r="B31" s="1" t="str">
        <f>VLOOKUP(E31,ОКТМО!B:J,6,0)</f>
        <v>Хангаласский муниципальный район</v>
      </c>
      <c r="C31" s="1" t="str">
        <f>VLOOKUP(E31,ОКТМО!B:J,9,0)</f>
        <v>город Покровск</v>
      </c>
      <c r="D31" s="1" t="str">
        <f>VLOOKUP(E31,ОКТМО!B:M,12,0)</f>
        <v>Покровск</v>
      </c>
      <c r="E31" s="6">
        <v>98644101001</v>
      </c>
      <c r="F31" s="1" t="s">
        <v>11</v>
      </c>
      <c r="G31" s="1" t="s">
        <v>99</v>
      </c>
      <c r="H31" s="1">
        <v>970</v>
      </c>
      <c r="I31" s="1">
        <v>0</v>
      </c>
      <c r="J31" s="7" t="s">
        <v>100</v>
      </c>
      <c r="K31" s="7" t="s">
        <v>101</v>
      </c>
      <c r="L31" s="8"/>
    </row>
    <row r="32" spans="1:12">
      <c r="A32" s="1">
        <v>31</v>
      </c>
      <c r="B32" s="1" t="str">
        <f>VLOOKUP(E32,ОКТМО!B:J,6,0)</f>
        <v>Хангаласский муниципальный район</v>
      </c>
      <c r="C32" s="1" t="str">
        <f>VLOOKUP(E32,ОКТМО!B:J,9,0)</f>
        <v>Жемконский 1-й наслег</v>
      </c>
      <c r="D32" s="1" t="str">
        <f>VLOOKUP(E32,ОКТМО!B:M,12,0)</f>
        <v>Хоточчу</v>
      </c>
      <c r="E32" s="6">
        <v>98644406106</v>
      </c>
      <c r="F32" s="1" t="s">
        <v>11</v>
      </c>
      <c r="G32" s="1" t="s">
        <v>102</v>
      </c>
      <c r="H32" s="1">
        <v>550</v>
      </c>
      <c r="I32" s="1">
        <v>0</v>
      </c>
      <c r="J32" s="1" t="s">
        <v>103</v>
      </c>
      <c r="K32" s="1" t="s">
        <v>104</v>
      </c>
      <c r="L32" s="8"/>
    </row>
    <row r="33" spans="1:12">
      <c r="A33" s="1">
        <v>32</v>
      </c>
      <c r="B33" s="1" t="str">
        <f>VLOOKUP(E33,ОКТМО!B:J,6,0)</f>
        <v>Хангаласский муниципальный район</v>
      </c>
      <c r="C33" s="1" t="str">
        <f>VLOOKUP(E33,ОКТМО!B:J,9,0)</f>
        <v>Октемский наслег</v>
      </c>
      <c r="D33" s="1" t="str">
        <f>VLOOKUP(E33,ОКТМО!B:M,12,0)</f>
        <v>Октёмцы</v>
      </c>
      <c r="E33" s="6">
        <v>98644440101</v>
      </c>
      <c r="F33" s="1" t="s">
        <v>11</v>
      </c>
      <c r="G33" s="1" t="s">
        <v>105</v>
      </c>
      <c r="H33" s="1">
        <v>480</v>
      </c>
      <c r="I33" s="1">
        <v>0</v>
      </c>
      <c r="J33" s="1" t="s">
        <v>106</v>
      </c>
      <c r="K33" s="1" t="s">
        <v>107</v>
      </c>
      <c r="L33" s="8"/>
    </row>
    <row r="34" spans="1:12">
      <c r="A34" s="1">
        <v>33</v>
      </c>
      <c r="B34" s="1" t="str">
        <f>VLOOKUP(E34,ОКТМО!B:J,6,0)</f>
        <v>Мегино-Кангаласский муниципальный район</v>
      </c>
      <c r="C34" s="1" t="str">
        <f>VLOOKUP(E34,ОКТМО!B:J,9,0)</f>
        <v>Рассолодинский наслег</v>
      </c>
      <c r="D34" s="1" t="str">
        <f>VLOOKUP(E34,ОКТМО!B:M,12,0)</f>
        <v>Рассолода</v>
      </c>
      <c r="E34" s="6">
        <v>98629447101</v>
      </c>
      <c r="F34" s="1" t="s">
        <v>11</v>
      </c>
      <c r="G34" s="1" t="s">
        <v>108</v>
      </c>
      <c r="H34" s="1">
        <v>415</v>
      </c>
      <c r="I34" s="1">
        <v>0</v>
      </c>
      <c r="J34" s="1" t="s">
        <v>109</v>
      </c>
      <c r="K34" s="1" t="s">
        <v>110</v>
      </c>
      <c r="L34" s="8"/>
    </row>
    <row r="35" spans="1:12">
      <c r="A35" s="1">
        <v>34</v>
      </c>
      <c r="B35" s="1" t="str">
        <f>VLOOKUP(E35,ОКТМО!B:J,6,0)</f>
        <v>Городской округ Город Якутск</v>
      </c>
      <c r="C35" s="1" t="str">
        <f>VLOOKUP(E35,ОКТМО!B:J,9,0)</f>
        <v>город Якутск</v>
      </c>
      <c r="D35" s="1" t="str">
        <f>VLOOKUP(E35,ОКТМО!B:M,12,0)</f>
        <v>Табага</v>
      </c>
      <c r="E35" s="6">
        <v>98701000116</v>
      </c>
      <c r="F35" s="1" t="s">
        <v>11</v>
      </c>
      <c r="G35" s="1" t="s">
        <v>111</v>
      </c>
      <c r="H35" s="1">
        <v>970</v>
      </c>
      <c r="I35" s="1">
        <v>0</v>
      </c>
      <c r="J35" s="7" t="s">
        <v>112</v>
      </c>
      <c r="K35" s="7" t="s">
        <v>113</v>
      </c>
      <c r="L35" s="8"/>
    </row>
    <row r="36" spans="1:12">
      <c r="A36" s="1">
        <v>35</v>
      </c>
      <c r="B36" s="1" t="str">
        <f>VLOOKUP(E36,ОКТМО!B:J,6,0)</f>
        <v>Мегино-Кангаласский муниципальный район</v>
      </c>
      <c r="C36" s="1" t="str">
        <f>VLOOKUP(E36,ОКТМО!B:J,9,0)</f>
        <v>Хаптагайский наслег</v>
      </c>
      <c r="D36" s="1" t="str">
        <f>VLOOKUP(E36,ОКТМО!B:M,12,0)</f>
        <v>Хаптагай</v>
      </c>
      <c r="E36" s="6">
        <v>98629460101</v>
      </c>
      <c r="F36" s="1" t="s">
        <v>11</v>
      </c>
      <c r="G36" s="1" t="s">
        <v>114</v>
      </c>
      <c r="H36" s="1">
        <v>860</v>
      </c>
      <c r="I36" s="1">
        <v>0</v>
      </c>
      <c r="J36" s="1" t="s">
        <v>115</v>
      </c>
      <c r="K36" s="1" t="s">
        <v>116</v>
      </c>
      <c r="L36" s="8"/>
    </row>
    <row r="37" spans="1:12">
      <c r="A37" s="1">
        <v>36</v>
      </c>
      <c r="B37" s="1" t="str">
        <f>VLOOKUP(E37,ОКТМО!B:J,6,0)</f>
        <v>Городской округ Город Якутск</v>
      </c>
      <c r="C37" s="1" t="str">
        <f>VLOOKUP(E37,ОКТМО!B:J,9,0)</f>
        <v>город Якутск</v>
      </c>
      <c r="D37" s="1" t="str">
        <f>VLOOKUP(E37,ОКТМО!B:M,12,0)</f>
        <v>Хатассы</v>
      </c>
      <c r="E37" s="6">
        <v>98701000141</v>
      </c>
      <c r="F37" s="1" t="s">
        <v>11</v>
      </c>
      <c r="G37" s="1" t="s">
        <v>117</v>
      </c>
      <c r="H37" s="1">
        <v>1000</v>
      </c>
      <c r="I37" s="1">
        <v>0</v>
      </c>
      <c r="J37" s="1" t="s">
        <v>118</v>
      </c>
      <c r="K37" s="1" t="s">
        <v>119</v>
      </c>
      <c r="L37" s="8"/>
    </row>
    <row r="38" spans="1:12">
      <c r="A38" s="1">
        <v>37</v>
      </c>
      <c r="B38" s="1" t="str">
        <f>VLOOKUP(E38,ОКТМО!B:J,6,0)</f>
        <v>Мегино-Кангаласский муниципальный район</v>
      </c>
      <c r="C38" s="1" t="str">
        <f>VLOOKUP(E38,ОКТМО!B:J,9,0)</f>
        <v>Нерюктяйинский наслег</v>
      </c>
      <c r="D38" s="1" t="str">
        <f>VLOOKUP(E38,ОКТМО!B:M,12,0)</f>
        <v>Павловск</v>
      </c>
      <c r="E38" s="6">
        <v>98629445101</v>
      </c>
      <c r="F38" s="1" t="s">
        <v>11</v>
      </c>
      <c r="G38" s="1" t="s">
        <v>120</v>
      </c>
      <c r="H38" s="1">
        <v>1000</v>
      </c>
      <c r="I38" s="1">
        <v>0</v>
      </c>
      <c r="J38" s="1" t="s">
        <v>121</v>
      </c>
      <c r="K38" s="1" t="s">
        <v>122</v>
      </c>
      <c r="L38" s="8"/>
    </row>
    <row r="39" spans="1:12">
      <c r="A39" s="1">
        <v>38</v>
      </c>
      <c r="B39" s="1" t="str">
        <f>VLOOKUP(E39,ОКТМО!B:J,6,0)</f>
        <v>Мегино-Кангаласский муниципальный район</v>
      </c>
      <c r="C39" s="1" t="str">
        <f>VLOOKUP(E39,ОКТМО!B:J,9,0)</f>
        <v>поселок Нижний Бестях</v>
      </c>
      <c r="D39" s="1" t="str">
        <f>VLOOKUP(E39,ОКТМО!B:M,12,0)</f>
        <v>Нижний Бестях</v>
      </c>
      <c r="E39" s="6">
        <v>98629155051</v>
      </c>
      <c r="F39" s="1" t="s">
        <v>11</v>
      </c>
      <c r="G39" s="1" t="s">
        <v>123</v>
      </c>
      <c r="H39" s="1">
        <v>950</v>
      </c>
      <c r="I39" s="1">
        <v>0</v>
      </c>
      <c r="J39" s="1" t="s">
        <v>124</v>
      </c>
      <c r="K39" s="1" t="s">
        <v>125</v>
      </c>
      <c r="L39" s="8"/>
    </row>
    <row r="40" spans="1:12">
      <c r="A40" s="1">
        <v>39</v>
      </c>
      <c r="B40" s="1" t="str">
        <f>VLOOKUP(E40,ОКТМО!B:J,6,0)</f>
        <v>Городской округ Город Якутск</v>
      </c>
      <c r="C40" s="1" t="str">
        <f>VLOOKUP(E40,ОКТМО!B:J,9,0)</f>
        <v>город Якутск</v>
      </c>
      <c r="D40" s="1" t="str">
        <f>VLOOKUP(E40,ОКТМО!B:M,12,0)</f>
        <v>Пригородный</v>
      </c>
      <c r="E40" s="6">
        <v>98701000151</v>
      </c>
      <c r="F40" s="1" t="s">
        <v>11</v>
      </c>
      <c r="G40" s="1" t="s">
        <v>126</v>
      </c>
      <c r="H40" s="1">
        <v>1000</v>
      </c>
      <c r="I40" s="1">
        <v>0</v>
      </c>
      <c r="J40" s="1" t="s">
        <v>127</v>
      </c>
      <c r="K40" s="1" t="s">
        <v>128</v>
      </c>
      <c r="L40" s="8"/>
    </row>
    <row r="41" spans="1:12">
      <c r="A41" s="1">
        <v>40</v>
      </c>
      <c r="B41" s="1" t="str">
        <f>VLOOKUP(E41,ОКТМО!B:J,6,0)</f>
        <v>Городской округ Город Якутск</v>
      </c>
      <c r="C41" s="1" t="str">
        <f>VLOOKUP(E41,ОКТМО!B:J,9,0)</f>
        <v>город Якутск</v>
      </c>
      <c r="D41" s="1" t="str">
        <f>VLOOKUP(E41,ОКТМО!B:M,12,0)</f>
        <v>Якутск</v>
      </c>
      <c r="E41" s="6">
        <v>98701000001</v>
      </c>
      <c r="F41" s="1" t="s">
        <v>11</v>
      </c>
      <c r="G41" s="1" t="s">
        <v>129</v>
      </c>
      <c r="H41" s="1">
        <v>827</v>
      </c>
      <c r="I41" s="1">
        <v>-115</v>
      </c>
      <c r="J41" s="7" t="s">
        <v>130</v>
      </c>
      <c r="K41" s="7" t="s">
        <v>131</v>
      </c>
      <c r="L41" s="8"/>
    </row>
    <row r="42" spans="1:12">
      <c r="A42" s="1">
        <v>41</v>
      </c>
      <c r="B42" s="1" t="str">
        <f>VLOOKUP(E42,ОКТМО!B:J,6,0)</f>
        <v>Хангаласский муниципальный район</v>
      </c>
      <c r="C42" s="1" t="str">
        <f>VLOOKUP(E42,ОКТМО!B:J,9,0)</f>
        <v>Техтюрский наслег</v>
      </c>
      <c r="D42" s="1" t="str">
        <f>VLOOKUP(E42,ОКТМО!B:M,12,0)</f>
        <v>Техтюр</v>
      </c>
      <c r="E42" s="6">
        <v>98644447101</v>
      </c>
      <c r="F42" s="1" t="s">
        <v>11</v>
      </c>
      <c r="G42" s="1" t="s">
        <v>132</v>
      </c>
      <c r="H42" s="1">
        <v>1200</v>
      </c>
      <c r="I42" s="1">
        <v>0</v>
      </c>
      <c r="J42" s="1" t="s">
        <v>133</v>
      </c>
      <c r="K42" s="1" t="s">
        <v>134</v>
      </c>
      <c r="L42" s="8"/>
    </row>
    <row r="43" spans="1:12">
      <c r="A43" s="1">
        <v>42</v>
      </c>
      <c r="B43" s="1" t="str">
        <f>VLOOKUP(E43,ОКТМО!B:J,6,0)</f>
        <v>Городской округ поселок Жатай</v>
      </c>
      <c r="C43" s="1" t="str">
        <f>VLOOKUP(E43,ОКТМО!B:J,9,0)</f>
        <v>Жатай</v>
      </c>
      <c r="D43" s="1" t="str">
        <f>VLOOKUP(E43,ОКТМО!B:M,12,0)</f>
        <v>Жатай</v>
      </c>
      <c r="E43" s="6">
        <v>98702000051</v>
      </c>
      <c r="F43" s="1" t="s">
        <v>11</v>
      </c>
      <c r="G43" s="1" t="s">
        <v>135</v>
      </c>
      <c r="H43" s="1">
        <v>1235</v>
      </c>
      <c r="I43" s="1">
        <v>0</v>
      </c>
      <c r="J43" s="1" t="s">
        <v>136</v>
      </c>
      <c r="K43" s="1" t="s">
        <v>137</v>
      </c>
      <c r="L43" s="8"/>
    </row>
    <row r="44" spans="1:12">
      <c r="A44" s="1">
        <v>43</v>
      </c>
      <c r="B44" s="1" t="str">
        <f>VLOOKUP(E44,ОКТМО!B:J,6,0)</f>
        <v>Городской округ Город Якутск</v>
      </c>
      <c r="C44" s="1" t="str">
        <f>VLOOKUP(E44,ОКТМО!B:J,9,0)</f>
        <v>город Якутск</v>
      </c>
      <c r="D44" s="1" t="str">
        <f>VLOOKUP(E44,ОКТМО!B:M,12,0)</f>
        <v>Тулагино</v>
      </c>
      <c r="E44" s="6">
        <v>98701000121</v>
      </c>
      <c r="F44" s="1" t="s">
        <v>11</v>
      </c>
      <c r="G44" s="1" t="s">
        <v>138</v>
      </c>
      <c r="H44" s="1">
        <v>1207</v>
      </c>
      <c r="I44" s="1">
        <v>0</v>
      </c>
      <c r="J44" s="1" t="s">
        <v>139</v>
      </c>
      <c r="K44" s="1" t="s">
        <v>140</v>
      </c>
      <c r="L44" s="8"/>
    </row>
    <row r="45" spans="1:12">
      <c r="A45" s="1">
        <v>44</v>
      </c>
      <c r="B45" s="1" t="str">
        <f>VLOOKUP(E45,ОКТМО!B:J,6,0)</f>
        <v>Городской округ Город Якутск</v>
      </c>
      <c r="C45" s="1" t="str">
        <f>VLOOKUP(E45,ОКТМО!B:J,9,0)</f>
        <v>город Якутск</v>
      </c>
      <c r="D45" s="1" t="str">
        <f>VLOOKUP(E45,ОКТМО!B:M,12,0)</f>
        <v>Якутск</v>
      </c>
      <c r="E45" s="6">
        <v>98701000001</v>
      </c>
      <c r="F45" s="1" t="s">
        <v>11</v>
      </c>
      <c r="G45" s="1" t="s">
        <v>141</v>
      </c>
      <c r="H45" s="1">
        <v>1000</v>
      </c>
      <c r="I45" s="1">
        <v>120</v>
      </c>
      <c r="J45" s="7" t="s">
        <v>142</v>
      </c>
      <c r="K45" s="7" t="s">
        <v>143</v>
      </c>
      <c r="L45" s="8"/>
    </row>
    <row r="46" spans="1:12">
      <c r="A46" s="1">
        <v>45</v>
      </c>
      <c r="B46" s="1" t="str">
        <f>VLOOKUP(E46,ОКТМО!B:J,6,0)</f>
        <v>Мегино-Кангаласский муниципальный район</v>
      </c>
      <c r="C46" s="1" t="str">
        <f>VLOOKUP(E46,ОКТМО!B:J,9,0)</f>
        <v>Дойдунский наслег</v>
      </c>
      <c r="D46" s="1" t="str">
        <f>VLOOKUP(E46,ОКТМО!B:M,12,0)</f>
        <v>Хапчагай</v>
      </c>
      <c r="E46" s="6">
        <v>98629413101</v>
      </c>
      <c r="F46" s="1" t="s">
        <v>11</v>
      </c>
      <c r="G46" s="1" t="s">
        <v>144</v>
      </c>
      <c r="H46" s="1">
        <v>1000</v>
      </c>
      <c r="I46" s="1">
        <v>0</v>
      </c>
      <c r="J46" s="1" t="s">
        <v>145</v>
      </c>
      <c r="K46" s="1" t="s">
        <v>146</v>
      </c>
      <c r="L46" s="8"/>
    </row>
    <row r="47" spans="1:12">
      <c r="A47" s="1">
        <v>46</v>
      </c>
      <c r="B47" s="1" t="str">
        <f>VLOOKUP(E47,ОКТМО!B:J,6,0)</f>
        <v>Усть-Алданский муниципальный район</v>
      </c>
      <c r="C47" s="1" t="str">
        <f>VLOOKUP(E47,ОКТМО!B:J,9,0)</f>
        <v>Суоттунский наслег</v>
      </c>
      <c r="D47" s="1" t="str">
        <f>VLOOKUP(E47,ОКТМО!B:M,12,0)</f>
        <v>Огородтах</v>
      </c>
      <c r="E47" s="6">
        <v>98652470101</v>
      </c>
      <c r="F47" s="1" t="s">
        <v>11</v>
      </c>
      <c r="G47" s="1" t="s">
        <v>147</v>
      </c>
      <c r="H47" s="1">
        <v>1000</v>
      </c>
      <c r="I47" s="1">
        <v>0</v>
      </c>
      <c r="J47" s="1" t="s">
        <v>148</v>
      </c>
      <c r="K47" s="1" t="s">
        <v>149</v>
      </c>
      <c r="L47" s="8"/>
    </row>
    <row r="48" spans="1:12">
      <c r="A48" s="1">
        <v>47</v>
      </c>
      <c r="B48" s="1" t="str">
        <f>VLOOKUP(E48,ОКТМО!B:J,6,0)</f>
        <v>Усть-Алданский муниципальный район</v>
      </c>
      <c r="C48" s="1" t="str">
        <f>VLOOKUP(E48,ОКТМО!B:J,9,0)</f>
        <v>Суоттунский наслег</v>
      </c>
      <c r="D48" s="1" t="str">
        <f>VLOOKUP(E48,ОКТМО!B:M,12,0)</f>
        <v>Хоногор</v>
      </c>
      <c r="E48" s="6">
        <v>98652470111</v>
      </c>
      <c r="F48" s="1" t="s">
        <v>11</v>
      </c>
      <c r="G48" s="1" t="s">
        <v>150</v>
      </c>
      <c r="H48" s="1">
        <v>1000</v>
      </c>
      <c r="I48" s="1">
        <v>0</v>
      </c>
      <c r="J48" s="1" t="s">
        <v>151</v>
      </c>
      <c r="K48" s="1" t="s">
        <v>152</v>
      </c>
      <c r="L48" s="8"/>
    </row>
    <row r="49" spans="1:12">
      <c r="A49" s="1">
        <v>48</v>
      </c>
      <c r="B49" s="1" t="str">
        <f>VLOOKUP(E49,ОКТМО!B:J,6,0)</f>
        <v>Усть-Алданский муниципальный район</v>
      </c>
      <c r="C49" s="1" t="str">
        <f>VLOOKUP(E49,ОКТМО!B:J,9,0)</f>
        <v>Борогонский наслег</v>
      </c>
      <c r="D49" s="1" t="str">
        <f>VLOOKUP(E49,ОКТМО!B:M,12,0)</f>
        <v>Ары-Тит</v>
      </c>
      <c r="E49" s="6">
        <v>98652415106</v>
      </c>
      <c r="F49" s="1" t="s">
        <v>11</v>
      </c>
      <c r="G49" s="1" t="s">
        <v>153</v>
      </c>
      <c r="H49" s="1">
        <v>1000</v>
      </c>
      <c r="I49" s="1">
        <v>0</v>
      </c>
      <c r="J49" s="1" t="s">
        <v>154</v>
      </c>
      <c r="K49" s="1" t="s">
        <v>155</v>
      </c>
      <c r="L49" s="8"/>
    </row>
    <row r="50" spans="1:12">
      <c r="A50" s="1">
        <v>49</v>
      </c>
      <c r="B50" s="1" t="str">
        <f>VLOOKUP(E50,ОКТМО!B:J,6,0)</f>
        <v>Намский муниципальный район</v>
      </c>
      <c r="C50" s="1" t="str">
        <f>VLOOKUP(E50,ОКТМО!B:J,9,0)</f>
        <v>Едейский наслег</v>
      </c>
      <c r="D50" s="1" t="str">
        <f>VLOOKUP(E50,ОКТМО!B:M,12,0)</f>
        <v>Ымыяхтах</v>
      </c>
      <c r="E50" s="6">
        <v>98635415101</v>
      </c>
      <c r="F50" s="1" t="s">
        <v>11</v>
      </c>
      <c r="G50" s="1" t="s">
        <v>156</v>
      </c>
      <c r="H50" s="1">
        <v>800</v>
      </c>
      <c r="I50" s="1">
        <v>0</v>
      </c>
      <c r="J50" s="1" t="s">
        <v>157</v>
      </c>
      <c r="K50" s="1" t="s">
        <v>158</v>
      </c>
      <c r="L50" s="8"/>
    </row>
    <row r="51" spans="1:12">
      <c r="A51" s="1">
        <v>50</v>
      </c>
      <c r="B51" s="1" t="str">
        <f>VLOOKUP(E51,ОКТМО!B:J,6,0)</f>
        <v>Намский муниципальный район</v>
      </c>
      <c r="C51" s="1" t="str">
        <f>VLOOKUP(E51,ОКТМО!B:J,9,0)</f>
        <v>Хомустахский 1-й наслег</v>
      </c>
      <c r="D51" s="1" t="str">
        <f>VLOOKUP(E51,ОКТМО!B:M,12,0)</f>
        <v>Кысыл-Сыр</v>
      </c>
      <c r="E51" s="6">
        <v>98635465101</v>
      </c>
      <c r="F51" s="1" t="s">
        <v>11</v>
      </c>
      <c r="G51" s="1" t="s">
        <v>159</v>
      </c>
      <c r="H51" s="1">
        <v>1000</v>
      </c>
      <c r="I51" s="1">
        <v>0</v>
      </c>
      <c r="J51" s="1" t="s">
        <v>160</v>
      </c>
      <c r="K51" s="1" t="s">
        <v>161</v>
      </c>
      <c r="L51" s="8"/>
    </row>
    <row r="52" spans="1:12">
      <c r="A52" s="1">
        <v>51</v>
      </c>
      <c r="B52" s="1" t="str">
        <f>VLOOKUP(E52,ОКТМО!B:J,6,0)</f>
        <v>Намский муниципальный район</v>
      </c>
      <c r="C52" s="1" t="str">
        <f>VLOOKUP(E52,ОКТМО!B:J,9,0)</f>
        <v>Партизанский наслег</v>
      </c>
      <c r="D52" s="1" t="str">
        <f>VLOOKUP(E52,ОКТМО!B:M,12,0)</f>
        <v>Партизан</v>
      </c>
      <c r="E52" s="6">
        <v>98635435101</v>
      </c>
      <c r="F52" s="1" t="s">
        <v>11</v>
      </c>
      <c r="G52" s="1" t="s">
        <v>162</v>
      </c>
      <c r="H52" s="1">
        <v>1000</v>
      </c>
      <c r="I52" s="1">
        <v>0</v>
      </c>
      <c r="J52" s="1" t="s">
        <v>163</v>
      </c>
      <c r="K52" s="1" t="s">
        <v>164</v>
      </c>
      <c r="L52" s="8"/>
    </row>
    <row r="53" spans="1:12">
      <c r="A53" s="1">
        <v>52</v>
      </c>
      <c r="B53" s="1" t="str">
        <f>VLOOKUP(E53,ОКТМО!B:J,6,0)</f>
        <v>Намский муниципальный район</v>
      </c>
      <c r="C53" s="1" t="str">
        <f>VLOOKUP(E53,ОКТМО!B:J,9,0)</f>
        <v>Никольский наслег</v>
      </c>
      <c r="D53" s="1" t="str">
        <f>VLOOKUP(E53,ОКТМО!B:M,12,0)</f>
        <v>Никольский</v>
      </c>
      <c r="E53" s="6">
        <v>98635432101</v>
      </c>
      <c r="F53" s="1" t="s">
        <v>11</v>
      </c>
      <c r="G53" s="1" t="s">
        <v>165</v>
      </c>
      <c r="H53" s="1">
        <v>1000</v>
      </c>
      <c r="I53" s="1">
        <v>0</v>
      </c>
      <c r="J53" s="1" t="s">
        <v>166</v>
      </c>
      <c r="K53" s="1" t="s">
        <v>167</v>
      </c>
      <c r="L53" s="8"/>
    </row>
    <row r="54" spans="1:12">
      <c r="A54" s="1">
        <v>53</v>
      </c>
      <c r="B54" s="1" t="str">
        <f>VLOOKUP(E54,ОКТМО!B:J,6,0)</f>
        <v>Намский муниципальный район</v>
      </c>
      <c r="C54" s="1" t="str">
        <f>VLOOKUP(E54,ОКТМО!B:J,9,0)</f>
        <v>Хамагаттинский наслег</v>
      </c>
      <c r="D54" s="1" t="str">
        <f>VLOOKUP(E54,ОКТМО!B:M,12,0)</f>
        <v>Крест-Кытыл</v>
      </c>
      <c r="E54" s="6">
        <v>98635450101</v>
      </c>
      <c r="F54" s="1" t="s">
        <v>11</v>
      </c>
      <c r="G54" s="1" t="s">
        <v>168</v>
      </c>
      <c r="H54" s="1">
        <v>1000</v>
      </c>
      <c r="I54" s="1">
        <v>0</v>
      </c>
      <c r="J54" s="1" t="s">
        <v>169</v>
      </c>
      <c r="K54" s="1" t="s">
        <v>167</v>
      </c>
      <c r="L54" s="8"/>
    </row>
    <row r="55" spans="1:12">
      <c r="A55" s="1">
        <v>54</v>
      </c>
      <c r="B55" s="1" t="str">
        <f>VLOOKUP(E55,ОКТМО!B:J,6,0)</f>
        <v>Намский муниципальный район</v>
      </c>
      <c r="C55" s="1" t="str">
        <f>VLOOKUP(E55,ОКТМО!B:J,9,0)</f>
        <v>Хомустахский 2-й наслег</v>
      </c>
      <c r="D55" s="1" t="str">
        <f>VLOOKUP(E55,ОКТМО!B:M,12,0)</f>
        <v>Хатас</v>
      </c>
      <c r="E55" s="6">
        <v>98635466101</v>
      </c>
      <c r="F55" s="1" t="s">
        <v>11</v>
      </c>
      <c r="G55" s="1" t="s">
        <v>170</v>
      </c>
      <c r="H55" s="1">
        <v>1000</v>
      </c>
      <c r="I55" s="1">
        <v>0</v>
      </c>
      <c r="J55" s="1" t="s">
        <v>171</v>
      </c>
      <c r="K55" s="1" t="s">
        <v>172</v>
      </c>
      <c r="L55" s="8"/>
    </row>
    <row r="56" spans="1:12">
      <c r="A56" s="1">
        <v>55</v>
      </c>
      <c r="B56" s="1" t="str">
        <f>VLOOKUP(E56,ОКТМО!B:J,6,0)</f>
        <v>Намский муниципальный район</v>
      </c>
      <c r="C56" s="1" t="str">
        <f>VLOOKUP(E56,ОКТМО!B:J,9,0)</f>
        <v>Ленский наслег</v>
      </c>
      <c r="D56" s="1" t="str">
        <f>VLOOKUP(E56,ОКТМО!B:M,12,0)</f>
        <v>Намцы</v>
      </c>
      <c r="E56" s="6">
        <v>98635425101</v>
      </c>
      <c r="F56" s="1" t="s">
        <v>11</v>
      </c>
      <c r="G56" s="1" t="s">
        <v>173</v>
      </c>
      <c r="H56" s="1">
        <v>1000</v>
      </c>
      <c r="I56" s="1">
        <v>0</v>
      </c>
      <c r="J56" s="1" t="s">
        <v>174</v>
      </c>
      <c r="K56" s="1" t="s">
        <v>175</v>
      </c>
      <c r="L56" s="8"/>
    </row>
    <row r="57" spans="1:12">
      <c r="A57" s="1">
        <v>56</v>
      </c>
      <c r="B57" s="1" t="str">
        <f>VLOOKUP(E57,ОКТМО!B:J,6,0)</f>
        <v>Намский муниципальный район</v>
      </c>
      <c r="C57" s="1" t="str">
        <f>VLOOKUP(E57,ОКТМО!B:J,9,0)</f>
        <v>Хатын-Арынский наслег</v>
      </c>
      <c r="D57" s="1" t="str">
        <f>VLOOKUP(E57,ОКТМО!B:M,12,0)</f>
        <v>Аппаны</v>
      </c>
      <c r="E57" s="6">
        <v>98635455101</v>
      </c>
      <c r="F57" s="1" t="s">
        <v>11</v>
      </c>
      <c r="G57" s="1" t="s">
        <v>176</v>
      </c>
      <c r="H57" s="1">
        <v>1000</v>
      </c>
      <c r="I57" s="1">
        <v>0</v>
      </c>
      <c r="J57" s="1" t="s">
        <v>177</v>
      </c>
      <c r="K57" s="1" t="s">
        <v>178</v>
      </c>
      <c r="L57" s="8"/>
    </row>
    <row r="58" spans="1:12">
      <c r="A58" s="1">
        <v>57</v>
      </c>
      <c r="B58" s="1" t="str">
        <f>VLOOKUP(E58,ОКТМО!B:J,6,0)</f>
        <v>Намский муниципальный район</v>
      </c>
      <c r="C58" s="1" t="str">
        <f>VLOOKUP(E58,ОКТМО!B:J,9,0)</f>
        <v>Хатын-Арынский наслег</v>
      </c>
      <c r="D58" s="1" t="str">
        <f>VLOOKUP(E58,ОКТМО!B:M,12,0)</f>
        <v>Кысыл-Деревня</v>
      </c>
      <c r="E58" s="6">
        <v>98635455111</v>
      </c>
      <c r="F58" s="1" t="s">
        <v>11</v>
      </c>
      <c r="G58" s="1" t="s">
        <v>179</v>
      </c>
      <c r="H58" s="1">
        <v>1000</v>
      </c>
      <c r="I58" s="1">
        <v>0</v>
      </c>
      <c r="J58" s="1" t="s">
        <v>180</v>
      </c>
      <c r="K58" s="1" t="s">
        <v>181</v>
      </c>
      <c r="L58" s="8"/>
    </row>
    <row r="59" spans="1:12">
      <c r="A59" s="1">
        <v>58</v>
      </c>
      <c r="B59" s="1" t="str">
        <f>VLOOKUP(E59,ОКТМО!B:J,6,0)</f>
        <v>Намский муниципальный район</v>
      </c>
      <c r="C59" s="1" t="str">
        <f>VLOOKUP(E59,ОКТМО!B:J,9,0)</f>
        <v>Бетюнский наслег</v>
      </c>
      <c r="D59" s="1" t="str">
        <f>VLOOKUP(E59,ОКТМО!B:M,12,0)</f>
        <v>Бютяй-Юрдя</v>
      </c>
      <c r="E59" s="6">
        <v>98635410101</v>
      </c>
      <c r="F59" s="1" t="s">
        <v>11</v>
      </c>
      <c r="G59" s="1" t="s">
        <v>182</v>
      </c>
      <c r="H59" s="1">
        <v>1000</v>
      </c>
      <c r="I59" s="1">
        <v>0</v>
      </c>
      <c r="J59" s="1" t="s">
        <v>183</v>
      </c>
      <c r="K59" s="1" t="s">
        <v>184</v>
      </c>
      <c r="L59" s="8"/>
    </row>
    <row r="60" spans="1:12">
      <c r="A60" s="1">
        <v>59</v>
      </c>
      <c r="B60" s="1" t="str">
        <f>VLOOKUP(E60,ОКТМО!B:J,6,0)</f>
        <v>Мегино-Кангаласский муниципальный район</v>
      </c>
      <c r="C60" s="1" t="str">
        <f>VLOOKUP(E60,ОКТМО!B:J,9,0)</f>
        <v>Доллунский наслег</v>
      </c>
      <c r="D60" s="1" t="str">
        <f>VLOOKUP(E60,ОКТМО!B:M,12,0)</f>
        <v>Тумул</v>
      </c>
      <c r="E60" s="6">
        <v>98629411101</v>
      </c>
      <c r="F60" s="1" t="s">
        <v>11</v>
      </c>
      <c r="G60" s="1" t="s">
        <v>185</v>
      </c>
      <c r="H60" s="1">
        <v>1000</v>
      </c>
      <c r="I60" s="1">
        <v>0</v>
      </c>
      <c r="J60" s="1" t="s">
        <v>186</v>
      </c>
      <c r="K60" s="1" t="s">
        <v>187</v>
      </c>
      <c r="L60" s="8"/>
    </row>
    <row r="61" spans="1:12">
      <c r="A61" s="1">
        <v>60</v>
      </c>
      <c r="B61" s="1" t="str">
        <f>VLOOKUP(E61,ОКТМО!B:J,6,0)</f>
        <v>Верхоянский муниципальный район</v>
      </c>
      <c r="C61" s="1" t="str">
        <f>VLOOKUP(E61,ОКТМО!B:J,9,0)</f>
        <v>Столбинский наслег</v>
      </c>
      <c r="D61" s="1" t="str">
        <f>VLOOKUP(E61,ОКТМО!B:M,12,0)</f>
        <v>Столбы</v>
      </c>
      <c r="E61" s="6">
        <v>98616445101</v>
      </c>
      <c r="F61" s="1" t="s">
        <v>11</v>
      </c>
      <c r="G61" s="1" t="s">
        <v>188</v>
      </c>
      <c r="H61" s="1">
        <v>1000</v>
      </c>
      <c r="I61" s="1">
        <v>0</v>
      </c>
      <c r="J61" s="1" t="s">
        <v>189</v>
      </c>
      <c r="K61" s="1" t="s">
        <v>190</v>
      </c>
      <c r="L61" s="8"/>
    </row>
    <row r="62" spans="1:12">
      <c r="A62" s="1">
        <v>61</v>
      </c>
      <c r="B62" s="1" t="str">
        <f>VLOOKUP(E62,ОКТМО!B:J,6,0)</f>
        <v>Намский муниципальный район</v>
      </c>
      <c r="C62" s="1" t="str">
        <f>VLOOKUP(E62,ОКТМО!B:J,9,0)</f>
        <v>Маймагинский наслег</v>
      </c>
      <c r="D62" s="1" t="str">
        <f>VLOOKUP(E62,ОКТМО!B:M,12,0)</f>
        <v>Маймага</v>
      </c>
      <c r="E62" s="6">
        <v>98635470101</v>
      </c>
      <c r="F62" s="1" t="s">
        <v>11</v>
      </c>
      <c r="G62" s="1" t="s">
        <v>191</v>
      </c>
      <c r="H62" s="1">
        <v>1000</v>
      </c>
      <c r="I62" s="1">
        <v>0</v>
      </c>
      <c r="J62" s="1" t="s">
        <v>192</v>
      </c>
      <c r="K62" s="1" t="s">
        <v>193</v>
      </c>
      <c r="L62" s="8"/>
    </row>
    <row r="63" spans="1:12">
      <c r="A63" s="1">
        <v>62</v>
      </c>
      <c r="B63" s="1" t="str">
        <f>VLOOKUP(E63,ОКТМО!B:J,6,0)</f>
        <v>Намский муниципальный район</v>
      </c>
      <c r="C63" s="1" t="str">
        <f>VLOOKUP(E63,ОКТМО!B:J,9,0)</f>
        <v>Фрунзенский наслег</v>
      </c>
      <c r="D63" s="1" t="str">
        <f>VLOOKUP(E63,ОКТМО!B:M,12,0)</f>
        <v>Фрунзе</v>
      </c>
      <c r="E63" s="6">
        <v>98635447101</v>
      </c>
      <c r="F63" s="1" t="s">
        <v>11</v>
      </c>
      <c r="G63" s="1" t="s">
        <v>194</v>
      </c>
      <c r="H63" s="1">
        <v>1000</v>
      </c>
      <c r="I63" s="1">
        <v>0</v>
      </c>
      <c r="J63" s="1" t="s">
        <v>195</v>
      </c>
      <c r="K63" s="1" t="s">
        <v>196</v>
      </c>
      <c r="L63" s="8"/>
    </row>
    <row r="64" spans="1:12">
      <c r="A64" s="1">
        <v>63</v>
      </c>
      <c r="B64" s="1" t="str">
        <f>VLOOKUP(E64,ОКТМО!B:J,6,0)</f>
        <v>Верхневилюйский муниципальный район</v>
      </c>
      <c r="C64" s="1" t="str">
        <f>VLOOKUP(E64,ОКТМО!B:J,9,0)</f>
        <v>Кэнтикский наслег</v>
      </c>
      <c r="D64" s="1" t="str">
        <f>VLOOKUP(E64,ОКТМО!B:M,12,0)</f>
        <v>Харыялах</v>
      </c>
      <c r="E64" s="6">
        <v>98614429101</v>
      </c>
      <c r="F64" s="1" t="s">
        <v>11</v>
      </c>
      <c r="G64" s="1" t="s">
        <v>197</v>
      </c>
      <c r="H64" s="1">
        <v>1000</v>
      </c>
      <c r="I64" s="1">
        <v>0</v>
      </c>
      <c r="J64" s="1" t="s">
        <v>198</v>
      </c>
      <c r="K64" s="1" t="s">
        <v>199</v>
      </c>
      <c r="L64" s="8"/>
    </row>
    <row r="65" spans="1:12">
      <c r="A65" s="1">
        <v>64</v>
      </c>
      <c r="B65" s="1" t="str">
        <f>VLOOKUP(E65,ОКТМО!B:J,6,0)</f>
        <v>Намский муниципальный район</v>
      </c>
      <c r="C65" s="1" t="str">
        <f>VLOOKUP(E65,ОКТМО!B:J,9,0)</f>
        <v>Тюбинский наслег</v>
      </c>
      <c r="D65" s="1" t="str">
        <f>VLOOKUP(E65,ОКТМО!B:M,12,0)</f>
        <v>Булус</v>
      </c>
      <c r="E65" s="6">
        <v>98635445101</v>
      </c>
      <c r="F65" s="1" t="s">
        <v>11</v>
      </c>
      <c r="G65" s="1" t="s">
        <v>200</v>
      </c>
      <c r="H65" s="1">
        <v>1000</v>
      </c>
      <c r="I65" s="1">
        <v>0</v>
      </c>
      <c r="J65" s="1" t="s">
        <v>201</v>
      </c>
      <c r="K65" s="1" t="s">
        <v>202</v>
      </c>
      <c r="L65" s="8"/>
    </row>
    <row r="66" spans="1:12">
      <c r="A66" s="1">
        <v>65</v>
      </c>
      <c r="B66" s="1" t="str">
        <f>VLOOKUP(E66,ОКТМО!B:J,6,0)</f>
        <v>Намский муниципальный район</v>
      </c>
      <c r="C66" s="1" t="str">
        <f>VLOOKUP(E66,ОКТМО!B:J,9,0)</f>
        <v>Арбынский наслег</v>
      </c>
      <c r="D66" s="1" t="str">
        <f>VLOOKUP(E66,ОКТМО!B:M,12,0)</f>
        <v>Сыгыннах</v>
      </c>
      <c r="E66" s="6">
        <v>98635405101</v>
      </c>
      <c r="F66" s="1" t="s">
        <v>11</v>
      </c>
      <c r="G66" s="1" t="s">
        <v>203</v>
      </c>
      <c r="H66" s="1">
        <v>1000</v>
      </c>
      <c r="I66" s="1">
        <v>0</v>
      </c>
      <c r="J66" s="1" t="s">
        <v>204</v>
      </c>
      <c r="K66" s="1" t="s">
        <v>205</v>
      </c>
      <c r="L66" s="8"/>
    </row>
    <row r="67" spans="1:12">
      <c r="A67" s="1">
        <v>66</v>
      </c>
      <c r="B67" s="1" t="str">
        <f>VLOOKUP(E67,ОКТМО!B:J,6,0)</f>
        <v>Кобяйский муниципальный район</v>
      </c>
      <c r="C67" s="1" t="str">
        <f>VLOOKUP(E67,ОКТМО!B:J,9,0)</f>
        <v>Ситтинский наслег</v>
      </c>
      <c r="D67" s="1" t="str">
        <f>VLOOKUP(E67,ОКТМО!B:M,12,0)</f>
        <v>Ситте</v>
      </c>
      <c r="E67" s="6">
        <v>98624450101</v>
      </c>
      <c r="F67" s="1" t="s">
        <v>11</v>
      </c>
      <c r="G67" s="1" t="s">
        <v>206</v>
      </c>
      <c r="H67" s="1">
        <v>1000</v>
      </c>
      <c r="I67" s="1">
        <v>0</v>
      </c>
      <c r="J67" s="1" t="s">
        <v>207</v>
      </c>
      <c r="K67" s="1" t="s">
        <v>208</v>
      </c>
      <c r="L67" s="8"/>
    </row>
    <row r="68" spans="1:12">
      <c r="A68" s="1">
        <v>67</v>
      </c>
      <c r="B68" s="1" t="str">
        <f>VLOOKUP(E68,ОКТМО!B:J,6,0)</f>
        <v>Кобяйский муниципальный район</v>
      </c>
      <c r="C68" s="1" t="str">
        <f>VLOOKUP(E68,ОКТМО!B:J,9,0)</f>
        <v>поселок Сангар</v>
      </c>
      <c r="D68" s="1" t="str">
        <f>VLOOKUP(E68,ОКТМО!B:M,12,0)</f>
        <v>Сангар</v>
      </c>
      <c r="E68" s="6">
        <v>98624151051</v>
      </c>
      <c r="F68" s="1" t="s">
        <v>11</v>
      </c>
      <c r="G68" s="1" t="s">
        <v>209</v>
      </c>
      <c r="H68" s="1">
        <v>1315</v>
      </c>
      <c r="I68" s="1">
        <v>220</v>
      </c>
      <c r="J68" s="7" t="s">
        <v>210</v>
      </c>
      <c r="K68" s="7" t="s">
        <v>211</v>
      </c>
      <c r="L68" s="8"/>
    </row>
    <row r="69" spans="1:12">
      <c r="A69" s="1">
        <v>68</v>
      </c>
      <c r="B69" s="1" t="str">
        <f>VLOOKUP(E69,ОКТМО!B:J,6,0)</f>
        <v>Кобяйский муниципальный район</v>
      </c>
      <c r="C69" s="1" t="str">
        <f>VLOOKUP(E69,ОКТМО!B:J,9,0)</f>
        <v>Куокуйский наслег</v>
      </c>
      <c r="D69" s="1" t="str">
        <f>VLOOKUP(E69,ОКТМО!B:M,12,0)</f>
        <v>Аргас</v>
      </c>
      <c r="E69" s="6">
        <v>98624424101</v>
      </c>
      <c r="F69" s="1" t="s">
        <v>212</v>
      </c>
      <c r="G69" s="1" t="s">
        <v>213</v>
      </c>
      <c r="H69" s="1">
        <v>1000</v>
      </c>
      <c r="I69" s="1">
        <v>0</v>
      </c>
      <c r="J69" s="1" t="s">
        <v>214</v>
      </c>
      <c r="K69" s="1" t="s">
        <v>215</v>
      </c>
      <c r="L69" s="8"/>
    </row>
    <row r="70" spans="1:12">
      <c r="A70" s="1">
        <v>69</v>
      </c>
      <c r="B70" s="1" t="str">
        <f>VLOOKUP(E70,ОКТМО!B:J,6,0)</f>
        <v>Жиганский национальный эвенкийский муниципальный район</v>
      </c>
      <c r="C70" s="1" t="str">
        <f>VLOOKUP(E70,ОКТМО!B:J,9,0)</f>
        <v>Жиганский эвенкийский национальный наслег</v>
      </c>
      <c r="D70" s="1" t="str">
        <f>VLOOKUP(E70,ОКТМО!B:M,12,0)</f>
        <v>Жиганск</v>
      </c>
      <c r="E70" s="6">
        <v>98622410101</v>
      </c>
      <c r="F70" s="1" t="s">
        <v>11</v>
      </c>
      <c r="G70" s="1" t="s">
        <v>216</v>
      </c>
      <c r="H70" s="1">
        <v>1430</v>
      </c>
      <c r="I70" s="1">
        <v>70</v>
      </c>
      <c r="J70" s="7" t="s">
        <v>217</v>
      </c>
      <c r="K70" s="7" t="s">
        <v>218</v>
      </c>
      <c r="L70" s="8"/>
    </row>
    <row r="71" spans="1:12">
      <c r="A71" s="1">
        <v>70</v>
      </c>
      <c r="B71" s="1" t="str">
        <f>VLOOKUP(E71,ОКТМО!B:J,6,0)</f>
        <v>Жиганский национальный эвенкийский муниципальный район</v>
      </c>
      <c r="C71" s="1" t="str">
        <f>VLOOKUP(E71,ОКТМО!B:J,9,0)</f>
        <v>Жиганский эвенкийский национальный наслег</v>
      </c>
      <c r="D71" s="11" t="str">
        <f>VLOOKUP(E71,ОКТМО!B:M,12,0)</f>
        <v>Жиганск</v>
      </c>
      <c r="E71" s="12">
        <v>98622410101</v>
      </c>
      <c r="F71" s="1" t="s">
        <v>11</v>
      </c>
      <c r="G71" s="1" t="s">
        <v>219</v>
      </c>
      <c r="H71" s="1">
        <v>2260</v>
      </c>
      <c r="I71" s="1">
        <v>0</v>
      </c>
      <c r="J71" s="1" t="s">
        <v>220</v>
      </c>
      <c r="K71" s="1" t="s">
        <v>221</v>
      </c>
      <c r="L71" s="8"/>
    </row>
    <row r="72" spans="1:12">
      <c r="A72" s="1">
        <v>71</v>
      </c>
      <c r="B72" s="1" t="str">
        <f>VLOOKUP(E72,ОКТМО!B:J,6,0)</f>
        <v>Булунский муниципальный район</v>
      </c>
      <c r="C72" s="1" t="str">
        <f>VLOOKUP(E72,ОКТМО!B:J,9,0)</f>
        <v>Булунский национальный (эвенкийский) наслег</v>
      </c>
      <c r="D72" s="1" t="str">
        <f>VLOOKUP(E72,ОКТМО!B:M,12,0)</f>
        <v>Кюсюр</v>
      </c>
      <c r="E72" s="6">
        <v>98612412101</v>
      </c>
      <c r="F72" s="1" t="s">
        <v>11</v>
      </c>
      <c r="G72" s="1" t="s">
        <v>222</v>
      </c>
      <c r="H72" s="1">
        <v>3150</v>
      </c>
      <c r="I72" s="1">
        <v>0</v>
      </c>
      <c r="J72" s="7" t="s">
        <v>223</v>
      </c>
      <c r="K72" s="7" t="s">
        <v>224</v>
      </c>
      <c r="L72" s="8"/>
    </row>
    <row r="73" spans="1:12">
      <c r="A73" s="1">
        <v>72</v>
      </c>
      <c r="B73" s="1" t="str">
        <f>VLOOKUP(E73,ОКТМО!B:J,6,0)</f>
        <v>Булунский муниципальный район</v>
      </c>
      <c r="C73" s="1" t="str">
        <f>VLOOKUP(E73,ОКТМО!B:J,9,0)</f>
        <v>Булунский национальный (эвенкийский) наслег</v>
      </c>
      <c r="D73" s="11" t="str">
        <f>VLOOKUP(E73,ОКТМО!B:M,12,0)</f>
        <v>Кюсюр</v>
      </c>
      <c r="E73" s="12">
        <v>98612412101</v>
      </c>
      <c r="F73" s="1" t="s">
        <v>11</v>
      </c>
      <c r="G73" s="1" t="s">
        <v>225</v>
      </c>
      <c r="H73" s="1">
        <v>0</v>
      </c>
      <c r="I73" s="1">
        <v>0</v>
      </c>
      <c r="J73" s="1" t="s">
        <v>226</v>
      </c>
      <c r="K73" s="1" t="s">
        <v>227</v>
      </c>
      <c r="L73" s="8"/>
    </row>
    <row r="74" spans="1:12">
      <c r="A74" s="1">
        <v>73</v>
      </c>
      <c r="B74" s="1" t="str">
        <f>VLOOKUP(E74,ОКТМО!B:J,6,0)</f>
        <v>Ленский муниципальный район</v>
      </c>
      <c r="C74" s="1" t="str">
        <f>VLOOKUP(E74,ОКТМО!B:J,9,0)</f>
        <v>Толонский наслег</v>
      </c>
      <c r="D74" s="1" t="str">
        <f>VLOOKUP(E74,ОКТМО!B:M,12,0)</f>
        <v>Иннялы</v>
      </c>
      <c r="E74" s="6">
        <v>98627440111</v>
      </c>
      <c r="F74" s="1" t="s">
        <v>27</v>
      </c>
      <c r="G74" s="1" t="s">
        <v>228</v>
      </c>
      <c r="H74" s="1">
        <v>870</v>
      </c>
      <c r="I74" s="1">
        <v>0</v>
      </c>
      <c r="J74" s="1" t="s">
        <v>229</v>
      </c>
      <c r="K74" s="1" t="s">
        <v>230</v>
      </c>
      <c r="L74" s="8"/>
    </row>
    <row r="75" spans="1:12">
      <c r="A75" s="1">
        <v>74</v>
      </c>
      <c r="B75" s="1" t="str">
        <f>VLOOKUP(E75,ОКТМО!B:J,6,0)</f>
        <v>Ленский муниципальный район</v>
      </c>
      <c r="C75" s="1" t="str">
        <f>VLOOKUP(E75,ОКТМО!B:J,9,0)</f>
        <v>Орто-Нахаринский наслег</v>
      </c>
      <c r="D75" s="11" t="str">
        <f>VLOOKUP(E75,ОКТМО!B:M,12,0)</f>
        <v>Орто-Нахара</v>
      </c>
      <c r="E75" s="12">
        <v>98627433101</v>
      </c>
      <c r="F75" s="1" t="s">
        <v>45</v>
      </c>
      <c r="G75" s="1" t="s">
        <v>231</v>
      </c>
      <c r="H75" s="1">
        <v>753</v>
      </c>
      <c r="I75" s="1">
        <v>0</v>
      </c>
      <c r="J75" s="1" t="s">
        <v>232</v>
      </c>
      <c r="K75" s="1" t="s">
        <v>233</v>
      </c>
      <c r="L75" s="8"/>
    </row>
    <row r="76" spans="1:12">
      <c r="A76" s="1">
        <v>75</v>
      </c>
      <c r="B76" s="1" t="str">
        <f>VLOOKUP(E76,ОКТМО!B:J,6,0)</f>
        <v>Ленский муниципальный район</v>
      </c>
      <c r="C76" s="1" t="str">
        <f>VLOOKUP(E76,ОКТМО!B:J,9,0)</f>
        <v>Орто-Нахаринский наслег</v>
      </c>
      <c r="D76" s="1" t="str">
        <f>VLOOKUP(E76,ОКТМО!B:M,12,0)</f>
        <v>Орто-Нахара</v>
      </c>
      <c r="E76" s="6">
        <v>98627433101</v>
      </c>
      <c r="F76" s="1" t="s">
        <v>45</v>
      </c>
      <c r="G76" s="1" t="s">
        <v>234</v>
      </c>
      <c r="H76" s="1">
        <v>1000</v>
      </c>
      <c r="I76" s="1">
        <v>0</v>
      </c>
      <c r="J76" s="1" t="s">
        <v>235</v>
      </c>
      <c r="K76" s="1" t="s">
        <v>236</v>
      </c>
      <c r="L76" s="8"/>
    </row>
    <row r="77" spans="1:12">
      <c r="A77" s="1">
        <v>76</v>
      </c>
      <c r="B77" s="1" t="str">
        <f>VLOOKUP(E77,ОКТМО!B:J,6,0)</f>
        <v>Ленский муниципальный район</v>
      </c>
      <c r="C77" s="1" t="str">
        <f>VLOOKUP(E77,ОКТМО!B:J,9,0)</f>
        <v>Беченчинский наслег</v>
      </c>
      <c r="D77" s="1" t="str">
        <f>VLOOKUP(E77,ОКТМО!B:M,12,0)</f>
        <v>Беченча</v>
      </c>
      <c r="E77" s="13">
        <v>98627405101</v>
      </c>
      <c r="F77" s="1" t="s">
        <v>45</v>
      </c>
      <c r="G77" s="1" t="s">
        <v>237</v>
      </c>
      <c r="H77" s="1">
        <v>0</v>
      </c>
      <c r="I77" s="1">
        <v>0</v>
      </c>
      <c r="J77" s="1" t="s">
        <v>238</v>
      </c>
      <c r="K77" s="1" t="s">
        <v>239</v>
      </c>
      <c r="L77" s="8"/>
    </row>
    <row r="78" spans="1:12">
      <c r="A78" s="1">
        <v>77</v>
      </c>
      <c r="B78" s="1" t="str">
        <f>VLOOKUP(E78,ОКТМО!B:J,6,0)</f>
        <v>Бодайбинский муниципальный район</v>
      </c>
      <c r="C78" s="1" t="str">
        <f>VLOOKUP(E78,ОКТМО!B:J,9,0)</f>
        <v>Жуинское</v>
      </c>
      <c r="D78" s="11" t="str">
        <f>VLOOKUP(E78,ОКТМО!B:M,12,0)</f>
        <v>Большой Патом</v>
      </c>
      <c r="E78" s="12">
        <v>25602402106</v>
      </c>
      <c r="F78" s="1" t="s">
        <v>240</v>
      </c>
      <c r="G78" s="1" t="s">
        <v>241</v>
      </c>
      <c r="H78" s="1">
        <v>830</v>
      </c>
      <c r="I78" s="1">
        <v>0</v>
      </c>
      <c r="J78" s="1" t="s">
        <v>242</v>
      </c>
      <c r="K78" s="1" t="s">
        <v>243</v>
      </c>
      <c r="L78" s="8"/>
    </row>
    <row r="79" spans="1:12">
      <c r="A79" s="1">
        <v>78</v>
      </c>
      <c r="B79" s="1" t="str">
        <f>VLOOKUP(E79,ОКТМО!B:J,6,0)</f>
        <v>Баунтовский эвенкийский муниципальный район</v>
      </c>
      <c r="C79" s="1" t="str">
        <f>VLOOKUP(E79,ОКТМО!B:J,9,0)</f>
        <v>Витимское</v>
      </c>
      <c r="D79" s="1" t="str">
        <f>VLOOKUP(E79,ОКТМО!B:M,12,0)</f>
        <v>Романовка</v>
      </c>
      <c r="E79" s="6">
        <v>81606442101</v>
      </c>
      <c r="F79" s="1" t="s">
        <v>24</v>
      </c>
      <c r="G79" s="1" t="s">
        <v>244</v>
      </c>
      <c r="H79" s="1">
        <v>1200</v>
      </c>
      <c r="I79" s="1">
        <v>0</v>
      </c>
      <c r="J79" s="7" t="s">
        <v>245</v>
      </c>
      <c r="K79" s="7" t="s">
        <v>246</v>
      </c>
      <c r="L79" s="8"/>
    </row>
    <row r="80" spans="1:12">
      <c r="A80" s="1">
        <v>79</v>
      </c>
      <c r="B80" s="1" t="str">
        <f>VLOOKUP(E80,ОКТМО!B:J,6,0)</f>
        <v>Каларский муниципальный округ</v>
      </c>
      <c r="C80" s="1">
        <f>VLOOKUP(E80,ОКТМО!B:J,9,0)</f>
        <v>0</v>
      </c>
      <c r="D80" s="11" t="str">
        <f>VLOOKUP(E80,ОКТМО!B:M,12,0)</f>
        <v>Неляты</v>
      </c>
      <c r="E80" s="12">
        <v>76515000116</v>
      </c>
      <c r="F80" s="1" t="s">
        <v>24</v>
      </c>
      <c r="G80" s="1" t="s">
        <v>247</v>
      </c>
      <c r="H80" s="1">
        <v>0</v>
      </c>
      <c r="I80" s="1">
        <v>0</v>
      </c>
      <c r="J80" s="7" t="s">
        <v>248</v>
      </c>
      <c r="K80" s="7" t="s">
        <v>249</v>
      </c>
      <c r="L80" s="8"/>
    </row>
    <row r="81" spans="1:12">
      <c r="A81" s="1">
        <v>80</v>
      </c>
      <c r="B81" s="1" t="str">
        <f>VLOOKUP(E81,ОКТМО!B:J,6,0)</f>
        <v>Каларский муниципальный округ</v>
      </c>
      <c r="C81" s="1">
        <f>VLOOKUP(E81,ОКТМО!B:J,9,0)</f>
        <v>0</v>
      </c>
      <c r="D81" s="1" t="str">
        <f>VLOOKUP(E81,ОКТМО!B:M,12,0)</f>
        <v>Неляты</v>
      </c>
      <c r="E81" s="6">
        <v>76515000116</v>
      </c>
      <c r="F81" s="1" t="s">
        <v>24</v>
      </c>
      <c r="G81" s="1" t="s">
        <v>250</v>
      </c>
      <c r="H81" s="1">
        <v>1475</v>
      </c>
      <c r="I81" s="1">
        <v>0</v>
      </c>
      <c r="J81" s="7" t="s">
        <v>251</v>
      </c>
      <c r="K81" s="7" t="s">
        <v>252</v>
      </c>
      <c r="L81" s="8"/>
    </row>
    <row r="82" spans="1:12">
      <c r="A82" s="1">
        <v>81</v>
      </c>
      <c r="B82" s="1" t="str">
        <f>VLOOKUP(E82,ОКТМО!B:J,6,0)</f>
        <v>Бодайбинский муниципальный район</v>
      </c>
      <c r="C82" s="1" t="str">
        <f>VLOOKUP(E82,ОКТМО!B:J,9,0)</f>
        <v>Бодайбинское</v>
      </c>
      <c r="D82" s="1" t="str">
        <f>VLOOKUP(E82,ОКТМО!B:M,12,0)</f>
        <v>Бодайбо</v>
      </c>
      <c r="E82" s="6">
        <v>25602101001</v>
      </c>
      <c r="F82" s="1" t="s">
        <v>24</v>
      </c>
      <c r="G82" s="1" t="s">
        <v>253</v>
      </c>
      <c r="H82" s="1">
        <v>1200</v>
      </c>
      <c r="I82" s="1">
        <v>0</v>
      </c>
      <c r="J82" s="7" t="s">
        <v>254</v>
      </c>
      <c r="K82" s="7" t="s">
        <v>255</v>
      </c>
      <c r="L82" s="8"/>
    </row>
    <row r="83" spans="1:12">
      <c r="A83" s="1">
        <v>82</v>
      </c>
      <c r="B83" s="1" t="str">
        <f>VLOOKUP(E83,ОКТМО!B:J,6,0)</f>
        <v>Тунгиро-Олёкминский муниципальный район</v>
      </c>
      <c r="C83" s="1" t="str">
        <f>VLOOKUP(E83,ОКТМО!B:J,9,0)</f>
        <v>Межселенная территория Тунгиро-Олёкминского муниципального района, находящаяся вне границ сельских поселений, с расположенными на этой территории с Моклакан, с Средняя Олёкма, с Гуля</v>
      </c>
      <c r="D83" s="1" t="str">
        <f>VLOOKUP(E83,ОКТМО!B:M,12,0)</f>
        <v>Средняя Олёкма</v>
      </c>
      <c r="E83" s="6">
        <v>76642701907</v>
      </c>
      <c r="F83" s="1" t="s">
        <v>256</v>
      </c>
      <c r="G83" s="1" t="s">
        <v>257</v>
      </c>
      <c r="H83" s="1">
        <v>1500</v>
      </c>
      <c r="I83" s="1">
        <v>0</v>
      </c>
      <c r="J83" s="7" t="s">
        <v>258</v>
      </c>
      <c r="K83" s="7" t="s">
        <v>259</v>
      </c>
      <c r="L83" s="8"/>
    </row>
    <row r="84" spans="1:12">
      <c r="A84" s="1">
        <v>83</v>
      </c>
      <c r="B84" s="1" t="str">
        <f>VLOOKUP(E84,ОКТМО!B:J,6,0)</f>
        <v>Олекминский муниципальный район</v>
      </c>
      <c r="C84" s="1" t="str">
        <f>VLOOKUP(E84,ОКТМО!B:J,9,0)</f>
        <v>Киндигирский национальный наслег</v>
      </c>
      <c r="D84" s="11" t="str">
        <f>VLOOKUP(E84,ОКТМО!B:M,12,0)</f>
        <v>Куду-Кюёль</v>
      </c>
      <c r="E84" s="12">
        <v>98641425101</v>
      </c>
      <c r="F84" s="1" t="s">
        <v>256</v>
      </c>
      <c r="G84" s="1" t="s">
        <v>260</v>
      </c>
      <c r="H84" s="1">
        <v>1488</v>
      </c>
      <c r="I84" s="1">
        <v>0</v>
      </c>
      <c r="J84" s="7" t="s">
        <v>261</v>
      </c>
      <c r="K84" s="7" t="s">
        <v>262</v>
      </c>
      <c r="L84" s="8"/>
    </row>
    <row r="85" spans="1:12">
      <c r="A85" s="1">
        <v>84</v>
      </c>
      <c r="B85" s="1" t="str">
        <f>VLOOKUP(E85,ОКТМО!B:J,6,0)</f>
        <v>Олекминский муниципальный район</v>
      </c>
      <c r="C85" s="1" t="str">
        <f>VLOOKUP(E85,ОКТМО!B:J,9,0)</f>
        <v>Киндигирский национальный наслег</v>
      </c>
      <c r="D85" s="1" t="str">
        <f>VLOOKUP(E85,ОКТМО!B:M,12,0)</f>
        <v>Куду-Кюёль</v>
      </c>
      <c r="E85" s="6">
        <v>98641425101</v>
      </c>
      <c r="F85" s="1" t="s">
        <v>256</v>
      </c>
      <c r="G85" s="1" t="s">
        <v>263</v>
      </c>
      <c r="H85" s="1">
        <v>1650</v>
      </c>
      <c r="I85" s="1">
        <v>0</v>
      </c>
      <c r="J85" s="7" t="s">
        <v>264</v>
      </c>
      <c r="K85" s="7" t="s">
        <v>265</v>
      </c>
      <c r="L85" s="8"/>
    </row>
    <row r="86" spans="1:12">
      <c r="A86" s="1">
        <v>85</v>
      </c>
      <c r="B86" s="1" t="str">
        <f>VLOOKUP(E86,ОКТМО!B:J,6,0)</f>
        <v>Олекминский муниципальный район</v>
      </c>
      <c r="C86" s="1" t="str">
        <f>VLOOKUP(E86,ОКТМО!B:J,9,0)</f>
        <v>Троицкий наслег</v>
      </c>
      <c r="D86" s="1" t="str">
        <f>VLOOKUP(E86,ОКТМО!B:M,12,0)</f>
        <v>Троицк</v>
      </c>
      <c r="E86" s="6">
        <v>98641470101</v>
      </c>
      <c r="F86" s="1" t="s">
        <v>256</v>
      </c>
      <c r="G86" s="1" t="s">
        <v>266</v>
      </c>
      <c r="H86" s="1">
        <v>1000</v>
      </c>
      <c r="I86" s="1">
        <v>0</v>
      </c>
      <c r="J86" s="1" t="s">
        <v>267</v>
      </c>
      <c r="K86" s="1" t="s">
        <v>268</v>
      </c>
      <c r="L86" s="8"/>
    </row>
    <row r="87" spans="1:12">
      <c r="A87" s="1">
        <v>86</v>
      </c>
      <c r="B87" s="1" t="str">
        <f>VLOOKUP(E87,ОКТМО!B:J,6,0)</f>
        <v>Олекминский муниципальный район</v>
      </c>
      <c r="C87" s="1" t="str">
        <f>VLOOKUP(E87,ОКТМО!B:J,9,0)</f>
        <v>Чаринский национальный наслег</v>
      </c>
      <c r="D87" s="11" t="str">
        <f>VLOOKUP(E87,ОКТМО!B:M,12,0)</f>
        <v>Бясь-Кюёль</v>
      </c>
      <c r="E87" s="12">
        <v>98641490101</v>
      </c>
      <c r="F87" s="1" t="s">
        <v>269</v>
      </c>
      <c r="G87" s="1" t="s">
        <v>269</v>
      </c>
      <c r="H87" s="1">
        <v>798</v>
      </c>
      <c r="I87" s="1">
        <v>0</v>
      </c>
      <c r="J87" s="7" t="s">
        <v>270</v>
      </c>
      <c r="K87" s="7" t="s">
        <v>271</v>
      </c>
      <c r="L87" s="8"/>
    </row>
    <row r="88" spans="1:12">
      <c r="A88" s="1">
        <v>87</v>
      </c>
      <c r="B88" s="1" t="str">
        <f>VLOOKUP(E88,ОКТМО!B:J,6,0)</f>
        <v>Олекминский муниципальный район</v>
      </c>
      <c r="C88" s="1" t="str">
        <f>VLOOKUP(E88,ОКТМО!B:J,9,0)</f>
        <v>Чаринский национальный наслег</v>
      </c>
      <c r="D88" s="14" t="str">
        <f>VLOOKUP(E88,ОКТМО!B:M,12,0)</f>
        <v>Бясь-Кюёль</v>
      </c>
      <c r="E88" s="15">
        <v>98641490101</v>
      </c>
      <c r="F88" s="1" t="s">
        <v>269</v>
      </c>
      <c r="G88" s="1" t="s">
        <v>272</v>
      </c>
      <c r="H88" s="1">
        <v>1000</v>
      </c>
      <c r="I88" s="1">
        <v>0</v>
      </c>
      <c r="J88" s="1" t="s">
        <v>273</v>
      </c>
      <c r="K88" s="1" t="s">
        <v>274</v>
      </c>
      <c r="L88" s="8"/>
    </row>
    <row r="89" spans="1:12">
      <c r="A89" s="1">
        <v>88</v>
      </c>
      <c r="B89" s="1" t="str">
        <f>VLOOKUP(E89,ОКТМО!B:J,6,0)</f>
        <v>Олекминский муниципальный район</v>
      </c>
      <c r="C89" s="1" t="str">
        <f>VLOOKUP(E89,ОКТМО!B:J,9,0)</f>
        <v>Жарханский национальный наслег</v>
      </c>
      <c r="D89" s="1" t="str">
        <f>VLOOKUP(E89,ОКТМО!B:M,12,0)</f>
        <v>Токко</v>
      </c>
      <c r="E89" s="6">
        <v>98641420101</v>
      </c>
      <c r="F89" s="1" t="s">
        <v>269</v>
      </c>
      <c r="G89" s="1" t="s">
        <v>275</v>
      </c>
      <c r="H89" s="1">
        <v>870</v>
      </c>
      <c r="I89" s="1">
        <v>0</v>
      </c>
      <c r="J89" s="7" t="s">
        <v>276</v>
      </c>
      <c r="K89" s="7" t="s">
        <v>277</v>
      </c>
      <c r="L89" s="8"/>
    </row>
    <row r="90" spans="1:12">
      <c r="A90" s="1">
        <v>89</v>
      </c>
      <c r="B90" s="1" t="str">
        <f>VLOOKUP(E90,ОКТМО!B:J,6,0)</f>
        <v>Олекминский муниципальный район</v>
      </c>
      <c r="C90" s="1" t="str">
        <f>VLOOKUP(E90,ОКТМО!B:J,9,0)</f>
        <v>Тянский национальный наслег</v>
      </c>
      <c r="D90" s="1" t="str">
        <f>VLOOKUP(E90,ОКТМО!B:M,12,0)</f>
        <v>Тяня</v>
      </c>
      <c r="E90" s="6">
        <v>98641475101</v>
      </c>
      <c r="F90" s="1" t="s">
        <v>278</v>
      </c>
      <c r="G90" s="1" t="s">
        <v>279</v>
      </c>
      <c r="H90" s="1">
        <v>550</v>
      </c>
      <c r="I90" s="1">
        <v>0</v>
      </c>
      <c r="J90" s="7" t="s">
        <v>280</v>
      </c>
      <c r="K90" s="7" t="s">
        <v>281</v>
      </c>
      <c r="L90" s="8"/>
    </row>
    <row r="91" spans="1:12">
      <c r="A91" s="1">
        <v>90</v>
      </c>
      <c r="B91" s="1" t="str">
        <f>VLOOKUP(E91,ОКТМО!B:J,6,0)</f>
        <v>Хангаласский муниципальный район</v>
      </c>
      <c r="C91" s="1" t="str">
        <f>VLOOKUP(E91,ОКТМО!B:J,9,0)</f>
        <v>Мальжагарский 1-й наслег</v>
      </c>
      <c r="D91" s="11" t="str">
        <f>VLOOKUP(E91,ОКТМО!B:M,12,0)</f>
        <v>Булгунняхтах</v>
      </c>
      <c r="E91" s="12">
        <v>98644423101</v>
      </c>
      <c r="F91" s="1" t="s">
        <v>282</v>
      </c>
      <c r="G91" s="1" t="s">
        <v>282</v>
      </c>
      <c r="H91" s="1">
        <v>0</v>
      </c>
      <c r="I91" s="1">
        <v>0</v>
      </c>
      <c r="J91" s="7" t="s">
        <v>283</v>
      </c>
      <c r="K91" s="7" t="s">
        <v>284</v>
      </c>
      <c r="L91" s="8"/>
    </row>
    <row r="92" spans="1:12">
      <c r="A92" s="1">
        <v>91</v>
      </c>
      <c r="B92" s="1" t="str">
        <f>VLOOKUP(E92,ОКТМО!B:J,6,0)</f>
        <v>Городской округ Город Якутск</v>
      </c>
      <c r="C92" s="1" t="str">
        <f>VLOOKUP(E92,ОКТМО!B:J,9,0)</f>
        <v>город Якутск</v>
      </c>
      <c r="D92" s="1" t="str">
        <f>VLOOKUP(E92,ОКТМО!B:M,12,0)</f>
        <v>Якутск</v>
      </c>
      <c r="E92" s="6">
        <v>98701000001</v>
      </c>
      <c r="F92" s="1" t="s">
        <v>285</v>
      </c>
      <c r="G92" s="1" t="s">
        <v>286</v>
      </c>
      <c r="H92" s="1">
        <v>0</v>
      </c>
      <c r="I92" s="1">
        <v>0</v>
      </c>
      <c r="J92" s="1" t="s">
        <v>287</v>
      </c>
      <c r="K92" s="1" t="s">
        <v>288</v>
      </c>
      <c r="L92" s="8"/>
    </row>
    <row r="93" spans="1:12">
      <c r="A93" s="1">
        <v>92</v>
      </c>
      <c r="B93" s="1" t="str">
        <f>VLOOKUP(E93,ОКТМО!B:J,6,0)</f>
        <v>Горный муниципальный район</v>
      </c>
      <c r="C93" s="1" t="str">
        <f>VLOOKUP(E93,ОКТМО!B:J,9,0)</f>
        <v>Одунунский наслег</v>
      </c>
      <c r="D93" s="1" t="str">
        <f>VLOOKUP(E93,ОКТМО!B:M,12,0)</f>
        <v>Магарас</v>
      </c>
      <c r="E93" s="6">
        <v>98620449101</v>
      </c>
      <c r="F93" s="1" t="s">
        <v>289</v>
      </c>
      <c r="G93" s="1" t="s">
        <v>290</v>
      </c>
      <c r="H93" s="1">
        <v>1000</v>
      </c>
      <c r="I93" s="1">
        <v>0</v>
      </c>
      <c r="J93" s="1" t="s">
        <v>291</v>
      </c>
      <c r="K93" s="1" t="s">
        <v>292</v>
      </c>
      <c r="L93" s="8"/>
    </row>
    <row r="94" spans="1:12">
      <c r="A94" s="1">
        <v>93</v>
      </c>
      <c r="B94" s="1" t="str">
        <f>VLOOKUP(E94,ОКТМО!B:J,6,0)</f>
        <v>Горный муниципальный район</v>
      </c>
      <c r="C94" s="1" t="str">
        <f>VLOOKUP(E94,ОКТМО!B:J,9,0)</f>
        <v>Бердигестяхский наслег</v>
      </c>
      <c r="D94" s="1" t="str">
        <f>VLOOKUP(E94,ОКТМО!B:M,12,0)</f>
        <v>Бердигестях</v>
      </c>
      <c r="E94" s="6">
        <v>98620410101</v>
      </c>
      <c r="F94" s="1" t="s">
        <v>293</v>
      </c>
      <c r="G94" s="1" t="s">
        <v>294</v>
      </c>
      <c r="H94" s="1">
        <v>1000</v>
      </c>
      <c r="I94" s="1">
        <v>0</v>
      </c>
      <c r="J94" s="1" t="s">
        <v>295</v>
      </c>
      <c r="K94" s="1" t="s">
        <v>296</v>
      </c>
      <c r="L94" s="8"/>
    </row>
    <row r="95" spans="1:12">
      <c r="A95" s="1">
        <v>94</v>
      </c>
      <c r="B95" s="1" t="str">
        <f>VLOOKUP(E95,ОКТМО!B:J,6,0)</f>
        <v>Горный муниципальный район</v>
      </c>
      <c r="C95" s="1" t="str">
        <f>VLOOKUP(E95,ОКТМО!B:J,9,0)</f>
        <v>Атамайский наслег</v>
      </c>
      <c r="D95" s="1" t="str">
        <f>VLOOKUP(E95,ОКТМО!B:M,12,0)</f>
        <v>Бясь-Кюель</v>
      </c>
      <c r="E95" s="6">
        <v>98620405101</v>
      </c>
      <c r="F95" s="1" t="s">
        <v>297</v>
      </c>
      <c r="G95" s="1" t="s">
        <v>272</v>
      </c>
      <c r="H95" s="1">
        <v>1000</v>
      </c>
      <c r="I95" s="1">
        <v>0</v>
      </c>
      <c r="J95" s="1" t="s">
        <v>298</v>
      </c>
      <c r="K95" s="1" t="s">
        <v>299</v>
      </c>
      <c r="L95" s="8"/>
    </row>
    <row r="96" spans="1:12">
      <c r="A96" s="1">
        <v>95</v>
      </c>
      <c r="B96" s="1" t="str">
        <f>VLOOKUP(E96,ОКТМО!B:J,6,0)</f>
        <v>Горный муниципальный район</v>
      </c>
      <c r="C96" s="1" t="str">
        <f>VLOOKUP(E96,ОКТМО!B:J,9,0)</f>
        <v>Шологонский наслег</v>
      </c>
      <c r="D96" s="1" t="str">
        <f>VLOOKUP(E96,ОКТМО!B:M,12,0)</f>
        <v>Ерт</v>
      </c>
      <c r="E96" s="6">
        <v>98620465101</v>
      </c>
      <c r="F96" s="1" t="s">
        <v>300</v>
      </c>
      <c r="G96" s="1" t="s">
        <v>301</v>
      </c>
      <c r="H96" s="1">
        <v>1000</v>
      </c>
      <c r="I96" s="1">
        <v>0</v>
      </c>
      <c r="J96" s="1" t="s">
        <v>302</v>
      </c>
      <c r="K96" s="1" t="s">
        <v>303</v>
      </c>
      <c r="L96" s="8"/>
    </row>
    <row r="97" spans="1:12">
      <c r="A97" s="1">
        <v>96</v>
      </c>
      <c r="B97" s="1" t="str">
        <f>VLOOKUP(E97,ОКТМО!B:J,6,0)</f>
        <v>Амгинский муниципальный район</v>
      </c>
      <c r="C97" s="1" t="str">
        <f>VLOOKUP(E97,ОКТМО!B:J,9,0)</f>
        <v>Алтанский наслег</v>
      </c>
      <c r="D97" s="1" t="str">
        <f>VLOOKUP(E97,ОКТМО!B:M,12,0)</f>
        <v>Алтанцы</v>
      </c>
      <c r="E97" s="6">
        <v>98608414101</v>
      </c>
      <c r="F97" s="1" t="s">
        <v>304</v>
      </c>
      <c r="G97" s="1" t="s">
        <v>305</v>
      </c>
      <c r="H97" s="1">
        <v>667</v>
      </c>
      <c r="I97" s="1">
        <v>0</v>
      </c>
      <c r="J97" s="1" t="s">
        <v>306</v>
      </c>
      <c r="K97" s="1" t="s">
        <v>307</v>
      </c>
      <c r="L97" s="8"/>
    </row>
    <row r="98" spans="1:12">
      <c r="A98" s="1">
        <v>97</v>
      </c>
      <c r="B98" s="1" t="str">
        <f>VLOOKUP(E98,ОКТМО!B:J,6,0)</f>
        <v>Амгинский муниципальный район</v>
      </c>
      <c r="C98" s="1" t="str">
        <f>VLOOKUP(E98,ОКТМО!B:J,9,0)</f>
        <v>Сатагайский наслег</v>
      </c>
      <c r="D98" s="1" t="str">
        <f>VLOOKUP(E98,ОКТМО!B:M,12,0)</f>
        <v>Сатагай</v>
      </c>
      <c r="E98" s="6">
        <v>98608458101</v>
      </c>
      <c r="F98" s="1" t="s">
        <v>304</v>
      </c>
      <c r="G98" s="1" t="s">
        <v>308</v>
      </c>
      <c r="H98" s="1">
        <v>1000</v>
      </c>
      <c r="I98" s="1">
        <v>0</v>
      </c>
      <c r="J98" s="1" t="s">
        <v>309</v>
      </c>
      <c r="K98" s="1" t="s">
        <v>310</v>
      </c>
      <c r="L98" s="8"/>
    </row>
    <row r="99" spans="1:12">
      <c r="A99" s="1">
        <v>98</v>
      </c>
      <c r="B99" s="1" t="str">
        <f>VLOOKUP(E99,ОКТМО!B:J,6,0)</f>
        <v>Мегино-Кангаласский муниципальный район</v>
      </c>
      <c r="C99" s="1" t="str">
        <f>VLOOKUP(E99,ОКТМО!B:J,9,0)</f>
        <v>Мельжехсинский наслег</v>
      </c>
      <c r="D99" s="1" t="str">
        <f>VLOOKUP(E99,ОКТМО!B:M,12,0)</f>
        <v>Суола</v>
      </c>
      <c r="E99" s="6">
        <v>98629429101</v>
      </c>
      <c r="F99" s="1" t="s">
        <v>304</v>
      </c>
      <c r="G99" s="1" t="s">
        <v>311</v>
      </c>
      <c r="H99" s="1">
        <v>500</v>
      </c>
      <c r="I99" s="1">
        <v>0</v>
      </c>
      <c r="J99" s="1" t="s">
        <v>312</v>
      </c>
      <c r="K99" s="1" t="s">
        <v>313</v>
      </c>
      <c r="L99" s="8"/>
    </row>
    <row r="100" spans="1:12">
      <c r="A100" s="1">
        <v>99</v>
      </c>
      <c r="B100" s="1" t="str">
        <f>VLOOKUP(E100,ОКТМО!B:J,6,0)</f>
        <v>Кобяйский муниципальный район</v>
      </c>
      <c r="C100" s="1" t="str">
        <f>VLOOKUP(E100,ОКТМО!B:J,9,0)</f>
        <v>Нижилинский наслег</v>
      </c>
      <c r="D100" s="14" t="str">
        <f>VLOOKUP(E100,ОКТМО!B:M,12,0)</f>
        <v>Чагда</v>
      </c>
      <c r="E100" s="15">
        <v>98624445101</v>
      </c>
      <c r="F100" s="1" t="s">
        <v>212</v>
      </c>
      <c r="G100" s="1" t="s">
        <v>314</v>
      </c>
      <c r="H100" s="1">
        <v>1000</v>
      </c>
      <c r="I100" s="1">
        <v>0</v>
      </c>
      <c r="J100" s="1" t="s">
        <v>315</v>
      </c>
      <c r="K100" s="1" t="s">
        <v>316</v>
      </c>
      <c r="L100" s="8"/>
    </row>
    <row r="101" spans="1:12">
      <c r="A101" s="1">
        <v>100</v>
      </c>
      <c r="B101" s="1" t="str">
        <f>VLOOKUP(E101,ОКТМО!B:J,6,0)</f>
        <v>Момский муниципальный район</v>
      </c>
      <c r="C101" s="1" t="str">
        <f>VLOOKUP(E101,ОКТМО!B:J,9,0)</f>
        <v>Момский национальный наслег</v>
      </c>
      <c r="D101" s="1" t="str">
        <f>VLOOKUP(E101,ОКТМО!B:M,12,0)</f>
        <v>Суон-Тит</v>
      </c>
      <c r="E101" s="6">
        <v>98633423106</v>
      </c>
      <c r="F101" s="1" t="s">
        <v>317</v>
      </c>
      <c r="G101" s="1" t="s">
        <v>318</v>
      </c>
      <c r="H101" s="1">
        <v>2224</v>
      </c>
      <c r="I101" s="1">
        <v>0</v>
      </c>
      <c r="J101" s="7" t="s">
        <v>319</v>
      </c>
      <c r="K101" s="7" t="s">
        <v>320</v>
      </c>
      <c r="L101" s="8"/>
    </row>
    <row r="102" spans="1:12">
      <c r="A102" s="1">
        <v>101</v>
      </c>
      <c r="B102" s="1" t="str">
        <f>VLOOKUP(E102,ОКТМО!B:J,6,0)</f>
        <v>Алданский муниципальный район</v>
      </c>
      <c r="C102" s="1" t="str">
        <f>VLOOKUP(E102,ОКТМО!B:J,9,0)</f>
        <v>Беллетский эвенкийский национальный наслег</v>
      </c>
      <c r="D102" s="1" t="str">
        <f>VLOOKUP(E102,ОКТМО!B:M,12,0)</f>
        <v>Хатыстыр</v>
      </c>
      <c r="E102" s="6">
        <v>98603407101</v>
      </c>
      <c r="F102" s="1" t="s">
        <v>317</v>
      </c>
      <c r="G102" s="1" t="s">
        <v>321</v>
      </c>
      <c r="H102" s="1">
        <v>1000</v>
      </c>
      <c r="I102" s="1">
        <v>676</v>
      </c>
      <c r="J102" s="7" t="s">
        <v>322</v>
      </c>
      <c r="K102" s="7" t="s">
        <v>323</v>
      </c>
      <c r="L102" s="8"/>
    </row>
    <row r="103" spans="1:12">
      <c r="A103" s="1">
        <v>102</v>
      </c>
      <c r="B103" s="1" t="str">
        <f>VLOOKUP(E103,ОКТМО!B:J,6,0)</f>
        <v>Алданский муниципальный район</v>
      </c>
      <c r="C103" s="1" t="str">
        <f>VLOOKUP(E103,ОКТМО!B:J,9,0)</f>
        <v>город Томмот</v>
      </c>
      <c r="D103" s="1" t="str">
        <f>VLOOKUP(E103,ОКТМО!B:M,12,0)</f>
        <v>Томмот</v>
      </c>
      <c r="E103" s="6">
        <v>98603105001</v>
      </c>
      <c r="F103" s="1" t="s">
        <v>317</v>
      </c>
      <c r="G103" s="1" t="s">
        <v>324</v>
      </c>
      <c r="H103" s="1">
        <v>820</v>
      </c>
      <c r="I103" s="1">
        <v>0</v>
      </c>
      <c r="J103" s="7" t="s">
        <v>325</v>
      </c>
      <c r="K103" s="7" t="s">
        <v>326</v>
      </c>
      <c r="L103" s="8"/>
    </row>
    <row r="104" spans="1:12">
      <c r="A104" s="1">
        <v>103</v>
      </c>
      <c r="B104" s="1" t="str">
        <f>VLOOKUP(E104,ОКТМО!B:J,6,0)</f>
        <v>Алданский муниципальный район</v>
      </c>
      <c r="C104" s="1" t="str">
        <f>VLOOKUP(E104,ОКТМО!B:J,9,0)</f>
        <v>город Томмот</v>
      </c>
      <c r="D104" s="11" t="str">
        <f>VLOOKUP(E104,ОКТМО!B:M,12,0)</f>
        <v>Томмот</v>
      </c>
      <c r="E104" s="12">
        <v>98603105001</v>
      </c>
      <c r="F104" s="1" t="s">
        <v>317</v>
      </c>
      <c r="G104" s="1" t="s">
        <v>327</v>
      </c>
      <c r="H104" s="1">
        <v>1200</v>
      </c>
      <c r="I104" s="1">
        <v>130</v>
      </c>
      <c r="J104" s="7" t="s">
        <v>328</v>
      </c>
      <c r="K104" s="7" t="s">
        <v>329</v>
      </c>
      <c r="L104" s="8"/>
    </row>
    <row r="105" spans="1:12">
      <c r="A105" s="1">
        <v>104</v>
      </c>
      <c r="B105" s="1" t="str">
        <f>VLOOKUP(E105,ОКТМО!B:J,6,0)</f>
        <v>Алданский муниципальный район</v>
      </c>
      <c r="C105" s="1" t="str">
        <f>VLOOKUP(E105,ОКТМО!B:J,9,0)</f>
        <v>Чагдинский наслег</v>
      </c>
      <c r="D105" s="1" t="str">
        <f>VLOOKUP(E105,ОКТМО!B:M,12,0)</f>
        <v>Чагда</v>
      </c>
      <c r="E105" s="6">
        <v>98603460101</v>
      </c>
      <c r="F105" s="1" t="s">
        <v>317</v>
      </c>
      <c r="G105" s="1" t="s">
        <v>330</v>
      </c>
      <c r="H105" s="1">
        <v>480</v>
      </c>
      <c r="I105" s="1">
        <v>480</v>
      </c>
      <c r="J105" s="7" t="s">
        <v>331</v>
      </c>
      <c r="K105" s="7" t="s">
        <v>332</v>
      </c>
      <c r="L105" s="8"/>
    </row>
    <row r="106" spans="1:12">
      <c r="A106" s="1">
        <v>105</v>
      </c>
      <c r="B106" s="1" t="str">
        <f>VLOOKUP(E106,ОКТМО!B:J,6,0)</f>
        <v>Усть-Майский муниципальный район</v>
      </c>
      <c r="C106" s="1" t="str">
        <f>VLOOKUP(E106,ОКТМО!B:J,9,0)</f>
        <v>село Белькачи</v>
      </c>
      <c r="D106" s="1" t="str">
        <f>VLOOKUP(E106,ОКТМО!B:M,12,0)</f>
        <v>Белькачи</v>
      </c>
      <c r="E106" s="6">
        <v>98654405101</v>
      </c>
      <c r="F106" s="1" t="s">
        <v>317</v>
      </c>
      <c r="G106" s="1" t="s">
        <v>333</v>
      </c>
      <c r="H106" s="1">
        <v>2130</v>
      </c>
      <c r="I106" s="1">
        <v>0</v>
      </c>
      <c r="J106" s="1" t="s">
        <v>334</v>
      </c>
      <c r="K106" s="1" t="s">
        <v>335</v>
      </c>
      <c r="L106" s="8"/>
    </row>
    <row r="107" spans="1:12">
      <c r="A107" s="1">
        <v>106</v>
      </c>
      <c r="B107" s="1" t="str">
        <f>VLOOKUP(E107,ОКТМО!B:J,6,0)</f>
        <v>Усть-Майский муниципальный район</v>
      </c>
      <c r="C107" s="1" t="str">
        <f>VLOOKUP(E107,ОКТМО!B:J,9,0)</f>
        <v>село Усть-Миль</v>
      </c>
      <c r="D107" s="1" t="str">
        <f>VLOOKUP(E107,ОКТМО!B:M,12,0)</f>
        <v>Усть-Миль</v>
      </c>
      <c r="E107" s="6">
        <v>98654415101</v>
      </c>
      <c r="F107" s="1" t="s">
        <v>317</v>
      </c>
      <c r="G107" s="1" t="s">
        <v>336</v>
      </c>
      <c r="H107" s="1">
        <v>1470</v>
      </c>
      <c r="I107" s="1">
        <v>200</v>
      </c>
      <c r="J107" s="7" t="s">
        <v>337</v>
      </c>
      <c r="K107" s="7" t="s">
        <v>338</v>
      </c>
      <c r="L107" s="8"/>
    </row>
    <row r="108" spans="1:12">
      <c r="A108" s="1">
        <v>107</v>
      </c>
      <c r="B108" s="1" t="str">
        <f>VLOOKUP(E108,ОКТМО!B:J,6,0)</f>
        <v>Усть-Майский муниципальный район</v>
      </c>
      <c r="C108" s="1" t="str">
        <f>VLOOKUP(E108,ОКТМО!B:J,9,0)</f>
        <v>Петропавловский национальный наслег</v>
      </c>
      <c r="D108" s="1" t="str">
        <f>VLOOKUP(E108,ОКТМО!B:M,12,0)</f>
        <v>Петропавловск</v>
      </c>
      <c r="E108" s="6">
        <v>98654420101</v>
      </c>
      <c r="F108" s="1" t="s">
        <v>317</v>
      </c>
      <c r="G108" s="1" t="s">
        <v>339</v>
      </c>
      <c r="H108" s="1">
        <v>1300</v>
      </c>
      <c r="I108" s="1">
        <v>0</v>
      </c>
      <c r="J108" s="7" t="s">
        <v>340</v>
      </c>
      <c r="K108" s="7" t="s">
        <v>341</v>
      </c>
      <c r="L108" s="8"/>
    </row>
    <row r="109" spans="1:12">
      <c r="A109" s="1">
        <v>108</v>
      </c>
      <c r="B109" s="1" t="str">
        <f>VLOOKUP(E109,ОКТМО!B:J,6,0)</f>
        <v>Усть-Майский муниципальный район</v>
      </c>
      <c r="C109" s="1" t="str">
        <f>VLOOKUP(E109,ОКТМО!B:J,9,0)</f>
        <v>Эжанский национальный наслег</v>
      </c>
      <c r="D109" s="1" t="str">
        <f>VLOOKUP(E109,ОКТМО!B:M,12,0)</f>
        <v>Эжанцы</v>
      </c>
      <c r="E109" s="6">
        <v>98654425101</v>
      </c>
      <c r="F109" s="1" t="s">
        <v>317</v>
      </c>
      <c r="G109" s="1" t="s">
        <v>342</v>
      </c>
      <c r="H109" s="1">
        <v>1415</v>
      </c>
      <c r="I109" s="1">
        <v>0</v>
      </c>
      <c r="J109" s="1" t="s">
        <v>343</v>
      </c>
      <c r="K109" s="1" t="s">
        <v>344</v>
      </c>
      <c r="L109" s="8"/>
    </row>
    <row r="110" spans="1:12">
      <c r="A110" s="1">
        <v>109</v>
      </c>
      <c r="B110" s="1" t="str">
        <f>VLOOKUP(E110,ОКТМО!B:J,6,0)</f>
        <v>Усть-Майский муниципальный район</v>
      </c>
      <c r="C110" s="1" t="str">
        <f>VLOOKUP(E110,ОКТМО!B:J,9,0)</f>
        <v>поселок Эльдикан</v>
      </c>
      <c r="D110" s="1" t="str">
        <f>VLOOKUP(E110,ОКТМО!B:M,12,0)</f>
        <v>Эльдикан</v>
      </c>
      <c r="E110" s="6">
        <v>98654164051</v>
      </c>
      <c r="F110" s="1" t="s">
        <v>317</v>
      </c>
      <c r="G110" s="1" t="s">
        <v>345</v>
      </c>
      <c r="H110" s="1">
        <v>1515</v>
      </c>
      <c r="I110" s="1">
        <v>310</v>
      </c>
      <c r="J110" s="7" t="s">
        <v>346</v>
      </c>
      <c r="K110" s="7" t="s">
        <v>347</v>
      </c>
      <c r="L110" s="8"/>
    </row>
    <row r="111" spans="1:12">
      <c r="A111" s="1">
        <v>110</v>
      </c>
      <c r="B111" s="1" t="str">
        <f>VLOOKUP(E111,ОКТМО!B:J,6,0)</f>
        <v>Усть-Майский муниципальный район</v>
      </c>
      <c r="C111" s="1" t="str">
        <f>VLOOKUP(E111,ОКТМО!B:J,9,0)</f>
        <v>Кюпский эвенкийский национальный наслег</v>
      </c>
      <c r="D111" s="1" t="str">
        <f>VLOOKUP(E111,ОКТМО!B:M,12,0)</f>
        <v>Кюпцы</v>
      </c>
      <c r="E111" s="6">
        <v>98654410101</v>
      </c>
      <c r="F111" s="1" t="s">
        <v>317</v>
      </c>
      <c r="G111" s="1" t="s">
        <v>348</v>
      </c>
      <c r="H111" s="1">
        <v>1190</v>
      </c>
      <c r="I111" s="1">
        <v>0</v>
      </c>
      <c r="J111" s="1" t="s">
        <v>349</v>
      </c>
      <c r="K111" s="1" t="s">
        <v>350</v>
      </c>
      <c r="L111" s="8"/>
    </row>
    <row r="112" spans="1:12">
      <c r="A112" s="1">
        <v>111</v>
      </c>
      <c r="B112" s="1" t="str">
        <f>VLOOKUP(E112,ОКТМО!B:J,6,0)</f>
        <v>Томпонский муниципальный район</v>
      </c>
      <c r="C112" s="1" t="str">
        <f>VLOOKUP(E112,ОКТМО!B:J,9,0)</f>
        <v>Охот-Перевозовский наслег</v>
      </c>
      <c r="D112" s="1" t="str">
        <f>VLOOKUP(E112,ОКТМО!B:M,12,0)</f>
        <v>Охотский-Перевоз</v>
      </c>
      <c r="E112" s="6">
        <v>98650425101</v>
      </c>
      <c r="F112" s="1" t="s">
        <v>317</v>
      </c>
      <c r="G112" s="1" t="s">
        <v>351</v>
      </c>
      <c r="H112" s="1">
        <v>1190</v>
      </c>
      <c r="I112" s="1">
        <v>0</v>
      </c>
      <c r="J112" s="7" t="s">
        <v>352</v>
      </c>
      <c r="K112" s="7" t="s">
        <v>353</v>
      </c>
      <c r="L112" s="8"/>
    </row>
    <row r="113" spans="1:12">
      <c r="A113" s="1">
        <v>112</v>
      </c>
      <c r="B113" s="1" t="str">
        <f>VLOOKUP(E113,ОКТМО!B:J,6,0)</f>
        <v>Томпонский муниципальный район</v>
      </c>
      <c r="C113" s="1" t="str">
        <f>VLOOKUP(E113,ОКТМО!B:J,9,0)</f>
        <v>поселок Джебарики-Хая</v>
      </c>
      <c r="D113" s="1" t="str">
        <f>VLOOKUP(E113,ОКТМО!B:M,12,0)</f>
        <v>Джебарики-Хая</v>
      </c>
      <c r="E113" s="6">
        <v>98650152051</v>
      </c>
      <c r="F113" s="1" t="s">
        <v>317</v>
      </c>
      <c r="G113" s="1" t="s">
        <v>354</v>
      </c>
      <c r="H113" s="1">
        <v>1170</v>
      </c>
      <c r="I113" s="1">
        <v>0</v>
      </c>
      <c r="J113" s="1" t="s">
        <v>355</v>
      </c>
      <c r="K113" s="1" t="s">
        <v>356</v>
      </c>
      <c r="L113" s="8"/>
    </row>
    <row r="114" spans="1:12">
      <c r="A114" s="1">
        <v>113</v>
      </c>
      <c r="B114" s="1" t="str">
        <f>VLOOKUP(E114,ОКТМО!B:J,6,0)</f>
        <v>Мирнинский муниципальный район</v>
      </c>
      <c r="C114" s="1" t="str">
        <f>VLOOKUP(E114,ОКТМО!B:J,9,0)</f>
        <v>поселок Алмазный</v>
      </c>
      <c r="D114" s="1" t="str">
        <f>VLOOKUP(E114,ОКТМО!B:M,12,0)</f>
        <v>Новый</v>
      </c>
      <c r="E114" s="6">
        <v>98631155111</v>
      </c>
      <c r="F114" s="1" t="s">
        <v>317</v>
      </c>
      <c r="G114" s="1" t="s">
        <v>357</v>
      </c>
      <c r="H114" s="1">
        <v>950</v>
      </c>
      <c r="I114" s="1">
        <v>0</v>
      </c>
      <c r="J114" s="1" t="s">
        <v>358</v>
      </c>
      <c r="K114" s="1" t="s">
        <v>359</v>
      </c>
      <c r="L114" s="8"/>
    </row>
    <row r="115" spans="1:12">
      <c r="A115" s="1">
        <v>114</v>
      </c>
      <c r="B115" s="1" t="str">
        <f>VLOOKUP(E115,ОКТМО!B:J,6,0)</f>
        <v>Томпонский муниципальный район</v>
      </c>
      <c r="C115" s="1" t="str">
        <f>VLOOKUP(E115,ОКТМО!B:J,9,0)</f>
        <v>поселок Хандыга</v>
      </c>
      <c r="D115" s="1" t="str">
        <f>VLOOKUP(E115,ОКТМО!B:M,12,0)</f>
        <v>Хандыга</v>
      </c>
      <c r="E115" s="6">
        <v>98650151051</v>
      </c>
      <c r="F115" s="1" t="s">
        <v>317</v>
      </c>
      <c r="G115" s="1" t="s">
        <v>360</v>
      </c>
      <c r="H115" s="1">
        <v>990</v>
      </c>
      <c r="I115" s="1">
        <v>0</v>
      </c>
      <c r="J115" s="7" t="s">
        <v>361</v>
      </c>
      <c r="K115" s="7" t="s">
        <v>362</v>
      </c>
      <c r="L115" s="8"/>
    </row>
    <row r="116" spans="1:12">
      <c r="A116" s="1">
        <v>115</v>
      </c>
      <c r="B116" s="1" t="str">
        <f>VLOOKUP(E116,ОКТМО!B:J,6,0)</f>
        <v>Томпонский муниципальный район</v>
      </c>
      <c r="C116" s="1" t="str">
        <f>VLOOKUP(E116,ОКТМО!B:J,9,0)</f>
        <v>Сасыльский наслег</v>
      </c>
      <c r="D116" s="1" t="str">
        <f>VLOOKUP(E116,ОКТМО!B:M,12,0)</f>
        <v>Кескил</v>
      </c>
      <c r="E116" s="6">
        <v>98650430101</v>
      </c>
      <c r="F116" s="1" t="s">
        <v>317</v>
      </c>
      <c r="G116" s="1" t="s">
        <v>363</v>
      </c>
      <c r="H116" s="1">
        <v>815</v>
      </c>
      <c r="I116" s="1">
        <v>0</v>
      </c>
      <c r="J116" s="1" t="s">
        <v>364</v>
      </c>
      <c r="K116" s="1" t="s">
        <v>365</v>
      </c>
      <c r="L116" s="8"/>
    </row>
    <row r="117" spans="1:12">
      <c r="A117" s="1">
        <v>116</v>
      </c>
      <c r="B117" s="1" t="str">
        <f>VLOOKUP(E117,ОКТМО!B:J,6,0)</f>
        <v>Томпонский муниципальный район</v>
      </c>
      <c r="C117" s="1" t="str">
        <f>VLOOKUP(E117,ОКТМО!B:J,9,0)</f>
        <v>Мегино-Алданский наслег</v>
      </c>
      <c r="D117" s="1" t="str">
        <f>VLOOKUP(E117,ОКТМО!B:M,12,0)</f>
        <v>Мегино-Алдан</v>
      </c>
      <c r="E117" s="6">
        <v>98650415101</v>
      </c>
      <c r="F117" s="1" t="s">
        <v>317</v>
      </c>
      <c r="G117" s="1" t="s">
        <v>366</v>
      </c>
      <c r="H117" s="1">
        <v>700</v>
      </c>
      <c r="I117" s="1">
        <v>0</v>
      </c>
      <c r="J117" s="1" t="s">
        <v>367</v>
      </c>
      <c r="K117" s="1" t="s">
        <v>368</v>
      </c>
      <c r="L117" s="8"/>
    </row>
    <row r="118" spans="1:12">
      <c r="A118" s="1">
        <v>117</v>
      </c>
      <c r="B118" s="1" t="str">
        <f>VLOOKUP(E118,ОКТМО!B:J,6,0)</f>
        <v>Томпонский муниципальный район</v>
      </c>
      <c r="C118" s="1" t="str">
        <f>VLOOKUP(E118,ОКТМО!B:J,9,0)</f>
        <v>Баягантайский наслег</v>
      </c>
      <c r="D118" s="1" t="str">
        <f>VLOOKUP(E118,ОКТМО!B:M,12,0)</f>
        <v>Крест-Хальджай</v>
      </c>
      <c r="E118" s="6">
        <v>98650405101</v>
      </c>
      <c r="F118" s="1" t="s">
        <v>317</v>
      </c>
      <c r="G118" s="1" t="s">
        <v>369</v>
      </c>
      <c r="H118" s="1">
        <v>1088</v>
      </c>
      <c r="I118" s="1">
        <v>60</v>
      </c>
      <c r="J118" s="7" t="s">
        <v>370</v>
      </c>
      <c r="K118" s="7" t="s">
        <v>371</v>
      </c>
      <c r="L118" s="8"/>
    </row>
    <row r="119" spans="1:12">
      <c r="A119" s="1">
        <v>118</v>
      </c>
      <c r="B119" s="1" t="str">
        <f>VLOOKUP(E119,ОКТМО!B:J,6,0)</f>
        <v>Таттинский муниципальный район</v>
      </c>
      <c r="C119" s="1" t="str">
        <f>VLOOKUP(E119,ОКТМО!B:J,9,0)</f>
        <v>Хара-Алданский наслег</v>
      </c>
      <c r="D119" s="1" t="str">
        <f>VLOOKUP(E119,ОКТМО!B:M,12,0)</f>
        <v>Хара-Алдан</v>
      </c>
      <c r="E119" s="6">
        <v>98604465101</v>
      </c>
      <c r="F119" s="1" t="s">
        <v>317</v>
      </c>
      <c r="G119" s="1" t="s">
        <v>372</v>
      </c>
      <c r="H119" s="1">
        <v>1000</v>
      </c>
      <c r="I119" s="1">
        <v>0</v>
      </c>
      <c r="J119" s="1" t="s">
        <v>373</v>
      </c>
      <c r="K119" s="1" t="s">
        <v>374</v>
      </c>
      <c r="L119" s="8"/>
    </row>
    <row r="120" spans="1:12">
      <c r="A120" s="1">
        <v>119</v>
      </c>
      <c r="B120" s="1" t="str">
        <f>VLOOKUP(E120,ОКТМО!B:J,6,0)</f>
        <v>Усть-Алданский муниципальный район</v>
      </c>
      <c r="C120" s="1" t="str">
        <f>VLOOKUP(E120,ОКТМО!B:J,9,0)</f>
        <v>Тюляхский наслег</v>
      </c>
      <c r="D120" s="1" t="str">
        <f>VLOOKUP(E120,ОКТМО!B:M,12,0)</f>
        <v>Кылайы</v>
      </c>
      <c r="E120" s="6">
        <v>98652475101</v>
      </c>
      <c r="F120" s="1" t="s">
        <v>317</v>
      </c>
      <c r="G120" s="1" t="s">
        <v>375</v>
      </c>
      <c r="H120" s="1">
        <v>1300</v>
      </c>
      <c r="I120" s="1">
        <v>270</v>
      </c>
      <c r="J120" s="7" t="s">
        <v>376</v>
      </c>
      <c r="K120" s="7" t="s">
        <v>377</v>
      </c>
      <c r="L120" s="8"/>
    </row>
    <row r="121" spans="1:12">
      <c r="A121" s="1">
        <v>120</v>
      </c>
      <c r="B121" s="1" t="str">
        <f>VLOOKUP(E121,ОКТМО!B:J,6,0)</f>
        <v>Усть-Алданский муниципальный район</v>
      </c>
      <c r="C121" s="1" t="str">
        <f>VLOOKUP(E121,ОКТМО!B:J,9,0)</f>
        <v>Тюляхский наслег</v>
      </c>
      <c r="D121" s="1" t="str">
        <f>VLOOKUP(E121,ОКТМО!B:M,12,0)</f>
        <v>Кылайы</v>
      </c>
      <c r="E121" s="6">
        <v>98652475101</v>
      </c>
      <c r="F121" s="1" t="s">
        <v>317</v>
      </c>
      <c r="G121" s="1" t="s">
        <v>378</v>
      </c>
      <c r="H121" s="1">
        <v>1000</v>
      </c>
      <c r="I121" s="1">
        <v>0</v>
      </c>
      <c r="J121" s="1" t="s">
        <v>379</v>
      </c>
      <c r="K121" s="1" t="s">
        <v>380</v>
      </c>
      <c r="L121" s="8"/>
    </row>
    <row r="122" spans="1:12">
      <c r="A122" s="1">
        <v>121</v>
      </c>
      <c r="B122" s="1" t="str">
        <f>VLOOKUP(E122,ОКТМО!B:J,6,0)</f>
        <v>Усть-Алданский муниципальный район</v>
      </c>
      <c r="C122" s="1" t="str">
        <f>VLOOKUP(E122,ОКТМО!B:J,9,0)</f>
        <v>Чериктейский наслег</v>
      </c>
      <c r="D122" s="1" t="str">
        <f>VLOOKUP(E122,ОКТМО!B:M,12,0)</f>
        <v>Чериктей</v>
      </c>
      <c r="E122" s="6">
        <v>98652485101</v>
      </c>
      <c r="F122" s="1" t="s">
        <v>317</v>
      </c>
      <c r="G122" s="1" t="s">
        <v>381</v>
      </c>
      <c r="H122" s="1">
        <v>1000</v>
      </c>
      <c r="I122" s="1">
        <v>0</v>
      </c>
      <c r="J122" s="1" t="s">
        <v>382</v>
      </c>
      <c r="K122" s="1" t="s">
        <v>383</v>
      </c>
      <c r="L122" s="8"/>
    </row>
    <row r="123" spans="1:12">
      <c r="A123" s="1">
        <v>122</v>
      </c>
      <c r="B123" s="1" t="str">
        <f>VLOOKUP(E123,ОКТМО!B:J,6,0)</f>
        <v>Усть-Алданский муниципальный район</v>
      </c>
      <c r="C123" s="1" t="str">
        <f>VLOOKUP(E123,ОКТМО!B:J,9,0)</f>
        <v>Оспехский наслег</v>
      </c>
      <c r="D123" s="1" t="str">
        <f>VLOOKUP(E123,ОКТМО!B:M,12,0)</f>
        <v>Дыгдал</v>
      </c>
      <c r="E123" s="6">
        <v>98652465101</v>
      </c>
      <c r="F123" s="1" t="s">
        <v>317</v>
      </c>
      <c r="G123" s="1" t="s">
        <v>384</v>
      </c>
      <c r="H123" s="1">
        <v>1000</v>
      </c>
      <c r="I123" s="1">
        <v>0</v>
      </c>
      <c r="J123" s="1" t="s">
        <v>385</v>
      </c>
      <c r="K123" s="1" t="s">
        <v>386</v>
      </c>
      <c r="L123" s="8"/>
    </row>
    <row r="124" spans="1:12">
      <c r="A124" s="1">
        <v>123</v>
      </c>
      <c r="B124" s="1" t="str">
        <f>VLOOKUP(E124,ОКТМО!B:J,6,0)</f>
        <v>Кобяйский муниципальный район</v>
      </c>
      <c r="C124" s="1" t="str">
        <f>VLOOKUP(E124,ОКТМО!B:J,9,0)</f>
        <v>Кировский эвенский национальный наслег</v>
      </c>
      <c r="D124" s="1" t="str">
        <f>VLOOKUP(E124,ОКТМО!B:M,12,0)</f>
        <v>Батамай</v>
      </c>
      <c r="E124" s="6">
        <v>98624414106</v>
      </c>
      <c r="F124" s="1" t="s">
        <v>317</v>
      </c>
      <c r="G124" s="1" t="s">
        <v>387</v>
      </c>
      <c r="H124" s="1">
        <v>1140</v>
      </c>
      <c r="I124" s="1">
        <v>290</v>
      </c>
      <c r="J124" s="7" t="s">
        <v>388</v>
      </c>
      <c r="K124" s="7" t="s">
        <v>389</v>
      </c>
      <c r="L124" s="8"/>
    </row>
    <row r="125" spans="1:12">
      <c r="A125" s="1">
        <v>124</v>
      </c>
      <c r="B125" s="1" t="str">
        <f>VLOOKUP(E125,ОКТМО!B:J,6,0)</f>
        <v>Алданский муниципальный район</v>
      </c>
      <c r="C125" s="1" t="str">
        <f>VLOOKUP(E125,ОКТМО!B:J,9,0)</f>
        <v>город Алдан</v>
      </c>
      <c r="D125" s="1" t="str">
        <f>VLOOKUP(E125,ОКТМО!B:M,12,0)</f>
        <v>Большой Нимныр</v>
      </c>
      <c r="E125" s="6">
        <v>98603101111</v>
      </c>
      <c r="F125" s="1" t="s">
        <v>390</v>
      </c>
      <c r="G125" s="1" t="s">
        <v>390</v>
      </c>
      <c r="H125" s="1">
        <v>0</v>
      </c>
      <c r="I125" s="1">
        <v>0</v>
      </c>
      <c r="J125" s="1" t="s">
        <v>391</v>
      </c>
      <c r="K125" s="1" t="s">
        <v>392</v>
      </c>
      <c r="L125" s="8"/>
    </row>
    <row r="126" spans="1:12">
      <c r="A126" s="1">
        <v>125</v>
      </c>
      <c r="B126" s="1" t="str">
        <f>VLOOKUP(E126,ОКТМО!B:J,6,0)</f>
        <v>Алданский муниципальный район</v>
      </c>
      <c r="C126" s="1" t="str">
        <f>VLOOKUP(E126,ОКТМО!B:J,9,0)</f>
        <v>поселок Нижний Куранах</v>
      </c>
      <c r="D126" s="1" t="str">
        <f>VLOOKUP(E126,ОКТМО!B:M,12,0)</f>
        <v>Якокит</v>
      </c>
      <c r="E126" s="6">
        <v>98603170111</v>
      </c>
      <c r="F126" s="1" t="s">
        <v>393</v>
      </c>
      <c r="G126" s="1" t="s">
        <v>393</v>
      </c>
      <c r="H126" s="1">
        <v>0</v>
      </c>
      <c r="I126" s="1">
        <v>0</v>
      </c>
      <c r="J126" s="1" t="s">
        <v>394</v>
      </c>
      <c r="K126" s="1" t="s">
        <v>395</v>
      </c>
      <c r="L126" s="8"/>
    </row>
    <row r="127" spans="1:12">
      <c r="A127" s="1">
        <v>126</v>
      </c>
      <c r="B127" s="1" t="str">
        <f>VLOOKUP(E127,ОКТМО!B:J,6,0)</f>
        <v>Алданский муниципальный район</v>
      </c>
      <c r="C127" s="1" t="str">
        <f>VLOOKUP(E127,ОКТМО!B:J,9,0)</f>
        <v>город Томмот</v>
      </c>
      <c r="D127" s="11" t="str">
        <f>VLOOKUP(E127,ОКТМО!B:M,12,0)</f>
        <v>Томмот</v>
      </c>
      <c r="E127" s="12">
        <v>98603105001</v>
      </c>
      <c r="F127" s="1" t="s">
        <v>396</v>
      </c>
      <c r="G127" s="1" t="s">
        <v>397</v>
      </c>
      <c r="H127" s="1">
        <v>0</v>
      </c>
      <c r="I127" s="1">
        <v>0</v>
      </c>
      <c r="J127" s="7" t="s">
        <v>398</v>
      </c>
      <c r="K127" s="7" t="s">
        <v>399</v>
      </c>
      <c r="L127" s="8"/>
    </row>
    <row r="128" spans="1:12">
      <c r="A128" s="1">
        <v>127</v>
      </c>
      <c r="B128" s="1" t="str">
        <f>VLOOKUP(E128,ОКТМО!B:J,6,0)</f>
        <v>Алданский муниципальный район</v>
      </c>
      <c r="C128" s="1" t="str">
        <f>VLOOKUP(E128,ОКТМО!B:J,9,0)</f>
        <v>город Томмот</v>
      </c>
      <c r="D128" s="11" t="str">
        <f>VLOOKUP(E128,ОКТМО!B:M,12,0)</f>
        <v>Ыллымах</v>
      </c>
      <c r="E128" s="12">
        <v>98603105106</v>
      </c>
      <c r="F128" s="1" t="s">
        <v>400</v>
      </c>
      <c r="G128" s="1" t="s">
        <v>401</v>
      </c>
      <c r="H128" s="1">
        <v>0</v>
      </c>
      <c r="I128" s="1">
        <v>0</v>
      </c>
      <c r="J128" s="7" t="s">
        <v>402</v>
      </c>
      <c r="K128" s="7" t="s">
        <v>403</v>
      </c>
      <c r="L128" s="8"/>
    </row>
    <row r="129" spans="1:12">
      <c r="A129" s="1">
        <v>128</v>
      </c>
      <c r="B129" s="1" t="str">
        <f>VLOOKUP(E129,ОКТМО!B:J,6,0)</f>
        <v>Алданский муниципальный район</v>
      </c>
      <c r="C129" s="1" t="str">
        <f>VLOOKUP(E129,ОКТМО!B:J,9,0)</f>
        <v>город Томмот</v>
      </c>
      <c r="D129" s="11" t="str">
        <f>VLOOKUP(E129,ОКТМО!B:M,12,0)</f>
        <v>Ыллымах</v>
      </c>
      <c r="E129" s="12">
        <v>98603105106</v>
      </c>
      <c r="F129" s="1" t="s">
        <v>400</v>
      </c>
      <c r="G129" s="1" t="s">
        <v>404</v>
      </c>
      <c r="H129" s="1">
        <v>0</v>
      </c>
      <c r="I129" s="1">
        <v>0</v>
      </c>
      <c r="J129" s="7" t="s">
        <v>405</v>
      </c>
      <c r="K129" s="7" t="s">
        <v>406</v>
      </c>
      <c r="L129" s="8"/>
    </row>
    <row r="130" spans="1:12">
      <c r="A130" s="1">
        <v>129</v>
      </c>
      <c r="B130" s="1" t="str">
        <f>VLOOKUP(E130,ОКТМО!B:J,6,0)</f>
        <v>Алданский муниципальный район</v>
      </c>
      <c r="C130" s="1" t="str">
        <f>VLOOKUP(E130,ОКТМО!B:J,9,0)</f>
        <v>город Томмот</v>
      </c>
      <c r="D130" s="11" t="str">
        <f>VLOOKUP(E130,ОКТМО!B:M,12,0)</f>
        <v>Ыллымах</v>
      </c>
      <c r="E130" s="12">
        <v>98603105106</v>
      </c>
      <c r="F130" s="1" t="s">
        <v>400</v>
      </c>
      <c r="G130" s="1" t="s">
        <v>407</v>
      </c>
      <c r="H130" s="1">
        <v>0</v>
      </c>
      <c r="I130" s="1">
        <v>0</v>
      </c>
      <c r="J130" s="7" t="s">
        <v>408</v>
      </c>
      <c r="K130" s="7" t="s">
        <v>409</v>
      </c>
      <c r="L130" s="8"/>
    </row>
    <row r="131" spans="1:12">
      <c r="A131" s="1">
        <v>130</v>
      </c>
      <c r="B131" s="1" t="str">
        <f>VLOOKUP(E131,ОКТМО!B:J,6,0)</f>
        <v>Нерюнгринский муниципальный район</v>
      </c>
      <c r="C131" s="1" t="str">
        <f>VLOOKUP(E131,ОКТМО!B:J,9,0)</f>
        <v>поселок Золотинка</v>
      </c>
      <c r="D131" s="1" t="str">
        <f>VLOOKUP(E131,ОКТМО!B:M,12,0)</f>
        <v>Золотинка</v>
      </c>
      <c r="E131" s="6">
        <v>98660154051</v>
      </c>
      <c r="F131" s="1" t="s">
        <v>410</v>
      </c>
      <c r="G131" s="1" t="s">
        <v>411</v>
      </c>
      <c r="H131" s="1">
        <v>0</v>
      </c>
      <c r="I131" s="1">
        <v>0</v>
      </c>
      <c r="J131" s="1" t="s">
        <v>412</v>
      </c>
      <c r="K131" s="1" t="s">
        <v>413</v>
      </c>
      <c r="L131" s="8"/>
    </row>
    <row r="132" spans="1:12">
      <c r="A132" s="1">
        <v>131</v>
      </c>
      <c r="B132" s="1" t="str">
        <f>VLOOKUP(E132,ОКТМО!B:J,6,0)</f>
        <v>Нерюнгринский муниципальный район</v>
      </c>
      <c r="C132" s="1" t="str">
        <f>VLOOKUP(E132,ОКТМО!B:J,9,0)</f>
        <v>поселок Чульман</v>
      </c>
      <c r="D132" s="1" t="str">
        <f>VLOOKUP(E132,ОКТМО!B:M,12,0)</f>
        <v>Чульман</v>
      </c>
      <c r="E132" s="6">
        <v>98660165051</v>
      </c>
      <c r="F132" s="1" t="s">
        <v>414</v>
      </c>
      <c r="G132" s="1" t="s">
        <v>414</v>
      </c>
      <c r="H132" s="1">
        <v>1040</v>
      </c>
      <c r="I132" s="1">
        <v>0</v>
      </c>
      <c r="J132" s="1" t="s">
        <v>415</v>
      </c>
      <c r="K132" s="1" t="s">
        <v>416</v>
      </c>
      <c r="L132" s="8"/>
    </row>
    <row r="133" spans="1:12">
      <c r="A133" s="1">
        <v>132</v>
      </c>
      <c r="B133" s="1" t="str">
        <f>VLOOKUP(E133,ОКТМО!B:J,6,0)</f>
        <v>Нерюнгринский муниципальный район</v>
      </c>
      <c r="C133" s="1" t="str">
        <f>VLOOKUP(E133,ОКТМО!B:J,9,0)</f>
        <v>город Нерюнгри</v>
      </c>
      <c r="D133" s="1" t="str">
        <f>VLOOKUP(E133,ОКТМО!B:M,12,0)</f>
        <v>Нерюнгри</v>
      </c>
      <c r="E133" s="6">
        <v>98660101001</v>
      </c>
      <c r="F133" s="1" t="s">
        <v>417</v>
      </c>
      <c r="G133" s="1" t="s">
        <v>418</v>
      </c>
      <c r="H133" s="1">
        <v>960</v>
      </c>
      <c r="I133" s="1">
        <v>0</v>
      </c>
      <c r="J133" s="1" t="s">
        <v>419</v>
      </c>
      <c r="K133" s="1" t="s">
        <v>420</v>
      </c>
      <c r="L133" s="8"/>
    </row>
    <row r="134" spans="1:12">
      <c r="A134" s="1">
        <v>133</v>
      </c>
      <c r="B134" s="1" t="str">
        <f>VLOOKUP(E134,ОКТМО!B:J,6,0)</f>
        <v>Нерюнгринский муниципальный район</v>
      </c>
      <c r="C134" s="1" t="str">
        <f>VLOOKUP(E134,ОКТМО!B:J,9,0)</f>
        <v>поселок Чульман</v>
      </c>
      <c r="D134" s="1" t="str">
        <f>VLOOKUP(E134,ОКТМО!B:M,12,0)</f>
        <v>Большой Хатыми</v>
      </c>
      <c r="E134" s="6">
        <v>98660165106</v>
      </c>
      <c r="F134" s="1" t="s">
        <v>421</v>
      </c>
      <c r="G134" s="1" t="s">
        <v>421</v>
      </c>
      <c r="H134" s="1">
        <v>1190</v>
      </c>
      <c r="I134" s="1">
        <v>0</v>
      </c>
      <c r="J134" s="1" t="s">
        <v>422</v>
      </c>
      <c r="K134" s="1" t="s">
        <v>423</v>
      </c>
      <c r="L134" s="8"/>
    </row>
    <row r="135" spans="1:12">
      <c r="A135" s="1">
        <v>134</v>
      </c>
      <c r="B135" s="1" t="str">
        <f>VLOOKUP(E135,ОКТМО!B:J,6,0)</f>
        <v>Алданский муниципальный район</v>
      </c>
      <c r="C135" s="1" t="str">
        <f>VLOOKUP(E135,ОКТМО!B:J,9,0)</f>
        <v>город Томмот</v>
      </c>
      <c r="D135" s="1" t="str">
        <f>VLOOKUP(E135,ОКТМО!B:M,12,0)</f>
        <v>Ыллымах</v>
      </c>
      <c r="E135" s="6">
        <v>98603105106</v>
      </c>
      <c r="F135" s="1" t="s">
        <v>424</v>
      </c>
      <c r="G135" s="1" t="s">
        <v>425</v>
      </c>
      <c r="H135" s="1">
        <v>1200</v>
      </c>
      <c r="I135" s="1">
        <v>0</v>
      </c>
      <c r="J135" s="7" t="s">
        <v>426</v>
      </c>
      <c r="K135" s="7" t="s">
        <v>427</v>
      </c>
      <c r="L135" s="8"/>
    </row>
    <row r="136" spans="1:12">
      <c r="A136" s="1">
        <v>135</v>
      </c>
      <c r="B136" s="1" t="str">
        <f>VLOOKUP(E136,ОКТМО!B:J,6,0)</f>
        <v>Алданский муниципальный район</v>
      </c>
      <c r="C136" s="1" t="str">
        <f>VLOOKUP(E136,ОКТМО!B:J,9,0)</f>
        <v>Чагдинский наслег</v>
      </c>
      <c r="D136" s="11" t="str">
        <f>VLOOKUP(E136,ОКТМО!B:M,12,0)</f>
        <v>Чагда</v>
      </c>
      <c r="E136" s="12">
        <v>98603460101</v>
      </c>
      <c r="F136" s="1" t="s">
        <v>330</v>
      </c>
      <c r="G136" s="1" t="s">
        <v>428</v>
      </c>
      <c r="H136" s="1">
        <v>0</v>
      </c>
      <c r="I136" s="1">
        <v>0</v>
      </c>
      <c r="J136" s="7" t="s">
        <v>429</v>
      </c>
      <c r="K136" s="7" t="s">
        <v>430</v>
      </c>
      <c r="L136" s="8"/>
    </row>
    <row r="137" spans="1:12">
      <c r="A137" s="1">
        <v>136</v>
      </c>
      <c r="B137" s="1" t="str">
        <f>VLOOKUP(E137,ОКТМО!B:J,6,0)</f>
        <v>Аяно-Майский муниципальный район</v>
      </c>
      <c r="C137" s="1" t="str">
        <f>VLOOKUP(E137,ОКТМО!B:J,9,0)</f>
        <v>Нельканское</v>
      </c>
      <c r="D137" s="1" t="str">
        <f>VLOOKUP(E137,ОКТМО!B:M,12,0)</f>
        <v>Нелькан</v>
      </c>
      <c r="E137" s="6">
        <v>8606416101</v>
      </c>
      <c r="F137" s="1" t="s">
        <v>431</v>
      </c>
      <c r="G137" s="1" t="s">
        <v>432</v>
      </c>
      <c r="H137" s="1">
        <v>470</v>
      </c>
      <c r="I137" s="1">
        <v>0</v>
      </c>
      <c r="J137" s="7" t="s">
        <v>433</v>
      </c>
      <c r="K137" s="7" t="s">
        <v>434</v>
      </c>
      <c r="L137" s="8"/>
    </row>
    <row r="138" spans="1:12">
      <c r="A138" s="1">
        <v>137</v>
      </c>
      <c r="B138" s="1" t="str">
        <f>VLOOKUP(E138,ОКТМО!B:J,6,0)</f>
        <v>Аяно-Майский муниципальный район</v>
      </c>
      <c r="C138" s="1" t="str">
        <f>VLOOKUP(E138,ОКТМО!B:J,9,0)</f>
        <v>Аимское</v>
      </c>
      <c r="D138" s="1" t="str">
        <f>VLOOKUP(E138,ОКТМО!B:M,12,0)</f>
        <v>Аим</v>
      </c>
      <c r="E138" s="6">
        <v>8606402101</v>
      </c>
      <c r="F138" s="1" t="s">
        <v>431</v>
      </c>
      <c r="G138" s="1" t="s">
        <v>435</v>
      </c>
      <c r="H138" s="1">
        <v>475</v>
      </c>
      <c r="I138" s="1">
        <v>0</v>
      </c>
      <c r="J138" s="7" t="s">
        <v>436</v>
      </c>
      <c r="K138" s="7" t="s">
        <v>437</v>
      </c>
      <c r="L138" s="8"/>
    </row>
    <row r="139" spans="1:12">
      <c r="A139" s="1">
        <v>138</v>
      </c>
      <c r="B139" s="1" t="str">
        <f>VLOOKUP(E139,ОКТМО!B:J,6,0)</f>
        <v>Усть-Майский муниципальный район</v>
      </c>
      <c r="C139" s="1" t="str">
        <f>VLOOKUP(E139,ОКТМО!B:J,9,0)</f>
        <v>поселок Усть-Мая</v>
      </c>
      <c r="D139" s="1" t="str">
        <f>VLOOKUP(E139,ОКТМО!B:M,12,0)</f>
        <v>Усть-Юдома</v>
      </c>
      <c r="E139" s="6">
        <v>98654151106</v>
      </c>
      <c r="F139" s="1" t="s">
        <v>431</v>
      </c>
      <c r="G139" s="1" t="s">
        <v>438</v>
      </c>
      <c r="H139" s="1">
        <v>1460</v>
      </c>
      <c r="I139" s="1">
        <v>0</v>
      </c>
      <c r="J139" s="7" t="s">
        <v>439</v>
      </c>
      <c r="K139" s="7" t="s">
        <v>440</v>
      </c>
      <c r="L139" s="8"/>
    </row>
    <row r="140" spans="1:12">
      <c r="A140" s="1">
        <v>139</v>
      </c>
      <c r="B140" s="1" t="str">
        <f>VLOOKUP(E140,ОКТМО!B:J,6,0)</f>
        <v>Усть-Майский муниципальный район</v>
      </c>
      <c r="C140" s="1" t="str">
        <f>VLOOKUP(E140,ОКТМО!B:J,9,0)</f>
        <v>поселок Усть-Мая</v>
      </c>
      <c r="D140" s="11" t="str">
        <f>VLOOKUP(E140,ОКТМО!B:M,12,0)</f>
        <v>Усть-Юдома</v>
      </c>
      <c r="E140" s="12">
        <v>98654151106</v>
      </c>
      <c r="F140" s="1" t="s">
        <v>431</v>
      </c>
      <c r="G140" s="1" t="s">
        <v>441</v>
      </c>
      <c r="H140" s="1">
        <v>800</v>
      </c>
      <c r="I140" s="1">
        <v>0</v>
      </c>
      <c r="J140" s="7" t="s">
        <v>442</v>
      </c>
      <c r="K140" s="7" t="s">
        <v>443</v>
      </c>
      <c r="L140" s="8"/>
    </row>
    <row r="141" spans="1:12">
      <c r="A141" s="1">
        <v>140</v>
      </c>
      <c r="B141" s="1" t="str">
        <f>VLOOKUP(E141,ОКТМО!B:J,6,0)</f>
        <v>Усть-Майский муниципальный район</v>
      </c>
      <c r="C141" s="1" t="str">
        <f>VLOOKUP(E141,ОКТМО!B:J,9,0)</f>
        <v>поселок Звездочка</v>
      </c>
      <c r="D141" s="11" t="str">
        <f>VLOOKUP(E141,ОКТМО!B:M,12,0)</f>
        <v>Звездочка</v>
      </c>
      <c r="E141" s="12">
        <v>98654156051</v>
      </c>
      <c r="F141" s="1" t="s">
        <v>444</v>
      </c>
      <c r="G141" s="1" t="s">
        <v>445</v>
      </c>
      <c r="H141" s="1">
        <v>1130</v>
      </c>
      <c r="I141" s="1">
        <v>0</v>
      </c>
      <c r="J141" s="7" t="s">
        <v>446</v>
      </c>
      <c r="K141" s="7" t="s">
        <v>447</v>
      </c>
      <c r="L141" s="8"/>
    </row>
    <row r="142" spans="1:12">
      <c r="A142" s="1">
        <v>141</v>
      </c>
      <c r="B142" s="1" t="str">
        <f>VLOOKUP(E142,ОКТМО!B:J,6,0)</f>
        <v>Чурапчинский муниципальный район</v>
      </c>
      <c r="C142" s="1" t="str">
        <f>VLOOKUP(E142,ОКТМО!B:J,9,0)</f>
        <v>Болтогинский наслег</v>
      </c>
      <c r="D142" s="1" t="str">
        <f>VLOOKUP(E142,ОКТМО!B:M,12,0)</f>
        <v>Харбала 2-я</v>
      </c>
      <c r="E142" s="6">
        <v>98658410101</v>
      </c>
      <c r="F142" s="1" t="s">
        <v>448</v>
      </c>
      <c r="G142" s="1" t="s">
        <v>449</v>
      </c>
      <c r="H142" s="1">
        <v>1000</v>
      </c>
      <c r="I142" s="1">
        <v>0</v>
      </c>
      <c r="J142" s="1" t="s">
        <v>450</v>
      </c>
      <c r="K142" s="1" t="s">
        <v>451</v>
      </c>
      <c r="L142" s="8"/>
    </row>
    <row r="143" spans="1:12">
      <c r="A143" s="1">
        <v>142</v>
      </c>
      <c r="B143" s="1" t="str">
        <f>VLOOKUP(E143,ОКТМО!B:J,6,0)</f>
        <v>Таттинский муниципальный район</v>
      </c>
      <c r="C143" s="1" t="str">
        <f>VLOOKUP(E143,ОКТМО!B:J,9,0)</f>
        <v>Октябрьский наслег</v>
      </c>
      <c r="D143" s="1" t="str">
        <f>VLOOKUP(E143,ОКТМО!B:M,12,0)</f>
        <v>Черкёх</v>
      </c>
      <c r="E143" s="6">
        <v>98604435101</v>
      </c>
      <c r="F143" s="1" t="s">
        <v>448</v>
      </c>
      <c r="G143" s="1" t="s">
        <v>452</v>
      </c>
      <c r="H143" s="1">
        <v>1000</v>
      </c>
      <c r="I143" s="1">
        <v>0</v>
      </c>
      <c r="J143" s="1" t="s">
        <v>453</v>
      </c>
      <c r="K143" s="1" t="s">
        <v>454</v>
      </c>
      <c r="L143" s="8"/>
    </row>
    <row r="144" spans="1:12">
      <c r="A144" s="1">
        <v>143</v>
      </c>
      <c r="B144" s="1" t="str">
        <f>VLOOKUP(E144,ОКТМО!B:J,6,0)</f>
        <v>Таттинский муниципальный район</v>
      </c>
      <c r="C144" s="1" t="str">
        <f>VLOOKUP(E144,ОКТМО!B:J,9,0)</f>
        <v>Жохсогонский наслег</v>
      </c>
      <c r="D144" s="1" t="str">
        <f>VLOOKUP(E144,ОКТМО!B:M,12,0)</f>
        <v>Боробул</v>
      </c>
      <c r="E144" s="6">
        <v>98604420101</v>
      </c>
      <c r="F144" s="1" t="s">
        <v>448</v>
      </c>
      <c r="G144" s="1" t="s">
        <v>455</v>
      </c>
      <c r="H144" s="1">
        <v>1000</v>
      </c>
      <c r="I144" s="1">
        <v>0</v>
      </c>
      <c r="J144" s="1" t="s">
        <v>456</v>
      </c>
      <c r="K144" s="1" t="s">
        <v>457</v>
      </c>
      <c r="L144" s="8"/>
    </row>
    <row r="145" spans="1:12">
      <c r="A145" s="1">
        <v>144</v>
      </c>
      <c r="B145" s="1" t="str">
        <f>VLOOKUP(E145,ОКТМО!B:J,6,0)</f>
        <v>Алданский муниципальный район</v>
      </c>
      <c r="C145" s="1" t="str">
        <f>VLOOKUP(E145,ОКТМО!B:J,9,0)</f>
        <v>город Томмот</v>
      </c>
      <c r="D145" s="1" t="str">
        <f>VLOOKUP(E145,ОКТМО!B:M,12,0)</f>
        <v>Верхняя Амга</v>
      </c>
      <c r="E145" s="6">
        <v>98603105111</v>
      </c>
      <c r="F145" s="1" t="s">
        <v>458</v>
      </c>
      <c r="G145" s="1" t="s">
        <v>459</v>
      </c>
      <c r="H145" s="1">
        <v>676</v>
      </c>
      <c r="I145" s="1">
        <v>0</v>
      </c>
      <c r="J145" s="7" t="s">
        <v>460</v>
      </c>
      <c r="K145" s="7" t="s">
        <v>461</v>
      </c>
      <c r="L145" s="8"/>
    </row>
    <row r="146" spans="1:12">
      <c r="A146" s="1">
        <v>145</v>
      </c>
      <c r="B146" s="1" t="str">
        <f>VLOOKUP(E146,ОКТМО!B:J,6,0)</f>
        <v>Амгинский муниципальный район</v>
      </c>
      <c r="C146" s="1" t="str">
        <f>VLOOKUP(E146,ОКТМО!B:J,9,0)</f>
        <v>Амгинский наслег</v>
      </c>
      <c r="D146" s="1" t="str">
        <f>VLOOKUP(E146,ОКТМО!B:M,12,0)</f>
        <v>Амга</v>
      </c>
      <c r="E146" s="6">
        <v>98608432101</v>
      </c>
      <c r="F146" s="1" t="s">
        <v>458</v>
      </c>
      <c r="G146" s="1" t="s">
        <v>458</v>
      </c>
      <c r="H146" s="1">
        <v>925</v>
      </c>
      <c r="I146" s="1">
        <v>0</v>
      </c>
      <c r="J146" s="7" t="s">
        <v>462</v>
      </c>
      <c r="K146" s="7" t="s">
        <v>463</v>
      </c>
      <c r="L146" s="8"/>
    </row>
    <row r="147" spans="1:12">
      <c r="A147" s="1">
        <v>146</v>
      </c>
      <c r="B147" s="1" t="str">
        <f>VLOOKUP(E147,ОКТМО!B:J,6,0)</f>
        <v>Амгинский муниципальный район</v>
      </c>
      <c r="C147" s="1" t="str">
        <f>VLOOKUP(E147,ОКТМО!B:J,9,0)</f>
        <v>Абагинский наслег</v>
      </c>
      <c r="D147" s="1" t="str">
        <f>VLOOKUP(E147,ОКТМО!B:M,12,0)</f>
        <v>Абага</v>
      </c>
      <c r="E147" s="6">
        <v>98608405101</v>
      </c>
      <c r="F147" s="1" t="s">
        <v>458</v>
      </c>
      <c r="G147" s="1" t="s">
        <v>464</v>
      </c>
      <c r="H147" s="1">
        <v>960</v>
      </c>
      <c r="I147" s="1">
        <v>0</v>
      </c>
      <c r="J147" s="1" t="s">
        <v>465</v>
      </c>
      <c r="K147" s="1" t="s">
        <v>466</v>
      </c>
      <c r="L147" s="8"/>
    </row>
    <row r="148" spans="1:12">
      <c r="A148" s="1">
        <v>147</v>
      </c>
      <c r="B148" s="1" t="str">
        <f>VLOOKUP(E148,ОКТМО!B:J,6,0)</f>
        <v>Амгинский муниципальный район</v>
      </c>
      <c r="C148" s="1" t="str">
        <f>VLOOKUP(E148,ОКТМО!B:J,9,0)</f>
        <v>Мяндигинский наслег</v>
      </c>
      <c r="D148" s="1" t="str">
        <f>VLOOKUP(E148,ОКТМО!B:M,12,0)</f>
        <v>Мяндиги</v>
      </c>
      <c r="E148" s="6">
        <v>98608455101</v>
      </c>
      <c r="F148" s="1" t="s">
        <v>458</v>
      </c>
      <c r="G148" s="1" t="s">
        <v>467</v>
      </c>
      <c r="H148" s="1">
        <v>1000</v>
      </c>
      <c r="I148" s="1">
        <v>0</v>
      </c>
      <c r="J148" s="1" t="s">
        <v>468</v>
      </c>
      <c r="K148" s="1" t="s">
        <v>469</v>
      </c>
      <c r="L148" s="8"/>
    </row>
    <row r="149" spans="1:12">
      <c r="A149" s="1">
        <v>148</v>
      </c>
      <c r="B149" s="1" t="str">
        <f>VLOOKUP(E149,ОКТМО!B:J,6,0)</f>
        <v>Чурапчинский муниципальный район</v>
      </c>
      <c r="C149" s="1" t="str">
        <f>VLOOKUP(E149,ОКТМО!B:J,9,0)</f>
        <v>Болугурский наслег</v>
      </c>
      <c r="D149" s="1" t="str">
        <f>VLOOKUP(E149,ОКТМО!B:M,12,0)</f>
        <v>Мындагай</v>
      </c>
      <c r="E149" s="6">
        <v>98658415101</v>
      </c>
      <c r="F149" s="1" t="s">
        <v>458</v>
      </c>
      <c r="G149" s="1" t="s">
        <v>470</v>
      </c>
      <c r="H149" s="1">
        <v>1000</v>
      </c>
      <c r="I149" s="1">
        <v>0</v>
      </c>
      <c r="J149" s="1" t="s">
        <v>471</v>
      </c>
      <c r="K149" s="1" t="s">
        <v>472</v>
      </c>
      <c r="L149" s="8"/>
    </row>
    <row r="150" spans="1:12">
      <c r="A150" s="1">
        <v>149</v>
      </c>
      <c r="B150" s="1" t="str">
        <f>VLOOKUP(E150,ОКТМО!B:J,6,0)</f>
        <v>Чурапчинский муниципальный район</v>
      </c>
      <c r="C150" s="1" t="str">
        <f>VLOOKUP(E150,ОКТМО!B:J,9,0)</f>
        <v>Соловьевский наслег</v>
      </c>
      <c r="D150" s="1" t="str">
        <f>VLOOKUP(E150,ОКТМО!B:M,12,0)</f>
        <v>Мырыла</v>
      </c>
      <c r="E150" s="6">
        <v>98658435101</v>
      </c>
      <c r="F150" s="1" t="s">
        <v>458</v>
      </c>
      <c r="G150" s="1" t="s">
        <v>473</v>
      </c>
      <c r="H150" s="1">
        <v>1000</v>
      </c>
      <c r="I150" s="1">
        <v>0</v>
      </c>
      <c r="J150" s="1" t="s">
        <v>474</v>
      </c>
      <c r="K150" s="1" t="s">
        <v>475</v>
      </c>
      <c r="L150" s="8"/>
    </row>
    <row r="151" spans="1:12">
      <c r="A151" s="1">
        <v>150</v>
      </c>
      <c r="B151" s="1" t="str">
        <f>VLOOKUP(E151,ОКТМО!B:J,6,0)</f>
        <v>Таттинский муниципальный район</v>
      </c>
      <c r="C151" s="1" t="str">
        <f>VLOOKUP(E151,ОКТМО!B:J,9,0)</f>
        <v>Дайа-Амгинский наслег</v>
      </c>
      <c r="D151" s="1" t="str">
        <f>VLOOKUP(E151,ОКТМО!B:M,12,0)</f>
        <v>Дайа-Амгата</v>
      </c>
      <c r="E151" s="6">
        <v>98604418101</v>
      </c>
      <c r="F151" s="1" t="s">
        <v>458</v>
      </c>
      <c r="G151" s="1" t="s">
        <v>476</v>
      </c>
      <c r="H151" s="1">
        <v>1000</v>
      </c>
      <c r="I151" s="1">
        <v>0</v>
      </c>
      <c r="J151" s="1" t="s">
        <v>477</v>
      </c>
      <c r="K151" s="1" t="s">
        <v>478</v>
      </c>
      <c r="L151" s="8"/>
    </row>
    <row r="152" spans="1:12">
      <c r="A152" s="1">
        <v>151</v>
      </c>
      <c r="B152" s="1" t="str">
        <f>VLOOKUP(E152,ОКТМО!B:J,6,0)</f>
        <v>Таттинский муниципальный район</v>
      </c>
      <c r="C152" s="1" t="str">
        <f>VLOOKUP(E152,ОКТМО!B:J,9,0)</f>
        <v>Средне-Амгинский наслег</v>
      </c>
      <c r="D152" s="1" t="str">
        <f>VLOOKUP(E152,ОКТМО!B:M,12,0)</f>
        <v>Харбалах</v>
      </c>
      <c r="E152" s="6">
        <v>98604440101</v>
      </c>
      <c r="F152" s="1" t="s">
        <v>458</v>
      </c>
      <c r="G152" s="1" t="s">
        <v>479</v>
      </c>
      <c r="H152" s="1">
        <v>1000</v>
      </c>
      <c r="I152" s="1">
        <v>0</v>
      </c>
      <c r="J152" s="7" t="s">
        <v>480</v>
      </c>
      <c r="K152" s="7" t="s">
        <v>481</v>
      </c>
      <c r="L152" s="8"/>
    </row>
    <row r="153" spans="1:12">
      <c r="A153" s="1">
        <v>152</v>
      </c>
      <c r="B153" s="1" t="str">
        <f>VLOOKUP(E153,ОКТМО!B:J,6,0)</f>
        <v>Таттинский муниципальный район</v>
      </c>
      <c r="C153" s="1" t="str">
        <f>VLOOKUP(E153,ОКТМО!B:J,9,0)</f>
        <v>Усть-Амгинский наслег</v>
      </c>
      <c r="D153" s="1" t="str">
        <f>VLOOKUP(E153,ОКТМО!B:M,12,0)</f>
        <v>Чымнайи</v>
      </c>
      <c r="E153" s="6">
        <v>98604460101</v>
      </c>
      <c r="F153" s="1" t="s">
        <v>458</v>
      </c>
      <c r="G153" s="1" t="s">
        <v>482</v>
      </c>
      <c r="H153" s="1">
        <v>1000</v>
      </c>
      <c r="I153" s="1">
        <v>0</v>
      </c>
      <c r="J153" s="1" t="s">
        <v>483</v>
      </c>
      <c r="K153" s="1" t="s">
        <v>484</v>
      </c>
      <c r="L153" s="8"/>
    </row>
    <row r="154" spans="1:12">
      <c r="A154" s="1">
        <v>153</v>
      </c>
      <c r="B154" s="1" t="str">
        <f>VLOOKUP(E154,ОКТМО!B:J,6,0)</f>
        <v>Томпонский муниципальный район</v>
      </c>
      <c r="C154" s="1" t="str">
        <f>VLOOKUP(E154,ОКТМО!B:J,9,0)</f>
        <v>Томпонский национальный (эвенский) наслег</v>
      </c>
      <c r="D154" s="11" t="str">
        <f>VLOOKUP(E154,ОКТМО!B:M,12,0)</f>
        <v>Тополиное</v>
      </c>
      <c r="E154" s="12">
        <v>98650435101</v>
      </c>
      <c r="F154" s="1" t="s">
        <v>485</v>
      </c>
      <c r="G154" s="1" t="s">
        <v>485</v>
      </c>
      <c r="H154" s="1">
        <v>0</v>
      </c>
      <c r="I154" s="1">
        <v>0</v>
      </c>
      <c r="J154" s="7" t="s">
        <v>486</v>
      </c>
      <c r="K154" s="7" t="s">
        <v>487</v>
      </c>
      <c r="L154" s="8"/>
    </row>
    <row r="155" spans="1:12">
      <c r="A155" s="1">
        <v>154</v>
      </c>
      <c r="B155" s="1" t="str">
        <f>VLOOKUP(E155,ОКТМО!B:J,6,0)</f>
        <v>Мирнинский муниципальный район</v>
      </c>
      <c r="C155" s="1" t="str">
        <f>VLOOKUP(E155,ОКТМО!B:J,9,0)</f>
        <v>поселок Чернышевский</v>
      </c>
      <c r="D155" s="11" t="str">
        <f>VLOOKUP(E155,ОКТМО!B:M,12,0)</f>
        <v>Чернышевский</v>
      </c>
      <c r="E155" s="12">
        <v>98631162051</v>
      </c>
      <c r="F155" s="1" t="s">
        <v>488</v>
      </c>
      <c r="G155" s="1" t="s">
        <v>489</v>
      </c>
      <c r="H155" s="1">
        <v>1202</v>
      </c>
      <c r="I155" s="1">
        <v>0</v>
      </c>
      <c r="J155" s="7" t="s">
        <v>490</v>
      </c>
      <c r="K155" s="7" t="s">
        <v>491</v>
      </c>
      <c r="L155" s="8"/>
    </row>
    <row r="156" spans="1:12">
      <c r="A156" s="1">
        <v>155</v>
      </c>
      <c r="B156" s="1" t="str">
        <f>VLOOKUP(E156,ОКТМО!B:J,6,0)</f>
        <v>Мирнинский муниципальный район</v>
      </c>
      <c r="C156" s="1" t="str">
        <f>VLOOKUP(E156,ОКТМО!B:J,9,0)</f>
        <v>поселок Чернышевский</v>
      </c>
      <c r="D156" s="1" t="str">
        <f>VLOOKUP(E156,ОКТМО!B:M,12,0)</f>
        <v>Чернышевский</v>
      </c>
      <c r="E156" s="6">
        <v>98631162051</v>
      </c>
      <c r="F156" s="1" t="s">
        <v>488</v>
      </c>
      <c r="G156" s="1" t="s">
        <v>492</v>
      </c>
      <c r="H156" s="1">
        <v>0</v>
      </c>
      <c r="I156" s="1">
        <v>0</v>
      </c>
      <c r="J156" s="7" t="s">
        <v>493</v>
      </c>
      <c r="K156" s="7" t="s">
        <v>494</v>
      </c>
      <c r="L156" s="8"/>
    </row>
    <row r="157" spans="1:12">
      <c r="A157" s="1">
        <v>156</v>
      </c>
      <c r="B157" s="1" t="str">
        <f>VLOOKUP(E157,ОКТМО!B:J,6,0)</f>
        <v>Мирнинский муниципальный район</v>
      </c>
      <c r="C157" s="1" t="str">
        <f>VLOOKUP(E157,ОКТМО!B:J,9,0)</f>
        <v>Садынский национальный эвенкийский наслег</v>
      </c>
      <c r="D157" s="1" t="str">
        <f>VLOOKUP(E157,ОКТМО!B:M,12,0)</f>
        <v>Сюльдюкар</v>
      </c>
      <c r="E157" s="6">
        <v>98631428101</v>
      </c>
      <c r="F157" s="1" t="s">
        <v>488</v>
      </c>
      <c r="G157" s="1" t="s">
        <v>495</v>
      </c>
      <c r="H157" s="1">
        <v>866</v>
      </c>
      <c r="I157" s="1">
        <v>205</v>
      </c>
      <c r="J157" s="7" t="s">
        <v>496</v>
      </c>
      <c r="K157" s="7" t="s">
        <v>497</v>
      </c>
      <c r="L157" s="8"/>
    </row>
    <row r="158" spans="1:12">
      <c r="A158" s="1">
        <v>157</v>
      </c>
      <c r="B158" s="1" t="str">
        <f>VLOOKUP(E158,ОКТМО!B:J,6,0)</f>
        <v>Сунтарский муниципальный район</v>
      </c>
      <c r="C158" s="1" t="str">
        <f>VLOOKUP(E158,ОКТМО!B:J,9,0)</f>
        <v>Крестяхский наслег</v>
      </c>
      <c r="D158" s="1" t="str">
        <f>VLOOKUP(E158,ОКТМО!B:M,12,0)</f>
        <v>Крестях</v>
      </c>
      <c r="E158" s="6">
        <v>98648430101</v>
      </c>
      <c r="F158" s="1" t="s">
        <v>488</v>
      </c>
      <c r="G158" s="1" t="s">
        <v>498</v>
      </c>
      <c r="H158" s="1">
        <v>1100</v>
      </c>
      <c r="I158" s="1">
        <v>220</v>
      </c>
      <c r="J158" s="7" t="s">
        <v>499</v>
      </c>
      <c r="K158" s="7" t="s">
        <v>500</v>
      </c>
      <c r="L158" s="8"/>
    </row>
    <row r="159" spans="1:12">
      <c r="A159" s="1">
        <v>158</v>
      </c>
      <c r="B159" s="1" t="str">
        <f>VLOOKUP(E159,ОКТМО!B:J,6,0)</f>
        <v>Сунтарский муниципальный район</v>
      </c>
      <c r="C159" s="1" t="str">
        <f>VLOOKUP(E159,ОКТМО!B:J,9,0)</f>
        <v>Сунтарский наслег</v>
      </c>
      <c r="D159" s="1" t="str">
        <f>VLOOKUP(E159,ОКТМО!B:M,12,0)</f>
        <v>Сунтар</v>
      </c>
      <c r="E159" s="6">
        <v>98648455101</v>
      </c>
      <c r="F159" s="1" t="s">
        <v>488</v>
      </c>
      <c r="G159" s="1" t="s">
        <v>501</v>
      </c>
      <c r="H159" s="1">
        <v>1330</v>
      </c>
      <c r="I159" s="1">
        <v>180</v>
      </c>
      <c r="J159" s="7" t="s">
        <v>502</v>
      </c>
      <c r="K159" s="7" t="s">
        <v>503</v>
      </c>
      <c r="L159" s="8"/>
    </row>
    <row r="160" spans="1:12">
      <c r="A160" s="1">
        <v>159</v>
      </c>
      <c r="B160" s="1" t="str">
        <f>VLOOKUP(E160,ОКТМО!B:J,6,0)</f>
        <v>Нюрбинский муниципальный район</v>
      </c>
      <c r="C160" s="1" t="str">
        <f>VLOOKUP(E160,ОКТМО!B:J,9,0)</f>
        <v>город Нюрба</v>
      </c>
      <c r="D160" s="1" t="str">
        <f>VLOOKUP(E160,ОКТМО!B:M,12,0)</f>
        <v>Нюрба</v>
      </c>
      <c r="E160" s="6">
        <v>98626101001</v>
      </c>
      <c r="F160" s="1" t="s">
        <v>488</v>
      </c>
      <c r="G160" s="1" t="s">
        <v>504</v>
      </c>
      <c r="H160" s="1">
        <v>1250</v>
      </c>
      <c r="I160" s="1">
        <v>120</v>
      </c>
      <c r="J160" s="7" t="s">
        <v>505</v>
      </c>
      <c r="K160" s="7" t="s">
        <v>506</v>
      </c>
      <c r="L160" s="8"/>
    </row>
    <row r="161" spans="1:12">
      <c r="A161" s="1">
        <v>160</v>
      </c>
      <c r="B161" s="1" t="str">
        <f>VLOOKUP(E161,ОКТМО!B:J,6,0)</f>
        <v>Верхневилюйский муниципальный район</v>
      </c>
      <c r="C161" s="1" t="str">
        <f>VLOOKUP(E161,ОКТМО!B:J,9,0)</f>
        <v>Хоринский наслег</v>
      </c>
      <c r="D161" s="1" t="str">
        <f>VLOOKUP(E161,ОКТМО!B:M,12,0)</f>
        <v>Хоро</v>
      </c>
      <c r="E161" s="6">
        <v>98614486101</v>
      </c>
      <c r="F161" s="1" t="s">
        <v>488</v>
      </c>
      <c r="G161" s="1" t="s">
        <v>507</v>
      </c>
      <c r="H161" s="1">
        <v>935</v>
      </c>
      <c r="I161" s="1">
        <v>0</v>
      </c>
      <c r="J161" s="1" t="s">
        <v>508</v>
      </c>
      <c r="K161" s="1" t="s">
        <v>509</v>
      </c>
      <c r="L161" s="8"/>
    </row>
    <row r="162" spans="1:12">
      <c r="A162" s="1">
        <v>161</v>
      </c>
      <c r="B162" s="1" t="str">
        <f>VLOOKUP(E162,ОКТМО!B:J,6,0)</f>
        <v>Верхневилюйский муниципальный район</v>
      </c>
      <c r="C162" s="1" t="str">
        <f>VLOOKUP(E162,ОКТМО!B:J,9,0)</f>
        <v>Верхневилюйский наслег</v>
      </c>
      <c r="D162" s="1" t="str">
        <f>VLOOKUP(E162,ОКТМО!B:M,12,0)</f>
        <v>Верхневилюйск</v>
      </c>
      <c r="E162" s="6">
        <v>98614412101</v>
      </c>
      <c r="F162" s="1" t="s">
        <v>488</v>
      </c>
      <c r="G162" s="1" t="s">
        <v>510</v>
      </c>
      <c r="H162" s="1">
        <v>1100</v>
      </c>
      <c r="I162" s="1">
        <v>200</v>
      </c>
      <c r="J162" s="7" t="s">
        <v>511</v>
      </c>
      <c r="K162" s="7" t="s">
        <v>512</v>
      </c>
      <c r="L162" s="8"/>
    </row>
    <row r="163" spans="1:12">
      <c r="A163" s="1">
        <v>162</v>
      </c>
      <c r="B163" s="1" t="str">
        <f>VLOOKUP(E163,ОКТМО!B:J,6,0)</f>
        <v>Вилюйский муниципальный район</v>
      </c>
      <c r="C163" s="1" t="str">
        <f>VLOOKUP(E163,ОКТМО!B:J,9,0)</f>
        <v>город Вилюйск</v>
      </c>
      <c r="D163" s="1" t="str">
        <f>VLOOKUP(E163,ОКТМО!B:M,12,0)</f>
        <v>Вилюйск</v>
      </c>
      <c r="E163" s="6">
        <v>98618101001</v>
      </c>
      <c r="F163" s="1" t="s">
        <v>488</v>
      </c>
      <c r="G163" s="1" t="s">
        <v>513</v>
      </c>
      <c r="H163" s="1">
        <v>1050</v>
      </c>
      <c r="I163" s="1">
        <v>110</v>
      </c>
      <c r="J163" s="7" t="s">
        <v>514</v>
      </c>
      <c r="K163" s="7" t="s">
        <v>515</v>
      </c>
      <c r="L163" s="8"/>
    </row>
    <row r="164" spans="1:12">
      <c r="A164" s="1">
        <v>163</v>
      </c>
      <c r="B164" s="1" t="str">
        <f>VLOOKUP(E164,ОКТМО!B:J,6,0)</f>
        <v>Кобяйский муниципальный район</v>
      </c>
      <c r="C164" s="1" t="str">
        <f>VLOOKUP(E164,ОКТМО!B:J,9,0)</f>
        <v>Арыктахский наслег</v>
      </c>
      <c r="D164" s="1" t="str">
        <f>VLOOKUP(E164,ОКТМО!B:M,12,0)</f>
        <v>Хатырык-Хомо</v>
      </c>
      <c r="E164" s="6">
        <v>98624405111</v>
      </c>
      <c r="F164" s="1" t="s">
        <v>488</v>
      </c>
      <c r="G164" s="1" t="s">
        <v>516</v>
      </c>
      <c r="H164" s="1">
        <v>1220</v>
      </c>
      <c r="I164" s="1">
        <v>310</v>
      </c>
      <c r="J164" s="7" t="s">
        <v>517</v>
      </c>
      <c r="K164" s="7" t="s">
        <v>518</v>
      </c>
      <c r="L164" s="8"/>
    </row>
    <row r="165" spans="1:12">
      <c r="A165" s="1">
        <v>164</v>
      </c>
      <c r="B165" s="1" t="str">
        <f>VLOOKUP(E165,ОКТМО!B:J,6,0)</f>
        <v>Кобяйский муниципальный район</v>
      </c>
      <c r="C165" s="1" t="str">
        <f>VLOOKUP(E165,ОКТМО!B:J,9,0)</f>
        <v>Арыктахский наслег</v>
      </c>
      <c r="D165" s="11" t="str">
        <f>VLOOKUP(E165,ОКТМО!B:M,12,0)</f>
        <v>Хатырык-Хомо</v>
      </c>
      <c r="E165" s="12">
        <v>98624405111</v>
      </c>
      <c r="F165" s="1" t="s">
        <v>488</v>
      </c>
      <c r="G165" s="1" t="s">
        <v>519</v>
      </c>
      <c r="H165" s="1">
        <v>0</v>
      </c>
      <c r="I165" s="1">
        <v>0</v>
      </c>
      <c r="J165" s="1" t="s">
        <v>520</v>
      </c>
      <c r="K165" s="1" t="s">
        <v>521</v>
      </c>
      <c r="L165" s="8"/>
    </row>
    <row r="166" spans="1:12">
      <c r="A166" s="1">
        <v>165</v>
      </c>
      <c r="B166" s="1" t="str">
        <f>VLOOKUP(E166,ОКТМО!B:J,6,0)</f>
        <v>Мирнинский муниципальный район</v>
      </c>
      <c r="C166" s="1" t="str">
        <f>VLOOKUP(E166,ОКТМО!B:J,9,0)</f>
        <v>поселок Чернышевский</v>
      </c>
      <c r="D166" s="11" t="str">
        <f>VLOOKUP(E166,ОКТМО!B:M,12,0)</f>
        <v>Чернышевский</v>
      </c>
      <c r="E166" s="12">
        <v>98631162051</v>
      </c>
      <c r="F166" s="1" t="s">
        <v>522</v>
      </c>
      <c r="G166" s="1" t="s">
        <v>523</v>
      </c>
      <c r="H166" s="1">
        <v>0</v>
      </c>
      <c r="I166" s="1">
        <v>0</v>
      </c>
      <c r="J166" s="7" t="s">
        <v>524</v>
      </c>
      <c r="K166" s="7" t="s">
        <v>525</v>
      </c>
      <c r="L166" s="8"/>
    </row>
    <row r="167" spans="1:12">
      <c r="A167" s="1">
        <v>166</v>
      </c>
      <c r="B167" s="1" t="str">
        <f>VLOOKUP(E167,ОКТМО!B:J,6,0)</f>
        <v>Мирнинский муниципальный район</v>
      </c>
      <c r="C167" s="1" t="str">
        <f>VLOOKUP(E167,ОКТМО!B:J,9,0)</f>
        <v>поселок Чернышевский</v>
      </c>
      <c r="D167" s="11" t="str">
        <f>VLOOKUP(E167,ОКТМО!B:M,12,0)</f>
        <v>Чернышевский</v>
      </c>
      <c r="E167" s="12">
        <v>98631162051</v>
      </c>
      <c r="F167" s="1" t="s">
        <v>526</v>
      </c>
      <c r="G167" s="1" t="s">
        <v>527</v>
      </c>
      <c r="H167" s="1">
        <v>0</v>
      </c>
      <c r="I167" s="1">
        <v>0</v>
      </c>
      <c r="J167" s="7" t="s">
        <v>528</v>
      </c>
      <c r="K167" s="7" t="s">
        <v>529</v>
      </c>
      <c r="L167" s="8"/>
    </row>
    <row r="168" spans="1:12">
      <c r="A168" s="1">
        <v>167</v>
      </c>
      <c r="B168" s="1" t="str">
        <f>VLOOKUP(E168,ОКТМО!B:J,6,0)</f>
        <v>Мирнинский муниципальный район</v>
      </c>
      <c r="C168" s="1" t="str">
        <f>VLOOKUP(E168,ОКТМО!B:J,9,0)</f>
        <v>поселок Чернышевский</v>
      </c>
      <c r="D168" s="11" t="str">
        <f>VLOOKUP(E168,ОКТМО!B:M,12,0)</f>
        <v>Чернышевский</v>
      </c>
      <c r="E168" s="12">
        <v>98631162051</v>
      </c>
      <c r="F168" s="1" t="s">
        <v>530</v>
      </c>
      <c r="G168" s="1" t="s">
        <v>530</v>
      </c>
      <c r="H168" s="1">
        <v>0</v>
      </c>
      <c r="I168" s="1">
        <v>0</v>
      </c>
      <c r="J168" s="7" t="s">
        <v>531</v>
      </c>
      <c r="K168" s="7" t="s">
        <v>532</v>
      </c>
      <c r="L168" s="8"/>
    </row>
    <row r="169" spans="1:12">
      <c r="A169" s="1">
        <v>168</v>
      </c>
      <c r="B169" s="1" t="str">
        <f>VLOOKUP(E169,ОКТМО!B:J,6,0)</f>
        <v>Мирнинский муниципальный район</v>
      </c>
      <c r="C169" s="1" t="str">
        <f>VLOOKUP(E169,ОКТМО!B:J,9,0)</f>
        <v>поселок Чернышевский</v>
      </c>
      <c r="D169" s="11" t="str">
        <f>VLOOKUP(E169,ОКТМО!B:M,12,0)</f>
        <v>Чернышевский</v>
      </c>
      <c r="E169" s="12">
        <v>98631162051</v>
      </c>
      <c r="F169" s="1" t="s">
        <v>533</v>
      </c>
      <c r="G169" s="1" t="s">
        <v>534</v>
      </c>
      <c r="H169" s="1">
        <v>0</v>
      </c>
      <c r="I169" s="1">
        <v>0</v>
      </c>
      <c r="J169" s="1" t="s">
        <v>535</v>
      </c>
      <c r="K169" s="1" t="s">
        <v>535</v>
      </c>
      <c r="L169" s="8"/>
    </row>
    <row r="170" spans="1:12">
      <c r="A170" s="1">
        <v>169</v>
      </c>
      <c r="B170" s="1" t="str">
        <f>VLOOKUP(E170,ОКТМО!B:J,6,0)</f>
        <v>Мирнинский муниципальный район</v>
      </c>
      <c r="C170" s="1" t="str">
        <f>VLOOKUP(E170,ОКТМО!B:J,9,0)</f>
        <v>поселок Чернышевский</v>
      </c>
      <c r="D170" s="11" t="str">
        <f>VLOOKUP(E170,ОКТМО!B:M,12,0)</f>
        <v>Чернышевский</v>
      </c>
      <c r="E170" s="12">
        <v>98631162051</v>
      </c>
      <c r="F170" s="1" t="s">
        <v>536</v>
      </c>
      <c r="G170" s="1" t="s">
        <v>537</v>
      </c>
      <c r="H170" s="1">
        <v>0</v>
      </c>
      <c r="I170" s="1">
        <v>0</v>
      </c>
      <c r="J170" s="1" t="s">
        <v>535</v>
      </c>
      <c r="K170" s="1" t="s">
        <v>535</v>
      </c>
      <c r="L170" s="8"/>
    </row>
    <row r="171" spans="1:12">
      <c r="A171" s="1">
        <v>170</v>
      </c>
      <c r="B171" s="1" t="str">
        <f>VLOOKUP(E171,ОКТМО!B:J,6,0)</f>
        <v>Мирнинский муниципальный район</v>
      </c>
      <c r="C171" s="1" t="str">
        <f>VLOOKUP(E171,ОКТМО!B:J,9,0)</f>
        <v>поселок Чернышевский</v>
      </c>
      <c r="D171" s="11" t="str">
        <f>VLOOKUP(E171,ОКТМО!B:M,12,0)</f>
        <v>Чернышевский</v>
      </c>
      <c r="E171" s="12">
        <v>98631162051</v>
      </c>
      <c r="F171" s="1" t="s">
        <v>538</v>
      </c>
      <c r="G171" s="1" t="s">
        <v>539</v>
      </c>
      <c r="H171" s="1">
        <v>0</v>
      </c>
      <c r="I171" s="1">
        <v>0</v>
      </c>
      <c r="J171" s="1" t="s">
        <v>535</v>
      </c>
      <c r="K171" s="1" t="s">
        <v>535</v>
      </c>
      <c r="L171" s="8"/>
    </row>
    <row r="172" spans="1:12">
      <c r="A172" s="1">
        <v>171</v>
      </c>
      <c r="B172" s="1" t="str">
        <f>VLOOKUP(E172,ОКТМО!B:J,6,0)</f>
        <v>Мирнинский муниципальный район</v>
      </c>
      <c r="C172" s="1" t="str">
        <f>VLOOKUP(E172,ОКТМО!B:J,9,0)</f>
        <v>поселок Чернышевский</v>
      </c>
      <c r="D172" s="11" t="str">
        <f>VLOOKUP(E172,ОКТМО!B:M,12,0)</f>
        <v>Чернышевский</v>
      </c>
      <c r="E172" s="12">
        <v>98631162051</v>
      </c>
      <c r="F172" s="1" t="s">
        <v>540</v>
      </c>
      <c r="G172" s="1" t="s">
        <v>541</v>
      </c>
      <c r="H172" s="1">
        <v>0</v>
      </c>
      <c r="I172" s="1">
        <v>0</v>
      </c>
      <c r="J172" s="7" t="s">
        <v>542</v>
      </c>
      <c r="K172" s="7" t="s">
        <v>543</v>
      </c>
      <c r="L172" s="8"/>
    </row>
    <row r="173" spans="1:12">
      <c r="A173" s="1">
        <v>172</v>
      </c>
      <c r="B173" s="1" t="str">
        <f>VLOOKUP(E173,ОКТМО!B:J,6,0)</f>
        <v>Мирнинский муниципальный район</v>
      </c>
      <c r="C173" s="1" t="str">
        <f>VLOOKUP(E173,ОКТМО!B:J,9,0)</f>
        <v>поселок Чернышевский</v>
      </c>
      <c r="D173" s="11" t="str">
        <f>VLOOKUP(E173,ОКТМО!B:M,12,0)</f>
        <v>Чернышевский</v>
      </c>
      <c r="E173" s="12">
        <v>98631162051</v>
      </c>
      <c r="F173" s="1" t="s">
        <v>544</v>
      </c>
      <c r="G173" s="1" t="s">
        <v>545</v>
      </c>
      <c r="H173" s="1">
        <v>0</v>
      </c>
      <c r="I173" s="1">
        <v>0</v>
      </c>
      <c r="J173" s="7" t="s">
        <v>546</v>
      </c>
      <c r="K173" s="7" t="s">
        <v>547</v>
      </c>
      <c r="L173" s="8"/>
    </row>
    <row r="174" spans="1:12">
      <c r="A174" s="1">
        <v>173</v>
      </c>
      <c r="B174" s="1" t="str">
        <f>VLOOKUP(E174,ОКТМО!B:J,6,0)</f>
        <v>Оленекский эвенкийский национальный муниципальный район</v>
      </c>
      <c r="C174" s="1" t="str">
        <f>VLOOKUP(E174,ОКТМО!B:J,9,0)</f>
        <v>Шологонский национальный наслег</v>
      </c>
      <c r="D174" s="11" t="str">
        <f>VLOOKUP(E174,ОКТМО!B:M,12,0)</f>
        <v>Эйик</v>
      </c>
      <c r="E174" s="12">
        <v>98642450101</v>
      </c>
      <c r="F174" s="1" t="s">
        <v>548</v>
      </c>
      <c r="G174" s="1" t="s">
        <v>549</v>
      </c>
      <c r="H174" s="1">
        <v>0</v>
      </c>
      <c r="I174" s="1">
        <v>0</v>
      </c>
      <c r="J174" s="7" t="s">
        <v>550</v>
      </c>
      <c r="K174" s="7" t="s">
        <v>551</v>
      </c>
      <c r="L174" s="8"/>
    </row>
    <row r="175" spans="1:12">
      <c r="A175" s="1">
        <v>174</v>
      </c>
      <c r="B175" s="1" t="str">
        <f>VLOOKUP(E175,ОКТМО!B:J,6,0)</f>
        <v>Нюрбинский муниципальный район</v>
      </c>
      <c r="C175" s="1" t="str">
        <f>VLOOKUP(E175,ОКТМО!B:J,9,0)</f>
        <v>Бордонский наслег</v>
      </c>
      <c r="D175" s="11" t="str">
        <f>VLOOKUP(E175,ОКТМО!B:M,12,0)</f>
        <v>Малыкай</v>
      </c>
      <c r="E175" s="12">
        <v>98626410101</v>
      </c>
      <c r="F175" s="1" t="s">
        <v>548</v>
      </c>
      <c r="G175" s="1" t="s">
        <v>552</v>
      </c>
      <c r="H175" s="1">
        <v>190</v>
      </c>
      <c r="I175" s="1">
        <v>190</v>
      </c>
      <c r="J175" s="7" t="s">
        <v>553</v>
      </c>
      <c r="K175" s="7" t="s">
        <v>554</v>
      </c>
      <c r="L175" s="8"/>
    </row>
    <row r="176" spans="1:12">
      <c r="A176" s="1">
        <v>175</v>
      </c>
      <c r="B176" s="1" t="str">
        <f>VLOOKUP(E176,ОКТМО!B:J,6,0)</f>
        <v>Нюрбинский муниципальный район</v>
      </c>
      <c r="C176" s="1" t="str">
        <f>VLOOKUP(E176,ОКТМО!B:J,9,0)</f>
        <v>Бордонский наслег</v>
      </c>
      <c r="D176" s="1" t="str">
        <f>VLOOKUP(E176,ОКТМО!B:M,12,0)</f>
        <v>Малыкай</v>
      </c>
      <c r="E176" s="6">
        <v>98626410101</v>
      </c>
      <c r="F176" s="1" t="s">
        <v>548</v>
      </c>
      <c r="G176" s="1" t="s">
        <v>555</v>
      </c>
      <c r="H176" s="1">
        <v>1400</v>
      </c>
      <c r="I176" s="1">
        <v>200</v>
      </c>
      <c r="J176" s="7" t="s">
        <v>556</v>
      </c>
      <c r="K176" s="7" t="s">
        <v>557</v>
      </c>
      <c r="L176" s="8"/>
    </row>
    <row r="177" spans="1:12">
      <c r="A177" s="1">
        <v>176</v>
      </c>
      <c r="B177" s="1" t="str">
        <f>VLOOKUP(E177,ОКТМО!B:J,6,0)</f>
        <v>Оленекский эвенкийский национальный муниципальный район</v>
      </c>
      <c r="C177" s="1" t="str">
        <f>VLOOKUP(E177,ОКТМО!B:J,9,0)</f>
        <v>Оленекский национальный наслег</v>
      </c>
      <c r="D177" s="11" t="str">
        <f>VLOOKUP(E177,ОКТМО!B:M,12,0)</f>
        <v>Оленек</v>
      </c>
      <c r="E177" s="12">
        <v>98642437101</v>
      </c>
      <c r="F177" s="1" t="s">
        <v>558</v>
      </c>
      <c r="G177" s="1" t="s">
        <v>559</v>
      </c>
      <c r="H177" s="1">
        <v>0</v>
      </c>
      <c r="I177" s="1">
        <v>0</v>
      </c>
      <c r="J177" s="1" t="s">
        <v>560</v>
      </c>
      <c r="K177" s="1" t="s">
        <v>561</v>
      </c>
      <c r="L177" s="8"/>
    </row>
    <row r="178" spans="1:12">
      <c r="A178" s="1">
        <v>177</v>
      </c>
      <c r="B178" s="1" t="str">
        <f>VLOOKUP(E178,ОКТМО!B:J,6,0)</f>
        <v>Оленекский эвенкийский национальный муниципальный район</v>
      </c>
      <c r="C178" s="1" t="str">
        <f>VLOOKUP(E178,ОКТМО!B:J,9,0)</f>
        <v>Оленекский национальный наслег</v>
      </c>
      <c r="D178" s="11" t="str">
        <f>VLOOKUP(E178,ОКТМО!B:M,12,0)</f>
        <v>Оленек</v>
      </c>
      <c r="E178" s="12">
        <v>98642437101</v>
      </c>
      <c r="F178" s="1" t="s">
        <v>562</v>
      </c>
      <c r="G178" s="1" t="s">
        <v>563</v>
      </c>
      <c r="H178" s="1">
        <v>1450</v>
      </c>
      <c r="I178" s="1">
        <v>0</v>
      </c>
      <c r="J178" s="1" t="s">
        <v>564</v>
      </c>
      <c r="K178" s="1" t="s">
        <v>565</v>
      </c>
      <c r="L178" s="8"/>
    </row>
    <row r="179" spans="1:12">
      <c r="A179" s="1">
        <v>178</v>
      </c>
      <c r="B179" s="1" t="str">
        <f>VLOOKUP(E179,ОКТМО!B:J,6,0)</f>
        <v>Анабарский национальный (долгано-эвенкийский) муниципальный район</v>
      </c>
      <c r="C179" s="1" t="str">
        <f>VLOOKUP(E179,ОКТМО!B:J,9,0)</f>
        <v>Саскылахский национальный (эвенкийский) наслег</v>
      </c>
      <c r="D179" s="1" t="str">
        <f>VLOOKUP(E179,ОКТМО!B:M,12,0)</f>
        <v>Саскылах</v>
      </c>
      <c r="E179" s="6">
        <v>98610411101</v>
      </c>
      <c r="F179" s="1" t="s">
        <v>566</v>
      </c>
      <c r="G179" s="1" t="s">
        <v>567</v>
      </c>
      <c r="H179" s="1">
        <v>1170</v>
      </c>
      <c r="I179" s="1">
        <v>0</v>
      </c>
      <c r="J179" s="1" t="s">
        <v>568</v>
      </c>
      <c r="K179" s="1" t="s">
        <v>569</v>
      </c>
      <c r="L179" s="8"/>
    </row>
    <row r="180" spans="1:12">
      <c r="A180" s="1">
        <v>179</v>
      </c>
      <c r="B180" s="1" t="str">
        <f>VLOOKUP(E180,ОКТМО!B:J,6,0)</f>
        <v>Оленекский эвенкийский национальный муниципальный район</v>
      </c>
      <c r="C180" s="1" t="str">
        <f>VLOOKUP(E180,ОКТМО!B:J,9,0)</f>
        <v>Оленекский национальный наслег</v>
      </c>
      <c r="D180" s="11" t="str">
        <f>VLOOKUP(E180,ОКТМО!B:M,12,0)</f>
        <v>Оленек</v>
      </c>
      <c r="E180" s="12">
        <v>98642437101</v>
      </c>
      <c r="F180" s="1" t="s">
        <v>570</v>
      </c>
      <c r="G180" s="1" t="s">
        <v>571</v>
      </c>
      <c r="H180" s="1">
        <v>2112</v>
      </c>
      <c r="I180" s="1">
        <v>0</v>
      </c>
      <c r="J180" s="7" t="s">
        <v>572</v>
      </c>
      <c r="K180" s="7" t="s">
        <v>573</v>
      </c>
      <c r="L180" s="8"/>
    </row>
    <row r="181" spans="1:12">
      <c r="A181" s="1">
        <v>180</v>
      </c>
      <c r="B181" s="1" t="str">
        <f>VLOOKUP(E181,ОКТМО!B:J,6,0)</f>
        <v>Оленекский эвенкийский национальный муниципальный район</v>
      </c>
      <c r="C181" s="1" t="str">
        <f>VLOOKUP(E181,ОКТМО!B:J,9,0)</f>
        <v>Оленекский национальный наслег</v>
      </c>
      <c r="D181" s="1" t="str">
        <f>VLOOKUP(E181,ОКТМО!B:M,12,0)</f>
        <v>Оленек</v>
      </c>
      <c r="E181" s="6">
        <v>98642437101</v>
      </c>
      <c r="F181" s="1" t="s">
        <v>570</v>
      </c>
      <c r="G181" s="1" t="s">
        <v>570</v>
      </c>
      <c r="H181" s="1">
        <v>1350</v>
      </c>
      <c r="I181" s="1">
        <v>0</v>
      </c>
      <c r="J181" s="7" t="s">
        <v>574</v>
      </c>
      <c r="K181" s="7" t="s">
        <v>575</v>
      </c>
      <c r="L181" s="8"/>
    </row>
    <row r="182" spans="1:12">
      <c r="A182" s="1">
        <v>181</v>
      </c>
      <c r="B182" s="1" t="str">
        <f>VLOOKUP(E182,ОКТМО!B:J,6,0)</f>
        <v>Оленекский эвенкийский национальный муниципальный район</v>
      </c>
      <c r="C182" s="1" t="str">
        <f>VLOOKUP(E182,ОКТМО!B:J,9,0)</f>
        <v>Оленекский национальный наслег</v>
      </c>
      <c r="D182" s="11" t="str">
        <f>VLOOKUP(E182,ОКТМО!B:M,12,0)</f>
        <v>Оленек</v>
      </c>
      <c r="E182" s="12">
        <v>98642437101</v>
      </c>
      <c r="F182" s="1" t="s">
        <v>570</v>
      </c>
      <c r="G182" s="1" t="s">
        <v>576</v>
      </c>
      <c r="H182" s="1">
        <v>0</v>
      </c>
      <c r="I182" s="1">
        <v>0</v>
      </c>
      <c r="J182" s="7" t="s">
        <v>577</v>
      </c>
      <c r="K182" s="7" t="s">
        <v>578</v>
      </c>
      <c r="L182" s="8"/>
    </row>
    <row r="183" spans="1:12">
      <c r="A183" s="1">
        <v>182</v>
      </c>
      <c r="B183" s="1" t="str">
        <f>VLOOKUP(E183,ОКТМО!B:J,6,0)</f>
        <v>Булунский муниципальный район</v>
      </c>
      <c r="C183" s="1" t="str">
        <f>VLOOKUP(E183,ОКТМО!B:J,9,0)</f>
        <v>Тюметинский национальный (эвенкийский) наслег</v>
      </c>
      <c r="D183" s="1" t="str">
        <f>VLOOKUP(E183,ОКТМО!B:M,12,0)</f>
        <v>Склад</v>
      </c>
      <c r="E183" s="6">
        <v>98612445106</v>
      </c>
      <c r="F183" s="1" t="s">
        <v>570</v>
      </c>
      <c r="G183" s="1" t="s">
        <v>579</v>
      </c>
      <c r="H183" s="1">
        <v>2600</v>
      </c>
      <c r="I183" s="1">
        <v>0</v>
      </c>
      <c r="J183" s="1" t="s">
        <v>580</v>
      </c>
      <c r="K183" s="1" t="s">
        <v>581</v>
      </c>
      <c r="L183" s="8"/>
    </row>
    <row r="184" spans="1:12">
      <c r="A184" s="1">
        <v>183</v>
      </c>
      <c r="B184" s="1" t="str">
        <f>VLOOKUP(E184,ОКТМО!B:J,6,0)</f>
        <v>Булунский муниципальный район</v>
      </c>
      <c r="C184" s="1" t="str">
        <f>VLOOKUP(E184,ОКТМО!B:J,9,0)</f>
        <v>Тюметинский национальный (эвенкийский) наслег</v>
      </c>
      <c r="D184" s="1" t="str">
        <f>VLOOKUP(E184,ОКТМО!B:M,12,0)</f>
        <v>Таймылыр</v>
      </c>
      <c r="E184" s="6">
        <v>98612445101</v>
      </c>
      <c r="F184" s="1" t="s">
        <v>570</v>
      </c>
      <c r="G184" s="1" t="s">
        <v>582</v>
      </c>
      <c r="H184" s="1">
        <v>1640</v>
      </c>
      <c r="I184" s="1">
        <v>0</v>
      </c>
      <c r="J184" s="7" t="s">
        <v>583</v>
      </c>
      <c r="K184" s="7" t="s">
        <v>584</v>
      </c>
      <c r="L184" s="8"/>
    </row>
    <row r="185" spans="1:12">
      <c r="A185" s="1">
        <v>184</v>
      </c>
      <c r="B185" s="1" t="str">
        <f>VLOOKUP(E185,ОКТМО!B:J,6,0)</f>
        <v>Булунский муниципальный район</v>
      </c>
      <c r="C185" s="1" t="str">
        <f>VLOOKUP(E185,ОКТМО!B:J,9,0)</f>
        <v>Тюметинский национальный (эвенкийский) наслег</v>
      </c>
      <c r="D185" s="1" t="str">
        <f>VLOOKUP(E185,ОКТМО!B:M,12,0)</f>
        <v>Усть-Оленек</v>
      </c>
      <c r="E185" s="6">
        <v>98612445111</v>
      </c>
      <c r="F185" s="1" t="s">
        <v>570</v>
      </c>
      <c r="G185" s="1" t="s">
        <v>585</v>
      </c>
      <c r="H185" s="1">
        <v>0</v>
      </c>
      <c r="I185" s="1">
        <v>0</v>
      </c>
      <c r="J185" s="7" t="s">
        <v>586</v>
      </c>
      <c r="K185" s="7" t="s">
        <v>587</v>
      </c>
      <c r="L185" s="8"/>
    </row>
    <row r="186" spans="1:12">
      <c r="A186" s="1">
        <v>185</v>
      </c>
      <c r="B186" s="1" t="str">
        <f>VLOOKUP(E186,ОКТМО!B:J,6,0)</f>
        <v>Верхоянский муниципальный район</v>
      </c>
      <c r="C186" s="1" t="str">
        <f>VLOOKUP(E186,ОКТМО!B:J,9,0)</f>
        <v>город Верхоянск</v>
      </c>
      <c r="D186" s="1" t="str">
        <f>VLOOKUP(E186,ОКТМО!B:M,12,0)</f>
        <v>Верхоянск</v>
      </c>
      <c r="E186" s="6">
        <v>98616103001</v>
      </c>
      <c r="F186" s="1" t="s">
        <v>588</v>
      </c>
      <c r="G186" s="1" t="s">
        <v>589</v>
      </c>
      <c r="H186" s="1">
        <v>1020</v>
      </c>
      <c r="I186" s="1">
        <v>330</v>
      </c>
      <c r="J186" s="7" t="s">
        <v>590</v>
      </c>
      <c r="K186" s="7" t="s">
        <v>591</v>
      </c>
      <c r="L186" s="8"/>
    </row>
    <row r="187" spans="1:12">
      <c r="A187" s="1">
        <v>186</v>
      </c>
      <c r="B187" s="1" t="str">
        <f>VLOOKUP(E187,ОКТМО!B:J,6,0)</f>
        <v>Верхоянский муниципальный район</v>
      </c>
      <c r="C187" s="1" t="str">
        <f>VLOOKUP(E187,ОКТМО!B:J,9,0)</f>
        <v>поселок Батагай</v>
      </c>
      <c r="D187" s="1" t="str">
        <f>VLOOKUP(E187,ОКТМО!B:M,12,0)</f>
        <v>Батагай</v>
      </c>
      <c r="E187" s="6">
        <v>98616151051</v>
      </c>
      <c r="F187" s="1" t="s">
        <v>588</v>
      </c>
      <c r="G187" s="1" t="s">
        <v>592</v>
      </c>
      <c r="H187" s="1">
        <v>970</v>
      </c>
      <c r="I187" s="1">
        <v>340</v>
      </c>
      <c r="J187" s="7" t="s">
        <v>593</v>
      </c>
      <c r="K187" s="7" t="s">
        <v>594</v>
      </c>
      <c r="L187" s="8"/>
    </row>
    <row r="188" spans="1:12">
      <c r="A188" s="1">
        <v>187</v>
      </c>
      <c r="B188" s="1" t="str">
        <f>VLOOKUP(E188,ОКТМО!B:J,6,0)</f>
        <v>Верхоянский муниципальный район</v>
      </c>
      <c r="C188" s="1" t="str">
        <f>VLOOKUP(E188,ОКТМО!B:J,9,0)</f>
        <v>Эгинский наслег</v>
      </c>
      <c r="D188" s="1" t="str">
        <f>VLOOKUP(E188,ОКТМО!B:M,12,0)</f>
        <v>Сайды</v>
      </c>
      <c r="E188" s="6">
        <v>98616464101</v>
      </c>
      <c r="F188" s="1" t="s">
        <v>588</v>
      </c>
      <c r="G188" s="1" t="s">
        <v>595</v>
      </c>
      <c r="H188" s="1">
        <v>1200</v>
      </c>
      <c r="I188" s="1">
        <v>650</v>
      </c>
      <c r="J188" s="7" t="s">
        <v>596</v>
      </c>
      <c r="K188" s="7" t="s">
        <v>597</v>
      </c>
      <c r="L188" s="8"/>
    </row>
    <row r="189" spans="1:12">
      <c r="A189" s="1">
        <v>188</v>
      </c>
      <c r="B189" s="1" t="str">
        <f>VLOOKUP(E189,ОКТМО!B:J,6,0)</f>
        <v>Усть-Янский муниципальный район</v>
      </c>
      <c r="C189" s="1" t="str">
        <f>VLOOKUP(E189,ОКТМО!B:J,9,0)</f>
        <v>поселок Усть-Куйга</v>
      </c>
      <c r="D189" s="1" t="str">
        <f>VLOOKUP(E189,ОКТМО!B:M,12,0)</f>
        <v>Усть-Куйга</v>
      </c>
      <c r="E189" s="6">
        <v>98656165051</v>
      </c>
      <c r="F189" s="1" t="s">
        <v>588</v>
      </c>
      <c r="G189" s="1" t="s">
        <v>598</v>
      </c>
      <c r="H189" s="1">
        <v>1309</v>
      </c>
      <c r="I189" s="1">
        <v>0</v>
      </c>
      <c r="J189" s="7" t="s">
        <v>599</v>
      </c>
      <c r="K189" s="7" t="s">
        <v>600</v>
      </c>
      <c r="L189" s="8"/>
    </row>
    <row r="190" spans="1:12">
      <c r="A190" s="1">
        <v>189</v>
      </c>
      <c r="B190" s="1" t="str">
        <f>VLOOKUP(E190,ОКТМО!B:J,6,0)</f>
        <v>Усть-Янский муниципальный район</v>
      </c>
      <c r="C190" s="1" t="str">
        <f>VLOOKUP(E190,ОКТМО!B:J,9,0)</f>
        <v>Казачинский национальный наслег</v>
      </c>
      <c r="D190" s="11" t="str">
        <f>VLOOKUP(E190,ОКТМО!B:M,12,0)</f>
        <v>Казачье</v>
      </c>
      <c r="E190" s="12">
        <v>98656405101</v>
      </c>
      <c r="F190" s="1" t="s">
        <v>588</v>
      </c>
      <c r="G190" s="1" t="s">
        <v>601</v>
      </c>
      <c r="H190" s="1">
        <v>1350</v>
      </c>
      <c r="I190" s="1">
        <v>450</v>
      </c>
      <c r="J190" s="7" t="s">
        <v>602</v>
      </c>
      <c r="K190" s="7" t="s">
        <v>603</v>
      </c>
      <c r="L190" s="8"/>
    </row>
    <row r="191" spans="1:12">
      <c r="A191" s="1">
        <v>190</v>
      </c>
      <c r="B191" s="1" t="str">
        <f>VLOOKUP(E191,ОКТМО!B:J,6,0)</f>
        <v>Усть-Янский муниципальный район</v>
      </c>
      <c r="C191" s="1" t="str">
        <f>VLOOKUP(E191,ОКТМО!B:J,9,0)</f>
        <v>Усть-Янский национальный наслег</v>
      </c>
      <c r="D191" s="1" t="str">
        <f>VLOOKUP(E191,ОКТМО!B:M,12,0)</f>
        <v>Усть-Янск</v>
      </c>
      <c r="E191" s="6">
        <v>98656425101</v>
      </c>
      <c r="F191" s="1" t="s">
        <v>588</v>
      </c>
      <c r="G191" s="1" t="s">
        <v>604</v>
      </c>
      <c r="H191" s="1">
        <v>1023</v>
      </c>
      <c r="I191" s="1">
        <v>0</v>
      </c>
      <c r="J191" s="1" t="s">
        <v>605</v>
      </c>
      <c r="K191" s="1" t="s">
        <v>606</v>
      </c>
      <c r="L191" s="8"/>
    </row>
    <row r="192" spans="1:12">
      <c r="A192" s="1">
        <v>191</v>
      </c>
      <c r="B192" s="1" t="str">
        <f>VLOOKUP(E192,ОКТМО!B:J,6,0)</f>
        <v>Усть-Янский муниципальный район</v>
      </c>
      <c r="C192" s="1" t="str">
        <f>VLOOKUP(E192,ОКТМО!B:J,9,0)</f>
        <v>поселок Нижнеянск</v>
      </c>
      <c r="D192" s="1" t="str">
        <f>VLOOKUP(E192,ОКТМО!B:M,12,0)</f>
        <v>Нижнеянск</v>
      </c>
      <c r="E192" s="6">
        <v>98656159051</v>
      </c>
      <c r="F192" s="1" t="s">
        <v>588</v>
      </c>
      <c r="G192" s="1" t="s">
        <v>607</v>
      </c>
      <c r="H192" s="1">
        <v>500</v>
      </c>
      <c r="I192" s="1">
        <v>120</v>
      </c>
      <c r="J192" s="7" t="s">
        <v>608</v>
      </c>
      <c r="K192" s="7" t="s">
        <v>609</v>
      </c>
      <c r="L192" s="8"/>
    </row>
    <row r="193" spans="1:12">
      <c r="A193" s="1">
        <v>192</v>
      </c>
      <c r="B193" s="1" t="str">
        <f>VLOOKUP(E193,ОКТМО!B:J,6,0)</f>
        <v>Верхоянский муниципальный район</v>
      </c>
      <c r="C193" s="1" t="str">
        <f>VLOOKUP(E193,ОКТМО!B:J,9,0)</f>
        <v>Сартанский наслег</v>
      </c>
      <c r="D193" s="1" t="str">
        <f>VLOOKUP(E193,ОКТМО!B:M,12,0)</f>
        <v>Юнкюр</v>
      </c>
      <c r="E193" s="6">
        <v>98616442101</v>
      </c>
      <c r="F193" s="1" t="s">
        <v>610</v>
      </c>
      <c r="G193" s="1" t="s">
        <v>611</v>
      </c>
      <c r="H193" s="1">
        <v>500</v>
      </c>
      <c r="I193" s="1">
        <v>0</v>
      </c>
      <c r="J193" s="7" t="s">
        <v>612</v>
      </c>
      <c r="K193" s="7" t="s">
        <v>613</v>
      </c>
      <c r="L193" s="8"/>
    </row>
    <row r="194" spans="1:12">
      <c r="A194" s="1">
        <v>193</v>
      </c>
      <c r="B194" s="1" t="str">
        <f>VLOOKUP(E194,ОКТМО!B:J,6,0)</f>
        <v>Верхоянский муниципальный район</v>
      </c>
      <c r="C194" s="1" t="str">
        <f>VLOOKUP(E194,ОКТМО!B:J,9,0)</f>
        <v>Арылахский наслег</v>
      </c>
      <c r="D194" s="1" t="str">
        <f>VLOOKUP(E194,ОКТМО!B:M,12,0)</f>
        <v>Бала</v>
      </c>
      <c r="E194" s="6">
        <v>98616409101</v>
      </c>
      <c r="F194" s="1" t="s">
        <v>610</v>
      </c>
      <c r="G194" s="1" t="s">
        <v>614</v>
      </c>
      <c r="H194" s="1">
        <v>760</v>
      </c>
      <c r="I194" s="1">
        <v>0</v>
      </c>
      <c r="J194" s="16" t="s">
        <v>615</v>
      </c>
      <c r="K194" s="16" t="s">
        <v>616</v>
      </c>
      <c r="L194" s="8"/>
    </row>
    <row r="195" spans="1:12">
      <c r="A195" s="1">
        <v>194</v>
      </c>
      <c r="B195" s="1" t="str">
        <f>VLOOKUP(E195,ОКТМО!B:J,6,0)</f>
        <v>Таттинский муниципальный район</v>
      </c>
      <c r="C195" s="1" t="str">
        <f>VLOOKUP(E195,ОКТМО!B:J,9,0)</f>
        <v>Баягинский наслег</v>
      </c>
      <c r="D195" s="1" t="str">
        <f>VLOOKUP(E195,ОКТМО!B:M,12,0)</f>
        <v>Томтор</v>
      </c>
      <c r="E195" s="6">
        <v>98604415101</v>
      </c>
      <c r="F195" s="1" t="s">
        <v>617</v>
      </c>
      <c r="G195" s="1" t="s">
        <v>618</v>
      </c>
      <c r="H195" s="1">
        <v>1000</v>
      </c>
      <c r="I195" s="1">
        <v>0</v>
      </c>
      <c r="J195" s="7" t="s">
        <v>619</v>
      </c>
      <c r="K195" s="7" t="s">
        <v>620</v>
      </c>
      <c r="L195" s="8"/>
    </row>
    <row r="196" spans="1:12">
      <c r="A196" s="1">
        <v>195</v>
      </c>
      <c r="B196" s="1" t="str">
        <f>VLOOKUP(E196,ОКТМО!B:J,6,0)</f>
        <v>Верхоянский муниципальный район</v>
      </c>
      <c r="C196" s="1" t="str">
        <f>VLOOKUP(E196,ОКТМО!B:J,9,0)</f>
        <v>поселок Батагай</v>
      </c>
      <c r="D196" s="1" t="str">
        <f>VLOOKUP(E196,ОКТМО!B:M,12,0)</f>
        <v>Усть-Чаркы</v>
      </c>
      <c r="E196" s="6">
        <v>98616151111</v>
      </c>
      <c r="F196" s="1" t="s">
        <v>621</v>
      </c>
      <c r="G196" s="1" t="s">
        <v>622</v>
      </c>
      <c r="H196" s="1">
        <v>1130</v>
      </c>
      <c r="I196" s="1">
        <v>0</v>
      </c>
      <c r="J196" s="16" t="s">
        <v>623</v>
      </c>
      <c r="K196" s="16" t="s">
        <v>624</v>
      </c>
      <c r="L196" s="8"/>
    </row>
    <row r="197" spans="1:12">
      <c r="A197" s="1">
        <v>196</v>
      </c>
      <c r="B197" s="1" t="str">
        <f>VLOOKUP(E197,ОКТМО!B:J,6,0)</f>
        <v>Верхоянский муниципальный район</v>
      </c>
      <c r="C197" s="1" t="str">
        <f>VLOOKUP(E197,ОКТМО!B:J,9,0)</f>
        <v>Эльгесский наслег</v>
      </c>
      <c r="D197" s="1" t="str">
        <f>VLOOKUP(E197,ОКТМО!B:M,12,0)</f>
        <v>Юрдюк-Кумах</v>
      </c>
      <c r="E197" s="6">
        <v>98616470106</v>
      </c>
      <c r="F197" s="1" t="s">
        <v>621</v>
      </c>
      <c r="G197" s="1" t="s">
        <v>625</v>
      </c>
      <c r="H197" s="1">
        <v>1230</v>
      </c>
      <c r="I197" s="1">
        <v>0</v>
      </c>
      <c r="J197" s="1" t="s">
        <v>626</v>
      </c>
      <c r="K197" s="1" t="s">
        <v>627</v>
      </c>
      <c r="L197" s="8"/>
    </row>
    <row r="198" spans="1:12">
      <c r="A198" s="1">
        <v>197</v>
      </c>
      <c r="B198" s="1" t="str">
        <f>VLOOKUP(E198,ОКТМО!B:J,6,0)</f>
        <v>Верхоянский муниципальный район</v>
      </c>
      <c r="C198" s="1" t="str">
        <f>VLOOKUP(E198,ОКТМО!B:J,9,0)</f>
        <v>Эгинский наслег</v>
      </c>
      <c r="D198" s="11" t="str">
        <f>VLOOKUP(E198,ОКТМО!B:M,12,0)</f>
        <v>Сайды</v>
      </c>
      <c r="E198" s="12">
        <v>98616464101</v>
      </c>
      <c r="F198" s="1" t="s">
        <v>628</v>
      </c>
      <c r="G198" s="1" t="s">
        <v>629</v>
      </c>
      <c r="H198" s="1">
        <v>0</v>
      </c>
      <c r="I198" s="1">
        <v>0</v>
      </c>
      <c r="J198" s="16" t="s">
        <v>630</v>
      </c>
      <c r="K198" s="16" t="s">
        <v>631</v>
      </c>
      <c r="L198" s="8"/>
    </row>
    <row r="199" spans="1:12">
      <c r="A199" s="1">
        <v>198</v>
      </c>
      <c r="B199" s="1" t="str">
        <f>VLOOKUP(E199,ОКТМО!B:J,6,0)</f>
        <v>Оймяконский муниципальный район</v>
      </c>
      <c r="C199" s="1" t="str">
        <f>VLOOKUP(E199,ОКТМО!B:J,9,0)</f>
        <v>Терютский наслег</v>
      </c>
      <c r="D199" s="11" t="str">
        <f>VLOOKUP(E199,ОКТМО!B:M,12,0)</f>
        <v>Терют</v>
      </c>
      <c r="E199" s="12">
        <v>98639432101</v>
      </c>
      <c r="F199" s="1" t="s">
        <v>632</v>
      </c>
      <c r="G199" s="1" t="s">
        <v>633</v>
      </c>
      <c r="H199" s="1">
        <v>0</v>
      </c>
      <c r="I199" s="1">
        <v>0</v>
      </c>
      <c r="J199" s="1" t="s">
        <v>634</v>
      </c>
      <c r="K199" s="1" t="s">
        <v>635</v>
      </c>
      <c r="L199" s="8"/>
    </row>
    <row r="200" spans="1:12">
      <c r="A200" s="1">
        <v>199</v>
      </c>
      <c r="B200" s="1" t="str">
        <f>VLOOKUP(E200,ОКТМО!B:J,6,0)</f>
        <v>Оймяконский муниципальный район</v>
      </c>
      <c r="C200" s="1" t="str">
        <f>VLOOKUP(E200,ОКТМО!B:J,9,0)</f>
        <v>поселок Усть-Нера</v>
      </c>
      <c r="D200" s="1" t="str">
        <f>VLOOKUP(E200,ОКТМО!B:M,12,0)</f>
        <v>Усть-Нера</v>
      </c>
      <c r="E200" s="6">
        <v>98639151051</v>
      </c>
      <c r="F200" s="1" t="s">
        <v>632</v>
      </c>
      <c r="G200" s="1" t="s">
        <v>636</v>
      </c>
      <c r="H200" s="1">
        <v>650</v>
      </c>
      <c r="I200" s="1">
        <v>240</v>
      </c>
      <c r="J200" s="16" t="s">
        <v>637</v>
      </c>
      <c r="K200" s="16" t="s">
        <v>638</v>
      </c>
      <c r="L200" s="8"/>
    </row>
    <row r="201" spans="1:12">
      <c r="A201" s="1">
        <v>200</v>
      </c>
      <c r="B201" s="1" t="str">
        <f>VLOOKUP(E201,ОКТМО!B:J,6,0)</f>
        <v>Момский муниципальный район</v>
      </c>
      <c r="C201" s="1" t="str">
        <f>VLOOKUP(E201,ОКТМО!B:J,9,0)</f>
        <v>Момский национальный наслег</v>
      </c>
      <c r="D201" s="1" t="str">
        <f>VLOOKUP(E201,ОКТМО!B:M,12,0)</f>
        <v>Хонуу</v>
      </c>
      <c r="E201" s="6">
        <v>98633423101</v>
      </c>
      <c r="F201" s="1" t="s">
        <v>632</v>
      </c>
      <c r="G201" s="1" t="s">
        <v>639</v>
      </c>
      <c r="H201" s="1">
        <v>600</v>
      </c>
      <c r="I201" s="1">
        <v>300</v>
      </c>
      <c r="J201" s="16" t="s">
        <v>640</v>
      </c>
      <c r="K201" s="16" t="s">
        <v>641</v>
      </c>
      <c r="L201" s="8"/>
    </row>
    <row r="202" spans="1:12">
      <c r="A202" s="1">
        <v>201</v>
      </c>
      <c r="B202" s="1" t="str">
        <f>VLOOKUP(E202,ОКТМО!B:J,6,0)</f>
        <v>Абыйский муниципальный район</v>
      </c>
      <c r="C202" s="1" t="str">
        <f>VLOOKUP(E202,ОКТМО!B:J,9,0)</f>
        <v>поселок Белая Гора</v>
      </c>
      <c r="D202" s="1" t="str">
        <f>VLOOKUP(E202,ОКТМО!B:M,12,0)</f>
        <v>Белая Гора</v>
      </c>
      <c r="E202" s="6">
        <v>98601151051</v>
      </c>
      <c r="F202" s="1" t="s">
        <v>632</v>
      </c>
      <c r="G202" s="1" t="s">
        <v>642</v>
      </c>
      <c r="H202" s="1">
        <v>1202</v>
      </c>
      <c r="I202" s="1">
        <v>470</v>
      </c>
      <c r="J202" s="7" t="s">
        <v>643</v>
      </c>
      <c r="K202" s="7" t="s">
        <v>644</v>
      </c>
      <c r="L202" s="8"/>
    </row>
    <row r="203" spans="1:12">
      <c r="A203" s="1">
        <v>202</v>
      </c>
      <c r="B203" s="1" t="str">
        <f>VLOOKUP(E203,ОКТМО!B:J,6,0)</f>
        <v>Аллаиховский муниципальный район</v>
      </c>
      <c r="C203" s="1" t="str">
        <f>VLOOKUP(E203,ОКТМО!B:J,9,0)</f>
        <v>поселок Чокурдах</v>
      </c>
      <c r="D203" s="1" t="str">
        <f>VLOOKUP(E203,ОКТМО!B:M,12,0)</f>
        <v>Чокурдах</v>
      </c>
      <c r="E203" s="6">
        <v>98606151051</v>
      </c>
      <c r="F203" s="1" t="s">
        <v>632</v>
      </c>
      <c r="G203" s="1" t="s">
        <v>645</v>
      </c>
      <c r="H203" s="1">
        <v>1350</v>
      </c>
      <c r="I203" s="1">
        <v>300</v>
      </c>
      <c r="J203" s="7" t="s">
        <v>646</v>
      </c>
      <c r="K203" s="7" t="s">
        <v>647</v>
      </c>
      <c r="L203" s="8"/>
    </row>
    <row r="204" spans="1:12">
      <c r="A204" s="1">
        <v>203</v>
      </c>
      <c r="B204" s="1" t="str">
        <f>VLOOKUP(E204,ОКТМО!B:J,6,0)</f>
        <v>Аллаиховский муниципальный район</v>
      </c>
      <c r="C204" s="1" t="str">
        <f>VLOOKUP(E204,ОКТМО!B:J,9,0)</f>
        <v>Русско-Устьинский наслег</v>
      </c>
      <c r="D204" s="11" t="str">
        <f>VLOOKUP(E204,ОКТМО!B:M,12,0)</f>
        <v>Русское Устье</v>
      </c>
      <c r="E204" s="12">
        <v>98606450101</v>
      </c>
      <c r="F204" s="1" t="s">
        <v>632</v>
      </c>
      <c r="G204" s="1" t="s">
        <v>648</v>
      </c>
      <c r="H204" s="1">
        <v>0</v>
      </c>
      <c r="I204" s="1">
        <v>0</v>
      </c>
      <c r="J204" s="1" t="s">
        <v>649</v>
      </c>
      <c r="K204" s="1" t="s">
        <v>650</v>
      </c>
      <c r="L204" s="8"/>
    </row>
    <row r="205" spans="1:12">
      <c r="A205" s="1">
        <v>204</v>
      </c>
      <c r="B205" s="1" t="str">
        <f>VLOOKUP(E205,ОКТМО!B:J,6,0)</f>
        <v>Оймяконский муниципальный район</v>
      </c>
      <c r="C205" s="1" t="str">
        <f>VLOOKUP(E205,ОКТМО!B:J,9,0)</f>
        <v>Борогонский 2-й наслег</v>
      </c>
      <c r="D205" s="1" t="str">
        <f>VLOOKUP(E205,ОКТМО!B:M,12,0)</f>
        <v>Агаякан</v>
      </c>
      <c r="E205" s="6">
        <v>98639410106</v>
      </c>
      <c r="F205" s="1" t="s">
        <v>651</v>
      </c>
      <c r="G205" s="1" t="s">
        <v>651</v>
      </c>
      <c r="H205" s="1">
        <v>0</v>
      </c>
      <c r="I205" s="1">
        <v>0</v>
      </c>
      <c r="J205" s="16" t="s">
        <v>652</v>
      </c>
      <c r="K205" s="16" t="s">
        <v>653</v>
      </c>
      <c r="L205" s="8"/>
    </row>
    <row r="206" spans="1:12">
      <c r="A206" s="1">
        <v>205</v>
      </c>
      <c r="B206" s="1" t="str">
        <f>VLOOKUP(E206,ОКТМО!B:J,6,0)</f>
        <v>Оймяконский муниципальный район</v>
      </c>
      <c r="C206" s="1" t="str">
        <f>VLOOKUP(E206,ОКТМО!B:J,9,0)</f>
        <v>Терютский наслег</v>
      </c>
      <c r="D206" s="11" t="str">
        <f>VLOOKUP(E206,ОКТМО!B:M,12,0)</f>
        <v>Терют</v>
      </c>
      <c r="E206" s="12">
        <v>98639432101</v>
      </c>
      <c r="F206" s="1" t="s">
        <v>654</v>
      </c>
      <c r="G206" s="1" t="s">
        <v>655</v>
      </c>
      <c r="H206" s="1">
        <v>0</v>
      </c>
      <c r="I206" s="1">
        <v>0</v>
      </c>
      <c r="J206" s="16" t="s">
        <v>656</v>
      </c>
      <c r="K206" s="16" t="s">
        <v>657</v>
      </c>
      <c r="L206" s="8"/>
    </row>
    <row r="207" spans="1:12">
      <c r="A207" s="1">
        <v>206</v>
      </c>
      <c r="B207" s="1" t="str">
        <f>VLOOKUP(E207,ОКТМО!B:J,6,0)</f>
        <v>Оймяконский муниципальный район</v>
      </c>
      <c r="C207" s="1" t="str">
        <f>VLOOKUP(E207,ОКТМО!B:J,9,0)</f>
        <v>Терютский наслег</v>
      </c>
      <c r="D207" s="11" t="str">
        <f>VLOOKUP(E207,ОКТМО!B:M,12,0)</f>
        <v>Терют</v>
      </c>
      <c r="E207" s="12">
        <v>98639432101</v>
      </c>
      <c r="F207" s="1" t="s">
        <v>658</v>
      </c>
      <c r="G207" s="1" t="s">
        <v>659</v>
      </c>
      <c r="H207" s="1">
        <v>0</v>
      </c>
      <c r="I207" s="1">
        <v>0</v>
      </c>
      <c r="J207" s="16" t="s">
        <v>660</v>
      </c>
      <c r="K207" s="16" t="s">
        <v>661</v>
      </c>
      <c r="L207" s="8"/>
    </row>
    <row r="208" spans="1:12">
      <c r="A208" s="1">
        <v>207</v>
      </c>
      <c r="B208" s="1" t="str">
        <f>VLOOKUP(E208,ОКТМО!B:J,6,0)</f>
        <v>Усть-Янский муниципальный район</v>
      </c>
      <c r="C208" s="1" t="str">
        <f>VLOOKUP(E208,ОКТМО!B:J,9,0)</f>
        <v>Силянняхский национальный наслег</v>
      </c>
      <c r="D208" s="14" t="str">
        <f>VLOOKUP(E208,ОКТМО!B:M,12,0)</f>
        <v>Сайылык</v>
      </c>
      <c r="E208" s="15">
        <v>98656415101</v>
      </c>
      <c r="F208" s="1" t="s">
        <v>662</v>
      </c>
      <c r="G208" s="1" t="s">
        <v>663</v>
      </c>
      <c r="H208" s="1">
        <v>1000</v>
      </c>
      <c r="I208" s="1">
        <v>0</v>
      </c>
      <c r="J208" s="1" t="s">
        <v>664</v>
      </c>
      <c r="K208" s="1" t="s">
        <v>665</v>
      </c>
      <c r="L208" s="8"/>
    </row>
    <row r="209" spans="1:12">
      <c r="A209" s="1">
        <v>208</v>
      </c>
      <c r="B209" s="1">
        <f>VLOOKUP(E209,ОКТМО!B:J,6,0)</f>
        <v>0</v>
      </c>
      <c r="C209" s="1" t="str">
        <f>VLOOKUP(E209,ОКТМО!B:J,9,0)</f>
        <v>Среднеканский</v>
      </c>
      <c r="D209" s="11" t="str">
        <f>VLOOKUP(E209,ОКТМО!B:M,12,0)</f>
        <v>Сеймчан</v>
      </c>
      <c r="E209" s="12">
        <v>44510000051</v>
      </c>
      <c r="F209" s="1" t="s">
        <v>666</v>
      </c>
      <c r="G209" s="1" t="s">
        <v>667</v>
      </c>
      <c r="H209" s="1">
        <v>200</v>
      </c>
      <c r="I209" s="1">
        <v>200</v>
      </c>
      <c r="J209" s="16" t="s">
        <v>668</v>
      </c>
      <c r="K209" s="16" t="s">
        <v>669</v>
      </c>
      <c r="L209" s="8"/>
    </row>
    <row r="210" spans="1:12">
      <c r="A210" s="1">
        <v>209</v>
      </c>
      <c r="B210" s="1">
        <f>VLOOKUP(E210,ОКТМО!B:J,6,0)</f>
        <v>0</v>
      </c>
      <c r="C210" s="1" t="str">
        <f>VLOOKUP(E210,ОКТМО!B:J,9,0)</f>
        <v>Среднеканский</v>
      </c>
      <c r="D210" s="1" t="str">
        <f>VLOOKUP(E210,ОКТМО!B:M,12,0)</f>
        <v>Сеймчан</v>
      </c>
      <c r="E210" s="6">
        <v>44510000051</v>
      </c>
      <c r="F210" s="1" t="s">
        <v>666</v>
      </c>
      <c r="G210" s="1" t="s">
        <v>670</v>
      </c>
      <c r="H210" s="1">
        <v>720</v>
      </c>
      <c r="I210" s="1">
        <v>0</v>
      </c>
      <c r="J210" s="16" t="s">
        <v>671</v>
      </c>
      <c r="K210" s="16" t="s">
        <v>672</v>
      </c>
      <c r="L210" s="8"/>
    </row>
    <row r="211" spans="1:12">
      <c r="A211" s="1">
        <v>210</v>
      </c>
      <c r="B211" s="1">
        <f>VLOOKUP(E211,ОКТМО!B:J,6,0)</f>
        <v>0</v>
      </c>
      <c r="C211" s="1" t="str">
        <f>VLOOKUP(E211,ОКТМО!B:J,9,0)</f>
        <v>Среднеканский</v>
      </c>
      <c r="D211" s="1" t="str">
        <f>VLOOKUP(E211,ОКТМО!B:M,12,0)</f>
        <v>Балыгычан</v>
      </c>
      <c r="E211" s="6">
        <v>44510000102</v>
      </c>
      <c r="F211" s="1" t="s">
        <v>666</v>
      </c>
      <c r="G211" s="1" t="s">
        <v>673</v>
      </c>
      <c r="H211" s="1">
        <v>870</v>
      </c>
      <c r="I211" s="1">
        <v>310</v>
      </c>
      <c r="J211" s="16" t="s">
        <v>674</v>
      </c>
      <c r="K211" s="16" t="s">
        <v>675</v>
      </c>
      <c r="L211" s="8"/>
    </row>
    <row r="212" spans="1:12">
      <c r="A212" s="1">
        <v>211</v>
      </c>
      <c r="B212" s="1">
        <f>VLOOKUP(E212,ОКТМО!B:J,6,0)</f>
        <v>0</v>
      </c>
      <c r="C212" s="1" t="str">
        <f>VLOOKUP(E212,ОКТМО!B:J,9,0)</f>
        <v>Среднеканский</v>
      </c>
      <c r="D212" s="11" t="str">
        <f>VLOOKUP(E212,ОКТМО!B:M,12,0)</f>
        <v>Балыгычан</v>
      </c>
      <c r="E212" s="12">
        <v>44510000102</v>
      </c>
      <c r="F212" s="1" t="s">
        <v>666</v>
      </c>
      <c r="G212" s="1" t="s">
        <v>676</v>
      </c>
      <c r="H212" s="1">
        <v>0</v>
      </c>
      <c r="I212" s="1">
        <v>0</v>
      </c>
      <c r="J212" s="16" t="s">
        <v>677</v>
      </c>
      <c r="K212" s="16" t="s">
        <v>678</v>
      </c>
      <c r="L212" s="8"/>
    </row>
    <row r="213" spans="1:12">
      <c r="A213" s="1">
        <v>212</v>
      </c>
      <c r="B213" s="1" t="str">
        <f>VLOOKUP(E213,ОКТМО!B:J,6,0)</f>
        <v>Верхнеколымский муниципальный район</v>
      </c>
      <c r="C213" s="1" t="str">
        <f>VLOOKUP(E213,ОКТМО!B:J,9,0)</f>
        <v>поселок Зырянка</v>
      </c>
      <c r="D213" s="1" t="str">
        <f>VLOOKUP(E213,ОКТМО!B:M,12,0)</f>
        <v>Зырянка</v>
      </c>
      <c r="E213" s="6">
        <v>98615151051</v>
      </c>
      <c r="F213" s="1" t="s">
        <v>666</v>
      </c>
      <c r="G213" s="1" t="s">
        <v>679</v>
      </c>
      <c r="H213" s="1">
        <v>770</v>
      </c>
      <c r="I213" s="1">
        <v>230</v>
      </c>
      <c r="J213" s="7" t="s">
        <v>680</v>
      </c>
      <c r="K213" s="7" t="s">
        <v>681</v>
      </c>
      <c r="L213" s="8"/>
    </row>
    <row r="214" spans="1:12">
      <c r="A214" s="1">
        <v>213</v>
      </c>
      <c r="B214" s="1" t="str">
        <f>VLOOKUP(E214,ОКТМО!B:J,6,0)</f>
        <v>Среднеколымский муниципальный район</v>
      </c>
      <c r="C214" s="1" t="str">
        <f>VLOOKUP(E214,ОКТМО!B:J,9,0)</f>
        <v>город Среднеколымск</v>
      </c>
      <c r="D214" s="1" t="str">
        <f>VLOOKUP(E214,ОКТМО!B:M,12,0)</f>
        <v>Среднеколымск</v>
      </c>
      <c r="E214" s="6">
        <v>98646101001</v>
      </c>
      <c r="F214" s="1" t="s">
        <v>666</v>
      </c>
      <c r="G214" s="1" t="s">
        <v>682</v>
      </c>
      <c r="H214" s="1">
        <v>1200</v>
      </c>
      <c r="I214" s="1">
        <v>270</v>
      </c>
      <c r="J214" s="7" t="s">
        <v>683</v>
      </c>
      <c r="K214" s="7" t="s">
        <v>684</v>
      </c>
      <c r="L214" s="8"/>
    </row>
    <row r="215" spans="1:12">
      <c r="A215" s="1">
        <v>214</v>
      </c>
      <c r="B215" s="1" t="str">
        <f>VLOOKUP(E215,ОКТМО!B:J,6,0)</f>
        <v>Среднеколымский муниципальный район</v>
      </c>
      <c r="C215" s="1" t="str">
        <f>VLOOKUP(E215,ОКТМО!B:J,9,0)</f>
        <v>Байдинский наслег</v>
      </c>
      <c r="D215" s="1" t="str">
        <f>VLOOKUP(E215,ОКТМО!B:M,12,0)</f>
        <v>Налимск</v>
      </c>
      <c r="E215" s="6">
        <v>98646410101</v>
      </c>
      <c r="F215" s="1" t="s">
        <v>666</v>
      </c>
      <c r="G215" s="1" t="s">
        <v>685</v>
      </c>
      <c r="H215" s="1">
        <v>1250</v>
      </c>
      <c r="I215" s="1">
        <v>0</v>
      </c>
      <c r="J215" s="1" t="s">
        <v>686</v>
      </c>
      <c r="K215" s="1" t="s">
        <v>687</v>
      </c>
      <c r="L215" s="8"/>
    </row>
    <row r="216" spans="1:12">
      <c r="A216" s="1">
        <v>215</v>
      </c>
      <c r="B216" s="1" t="str">
        <f>VLOOKUP(E216,ОКТМО!B:J,6,0)</f>
        <v>Нижнеколымский муниципальный район</v>
      </c>
      <c r="C216" s="1" t="str">
        <f>VLOOKUP(E216,ОКТМО!B:J,9,0)</f>
        <v>Чукотский национальный Халарчинский наслег</v>
      </c>
      <c r="D216" s="1" t="str">
        <f>VLOOKUP(E216,ОКТМО!B:M,12,0)</f>
        <v>Колымское</v>
      </c>
      <c r="E216" s="6">
        <v>98637437101</v>
      </c>
      <c r="F216" s="1" t="s">
        <v>666</v>
      </c>
      <c r="G216" s="1" t="s">
        <v>688</v>
      </c>
      <c r="H216" s="1">
        <v>1010</v>
      </c>
      <c r="I216" s="1">
        <v>0</v>
      </c>
      <c r="J216" s="7" t="s">
        <v>689</v>
      </c>
      <c r="K216" s="7" t="s">
        <v>690</v>
      </c>
      <c r="L216" s="8"/>
    </row>
    <row r="217" spans="1:12">
      <c r="A217" s="1">
        <v>216</v>
      </c>
      <c r="B217" s="1" t="str">
        <f>VLOOKUP(E217,ОКТМО!B:J,6,0)</f>
        <v>Нижнеколымский муниципальный район</v>
      </c>
      <c r="C217" s="1" t="str">
        <f>VLOOKUP(E217,ОКТМО!B:J,9,0)</f>
        <v>поселок Черский</v>
      </c>
      <c r="D217" s="1" t="str">
        <f>VLOOKUP(E217,ОКТМО!B:M,12,0)</f>
        <v>Черский</v>
      </c>
      <c r="E217" s="6">
        <v>98637151051</v>
      </c>
      <c r="F217" s="1" t="s">
        <v>666</v>
      </c>
      <c r="G217" s="1" t="s">
        <v>691</v>
      </c>
      <c r="H217" s="1">
        <v>600</v>
      </c>
      <c r="I217" s="1">
        <v>0</v>
      </c>
      <c r="J217" s="7" t="s">
        <v>692</v>
      </c>
      <c r="K217" s="7" t="s">
        <v>693</v>
      </c>
      <c r="L217" s="8"/>
    </row>
    <row r="218" spans="1:12">
      <c r="A218" s="1">
        <v>217</v>
      </c>
      <c r="B218" s="1" t="str">
        <f>VLOOKUP(E218,ОКТМО!B:J,6,0)</f>
        <v>Нижнеколымский муниципальный район</v>
      </c>
      <c r="C218" s="1" t="str">
        <f>VLOOKUP(E218,ОКТМО!B:J,9,0)</f>
        <v>Походский наслег</v>
      </c>
      <c r="D218" s="1" t="str">
        <f>VLOOKUP(E218,ОКТМО!B:M,12,0)</f>
        <v>Походск</v>
      </c>
      <c r="E218" s="6">
        <v>98637424101</v>
      </c>
      <c r="F218" s="1" t="s">
        <v>666</v>
      </c>
      <c r="G218" s="1" t="s">
        <v>694</v>
      </c>
      <c r="H218" s="1">
        <v>1000</v>
      </c>
      <c r="I218" s="1">
        <v>0</v>
      </c>
      <c r="J218" s="1" t="s">
        <v>695</v>
      </c>
      <c r="K218" s="1" t="s">
        <v>696</v>
      </c>
      <c r="L218" s="8"/>
    </row>
    <row r="219" spans="1:12">
      <c r="A219" s="1">
        <v>218</v>
      </c>
      <c r="B219" s="1" t="str">
        <f>VLOOKUP(E219,ОКТМО!B:J,6,0)</f>
        <v>Верхнеколымский муниципальный район</v>
      </c>
      <c r="C219" s="1" t="str">
        <f>VLOOKUP(E219,ОКТМО!B:J,9,0)</f>
        <v>Нелемнский юкагирский наслег</v>
      </c>
      <c r="D219" s="1" t="str">
        <f>VLOOKUP(E219,ОКТМО!B:M,12,0)</f>
        <v>Нелемное</v>
      </c>
      <c r="E219" s="6">
        <v>98615414101</v>
      </c>
      <c r="F219" s="1" t="s">
        <v>697</v>
      </c>
      <c r="G219" s="1" t="s">
        <v>698</v>
      </c>
      <c r="H219" s="1">
        <v>0</v>
      </c>
      <c r="I219" s="1">
        <v>0</v>
      </c>
      <c r="J219" s="16" t="s">
        <v>699</v>
      </c>
      <c r="K219" s="16" t="s">
        <v>700</v>
      </c>
      <c r="L219" s="8"/>
    </row>
    <row r="220" spans="1:12">
      <c r="A220" s="1">
        <v>219</v>
      </c>
      <c r="B220" s="1" t="str">
        <f>VLOOKUP(E220,ОКТМО!B:J,6,0)</f>
        <v>Верхнеколымский муниципальный район</v>
      </c>
      <c r="C220" s="1" t="str">
        <f>VLOOKUP(E220,ОКТМО!B:J,9,0)</f>
        <v>Верхнеколымский наслег</v>
      </c>
      <c r="D220" s="1" t="str">
        <f>VLOOKUP(E220,ОКТМО!B:M,12,0)</f>
        <v>Верхнеколымск</v>
      </c>
      <c r="E220" s="6">
        <v>98615409101</v>
      </c>
      <c r="F220" s="1" t="s">
        <v>697</v>
      </c>
      <c r="G220" s="1" t="s">
        <v>701</v>
      </c>
      <c r="H220" s="1">
        <v>0</v>
      </c>
      <c r="I220" s="1">
        <v>0</v>
      </c>
      <c r="J220" s="1" t="s">
        <v>702</v>
      </c>
      <c r="K220" s="1" t="s">
        <v>703</v>
      </c>
      <c r="L220" s="8"/>
    </row>
    <row r="221" spans="1:12">
      <c r="A221" s="1">
        <v>220</v>
      </c>
      <c r="B221" s="1" t="str">
        <f>VLOOKUP(E221,ОКТМО!B:J,6,0)</f>
        <v>Мирнинский муниципальный район</v>
      </c>
      <c r="C221" s="1" t="str">
        <f>VLOOKUP(E221,ОКТМО!B:J,9,0)</f>
        <v>город Мирный</v>
      </c>
      <c r="D221" s="1" t="str">
        <f>VLOOKUP(E221,ОКТМО!B:M,12,0)</f>
        <v>Березовка</v>
      </c>
      <c r="E221" s="6">
        <v>98631101106</v>
      </c>
      <c r="F221" s="1" t="s">
        <v>704</v>
      </c>
      <c r="G221" s="1" t="s">
        <v>704</v>
      </c>
      <c r="H221" s="1">
        <v>1000</v>
      </c>
      <c r="I221" s="1">
        <v>0</v>
      </c>
      <c r="J221" s="16" t="s">
        <v>705</v>
      </c>
      <c r="K221" s="16" t="s">
        <v>706</v>
      </c>
      <c r="L221" s="8"/>
    </row>
    <row r="222" spans="1:12">
      <c r="A222" s="1">
        <v>221</v>
      </c>
      <c r="B222" s="1" t="str">
        <f>VLOOKUP(E222,ОКТМО!B:J,6,0)</f>
        <v>Среднеколымский муниципальный район</v>
      </c>
      <c r="C222" s="1" t="str">
        <f>VLOOKUP(E222,ОКТМО!B:J,9,0)</f>
        <v>Мятисский 2-й наслег</v>
      </c>
      <c r="D222" s="1" t="str">
        <f>VLOOKUP(E222,ОКТМО!B:M,12,0)</f>
        <v>Сватай</v>
      </c>
      <c r="E222" s="6">
        <v>98646436101</v>
      </c>
      <c r="F222" s="1" t="s">
        <v>707</v>
      </c>
      <c r="G222" s="1" t="s">
        <v>708</v>
      </c>
      <c r="H222" s="1">
        <v>750</v>
      </c>
      <c r="I222" s="1">
        <v>0</v>
      </c>
      <c r="J222" s="1" t="s">
        <v>709</v>
      </c>
      <c r="K222" s="1" t="s">
        <v>710</v>
      </c>
      <c r="L222" s="8"/>
    </row>
    <row r="223" spans="1:12">
      <c r="A223" s="1">
        <v>222</v>
      </c>
      <c r="B223" s="1" t="str">
        <f>VLOOKUP(E223,ОКТМО!B:J,6,0)</f>
        <v>Среднеколымский муниципальный район</v>
      </c>
      <c r="C223" s="1" t="str">
        <f>VLOOKUP(E223,ОКТМО!B:J,9,0)</f>
        <v>Алазейский наслег</v>
      </c>
      <c r="D223" s="1" t="str">
        <f>VLOOKUP(E223,ОКТМО!B:M,12,0)</f>
        <v>Аргахтах</v>
      </c>
      <c r="E223" s="6">
        <v>98646405101</v>
      </c>
      <c r="F223" s="1" t="s">
        <v>707</v>
      </c>
      <c r="G223" s="1" t="s">
        <v>711</v>
      </c>
      <c r="H223" s="1">
        <v>777</v>
      </c>
      <c r="I223" s="1">
        <v>0</v>
      </c>
      <c r="J223" s="16" t="s">
        <v>712</v>
      </c>
      <c r="K223" s="16" t="s">
        <v>713</v>
      </c>
      <c r="L223" s="8"/>
    </row>
    <row r="224" spans="1:12">
      <c r="A224" s="1">
        <v>223</v>
      </c>
      <c r="B224" s="1" t="str">
        <f>VLOOKUP(E224,ОКТМО!B:J,6,0)</f>
        <v>Нижнеколымский муниципальный район</v>
      </c>
      <c r="C224" s="1" t="str">
        <f>VLOOKUP(E224,ОКТМО!B:J,9,0)</f>
        <v>Национальный юкагирский "Олеринский Суктул"</v>
      </c>
      <c r="D224" s="1" t="str">
        <f>VLOOKUP(E224,ОКТМО!B:M,12,0)</f>
        <v>Андрюшкино</v>
      </c>
      <c r="E224" s="6">
        <v>98637411101</v>
      </c>
      <c r="F224" s="1" t="s">
        <v>707</v>
      </c>
      <c r="G224" s="1" t="s">
        <v>714</v>
      </c>
      <c r="H224" s="1">
        <v>1000</v>
      </c>
      <c r="I224" s="1">
        <v>0</v>
      </c>
      <c r="J224" s="1" t="s">
        <v>715</v>
      </c>
      <c r="K224" s="1" t="s">
        <v>716</v>
      </c>
      <c r="L224" s="8"/>
    </row>
  </sheetData>
  <autoFilter ref="A1:K224" xr:uid="{1C1696D0-29A0-4805-8B01-4436E1F17BB2}"/>
  <conditionalFormatting sqref="E1:E1048576">
    <cfRule type="cellIs" dxfId="4" priority="1" operator="equal">
      <formula>"не н.п."</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E77AD-A043-47D3-AB0C-3776CED4ACBF}">
  <sheetPr>
    <tabColor rgb="FFFFFF00"/>
  </sheetPr>
  <dimension ref="A1:AG671"/>
  <sheetViews>
    <sheetView topLeftCell="J234" zoomScale="70" zoomScaleNormal="70" workbookViewId="0">
      <selection activeCell="N234" sqref="N234"/>
    </sheetView>
  </sheetViews>
  <sheetFormatPr defaultRowHeight="15"/>
  <cols>
    <col min="1" max="1" width="4.42578125" style="23" bestFit="1" customWidth="1"/>
    <col min="2" max="2" width="16.5703125" style="23" customWidth="1"/>
    <col min="3" max="3" width="53.7109375" style="23" bestFit="1" customWidth="1"/>
    <col min="4" max="4" width="25.28515625" style="28" customWidth="1"/>
    <col min="5" max="5" width="53.7109375" style="23" bestFit="1" customWidth="1"/>
    <col min="6" max="6" width="13.85546875" style="28" customWidth="1"/>
    <col min="7" max="7" width="43.42578125" style="23" customWidth="1"/>
    <col min="8" max="8" width="14.42578125" style="28" bestFit="1" customWidth="1"/>
    <col min="9" max="9" width="67.140625" style="23" customWidth="1"/>
    <col min="10" max="10" width="52.5703125" style="23" customWidth="1"/>
    <col min="11" max="11" width="12.5703125" style="23" customWidth="1"/>
    <col min="12" max="12" width="11.7109375" style="23" customWidth="1"/>
    <col min="13" max="13" width="23.5703125" style="31" customWidth="1"/>
    <col min="14" max="14" width="15.85546875" style="28" customWidth="1"/>
    <col min="15" max="15" width="13.85546875" style="32" customWidth="1"/>
    <col min="16" max="16" width="15.140625" style="1" customWidth="1"/>
    <col min="17" max="17" width="18.140625" style="1" customWidth="1"/>
    <col min="18" max="18" width="18.85546875" style="1" customWidth="1"/>
    <col min="19" max="19" width="16.7109375" style="23" customWidth="1"/>
    <col min="20" max="20" width="17.7109375" style="23" customWidth="1"/>
    <col min="21" max="21" width="39.5703125" style="23" customWidth="1"/>
    <col min="22" max="22" width="9.140625" style="23"/>
    <col min="23" max="24" width="28.5703125" style="23" customWidth="1"/>
    <col min="25" max="25" width="31.7109375" style="23" customWidth="1"/>
    <col min="26" max="26" width="21.42578125" style="23" customWidth="1"/>
    <col min="27" max="27" width="11" style="23" customWidth="1"/>
    <col min="28" max="28" width="17.42578125" style="23" customWidth="1"/>
    <col min="29" max="29" width="18.5703125" style="23" customWidth="1"/>
    <col min="30" max="30" width="46.5703125" style="23" customWidth="1"/>
    <col min="31" max="33" width="9.140625" style="23"/>
    <col min="42" max="42" width="11" customWidth="1"/>
    <col min="43" max="44" width="17.85546875" customWidth="1"/>
    <col min="45" max="45" width="18" customWidth="1"/>
    <col min="46" max="46" width="26.5703125" customWidth="1"/>
    <col min="47" max="47" width="33.5703125" customWidth="1"/>
  </cols>
  <sheetData>
    <row r="1" spans="1:30" ht="30.75" customHeight="1">
      <c r="A1" s="2" t="s">
        <v>717</v>
      </c>
      <c r="B1" s="2" t="s">
        <v>4</v>
      </c>
      <c r="C1" s="2" t="s">
        <v>718</v>
      </c>
      <c r="D1" s="19" t="s">
        <v>719</v>
      </c>
      <c r="E1" s="2" t="s">
        <v>720</v>
      </c>
      <c r="F1" s="19" t="s">
        <v>721</v>
      </c>
      <c r="G1" s="2" t="s">
        <v>722</v>
      </c>
      <c r="H1" s="20" t="s">
        <v>723</v>
      </c>
      <c r="I1" s="2" t="s">
        <v>724</v>
      </c>
      <c r="J1" s="2" t="s">
        <v>725</v>
      </c>
      <c r="K1" s="2" t="s">
        <v>726</v>
      </c>
      <c r="L1" s="2" t="s">
        <v>727</v>
      </c>
      <c r="M1" s="21" t="s">
        <v>728</v>
      </c>
      <c r="N1" s="19" t="s">
        <v>4</v>
      </c>
      <c r="O1" s="22" t="s">
        <v>729</v>
      </c>
      <c r="P1" s="2" t="s">
        <v>730</v>
      </c>
      <c r="Q1" s="4" t="s">
        <v>9</v>
      </c>
      <c r="R1" s="4" t="s">
        <v>10</v>
      </c>
      <c r="T1" s="9" t="s">
        <v>731</v>
      </c>
      <c r="U1" s="19">
        <f>SUM(O:O)</f>
        <v>1063586</v>
      </c>
      <c r="V1" s="1" t="s">
        <v>732</v>
      </c>
      <c r="W1" s="24" t="s">
        <v>733</v>
      </c>
      <c r="X1" s="24"/>
      <c r="Y1" s="25" t="s">
        <v>734</v>
      </c>
      <c r="Z1" s="26">
        <f>COUNTIF(Q:Q,"#Н/Д")</f>
        <v>0</v>
      </c>
      <c r="AA1"/>
      <c r="AB1"/>
      <c r="AC1"/>
    </row>
    <row r="2" spans="1:30">
      <c r="A2" s="23">
        <v>1</v>
      </c>
      <c r="B2" s="27">
        <f>N2</f>
        <v>98701000001</v>
      </c>
      <c r="C2" s="23" t="s">
        <v>735</v>
      </c>
      <c r="D2" s="6" t="s">
        <v>736</v>
      </c>
      <c r="E2" s="23" t="s">
        <v>737</v>
      </c>
      <c r="F2" s="28">
        <v>98700000</v>
      </c>
      <c r="G2" s="23" t="s">
        <v>738</v>
      </c>
      <c r="H2" s="29">
        <v>0</v>
      </c>
      <c r="I2" s="29">
        <v>0</v>
      </c>
      <c r="J2" s="30" t="s">
        <v>739</v>
      </c>
      <c r="K2" s="23" t="s">
        <v>740</v>
      </c>
      <c r="L2" s="23" t="str">
        <f>VLOOKUP(K2,Матрицы!B:C,2,0)</f>
        <v>город</v>
      </c>
      <c r="M2" s="31" t="s">
        <v>129</v>
      </c>
      <c r="N2" s="28">
        <v>98701000001</v>
      </c>
      <c r="O2" s="32">
        <v>372801</v>
      </c>
      <c r="P2" s="1">
        <v>1</v>
      </c>
      <c r="Q2" s="1" t="s">
        <v>741</v>
      </c>
      <c r="R2" s="1" t="s">
        <v>742</v>
      </c>
      <c r="T2" s="23" t="s">
        <v>743</v>
      </c>
      <c r="U2" s="28">
        <f>SUMIF(P:P,V2,O:O)</f>
        <v>682853</v>
      </c>
      <c r="V2" s="33">
        <v>1</v>
      </c>
      <c r="W2" s="34">
        <f>U2/U1</f>
        <v>0.64202894735357552</v>
      </c>
      <c r="X2" s="34"/>
      <c r="Y2" s="25" t="s">
        <v>744</v>
      </c>
      <c r="AA2"/>
      <c r="AD2" s="23" t="s">
        <v>745</v>
      </c>
    </row>
    <row r="3" spans="1:30">
      <c r="A3" s="23">
        <v>2</v>
      </c>
      <c r="B3" s="27">
        <f t="shared" ref="B3:B66" si="0">N3</f>
        <v>98701000001</v>
      </c>
      <c r="C3" s="23" t="s">
        <v>735</v>
      </c>
      <c r="D3" s="6" t="s">
        <v>746</v>
      </c>
      <c r="E3" s="23" t="s">
        <v>737</v>
      </c>
      <c r="F3" s="28">
        <v>98700000</v>
      </c>
      <c r="G3" s="23" t="s">
        <v>738</v>
      </c>
      <c r="H3" s="29">
        <v>0</v>
      </c>
      <c r="I3" s="29">
        <v>0</v>
      </c>
      <c r="J3" s="30" t="s">
        <v>739</v>
      </c>
      <c r="K3" s="23" t="s">
        <v>747</v>
      </c>
      <c r="L3" s="23" t="str">
        <f>VLOOKUP(K3,Матрицы!B:C,2,0)</f>
        <v>микрорайон</v>
      </c>
      <c r="M3" s="31" t="s">
        <v>141</v>
      </c>
      <c r="N3" s="28">
        <v>98701000001</v>
      </c>
      <c r="O3" s="32">
        <v>0</v>
      </c>
      <c r="P3" s="1">
        <v>2</v>
      </c>
      <c r="Q3" s="1" t="s">
        <v>741</v>
      </c>
      <c r="R3" s="1" t="s">
        <v>742</v>
      </c>
      <c r="T3" s="23" t="s">
        <v>748</v>
      </c>
      <c r="U3" s="28">
        <f>SUMIF(P:P,V3,O:O)</f>
        <v>380733</v>
      </c>
      <c r="V3" s="35">
        <v>2</v>
      </c>
      <c r="W3" s="34">
        <f>U3/U1</f>
        <v>0.35797105264642448</v>
      </c>
      <c r="X3" s="34"/>
      <c r="Y3" s="23" t="s">
        <v>749</v>
      </c>
      <c r="Z3" s="23" t="s">
        <v>750</v>
      </c>
      <c r="AA3" s="23" t="s">
        <v>751</v>
      </c>
      <c r="AB3" s="31" t="s">
        <v>752</v>
      </c>
      <c r="AC3" s="28">
        <v>98603101111</v>
      </c>
      <c r="AD3" s="23" t="s">
        <v>753</v>
      </c>
    </row>
    <row r="4" spans="1:30">
      <c r="A4" s="23">
        <v>3</v>
      </c>
      <c r="B4" s="27">
        <f t="shared" si="0"/>
        <v>98701000106</v>
      </c>
      <c r="C4" s="23" t="s">
        <v>735</v>
      </c>
      <c r="D4" s="28">
        <v>98600000</v>
      </c>
      <c r="E4" s="23" t="s">
        <v>737</v>
      </c>
      <c r="F4" s="28">
        <v>98700000</v>
      </c>
      <c r="G4" s="23" t="s">
        <v>738</v>
      </c>
      <c r="H4" s="29">
        <v>0</v>
      </c>
      <c r="I4" s="29">
        <v>0</v>
      </c>
      <c r="J4" s="30" t="s">
        <v>739</v>
      </c>
      <c r="K4" s="23" t="s">
        <v>754</v>
      </c>
      <c r="L4" s="23" t="str">
        <f>VLOOKUP(K4,Матрицы!B:C,2,0)</f>
        <v>село</v>
      </c>
      <c r="M4" s="31" t="s">
        <v>755</v>
      </c>
      <c r="N4" s="28">
        <v>98701000106</v>
      </c>
      <c r="O4" s="36">
        <v>2129</v>
      </c>
      <c r="P4" s="1">
        <v>2</v>
      </c>
      <c r="Q4" s="1" t="s">
        <v>756</v>
      </c>
      <c r="R4" s="1" t="s">
        <v>757</v>
      </c>
      <c r="Y4" s="23" t="s">
        <v>758</v>
      </c>
      <c r="Z4" s="23" t="s">
        <v>759</v>
      </c>
      <c r="AA4" s="23" t="s">
        <v>751</v>
      </c>
      <c r="AB4" s="23" t="s">
        <v>760</v>
      </c>
      <c r="AC4" s="23">
        <v>98614445101</v>
      </c>
      <c r="AD4" s="23" t="s">
        <v>761</v>
      </c>
    </row>
    <row r="5" spans="1:30">
      <c r="A5" s="23">
        <v>4</v>
      </c>
      <c r="B5" s="27">
        <f t="shared" si="0"/>
        <v>98701000111</v>
      </c>
      <c r="C5" s="23" t="s">
        <v>735</v>
      </c>
      <c r="D5" s="28">
        <v>98600000</v>
      </c>
      <c r="E5" s="23" t="s">
        <v>737</v>
      </c>
      <c r="F5" s="28">
        <v>98700000</v>
      </c>
      <c r="G5" s="23" t="s">
        <v>738</v>
      </c>
      <c r="H5" s="29">
        <v>0</v>
      </c>
      <c r="I5" s="29">
        <v>0</v>
      </c>
      <c r="J5" s="30" t="s">
        <v>739</v>
      </c>
      <c r="K5" s="23" t="s">
        <v>754</v>
      </c>
      <c r="L5" s="23" t="str">
        <f>VLOOKUP(K5,Матрицы!B:C,2,0)</f>
        <v>село</v>
      </c>
      <c r="M5" s="31" t="s">
        <v>762</v>
      </c>
      <c r="N5" s="28">
        <v>98701000111</v>
      </c>
      <c r="O5" s="36">
        <v>616</v>
      </c>
      <c r="P5" s="1">
        <v>2</v>
      </c>
      <c r="Q5" s="1" t="s">
        <v>763</v>
      </c>
      <c r="R5" s="1" t="s">
        <v>764</v>
      </c>
      <c r="T5" s="9" t="s">
        <v>765</v>
      </c>
      <c r="U5" s="9" t="s">
        <v>766</v>
      </c>
      <c r="Y5" s="23" t="s">
        <v>758</v>
      </c>
      <c r="Z5" s="23" t="s">
        <v>767</v>
      </c>
      <c r="AA5" s="23" t="s">
        <v>751</v>
      </c>
      <c r="AB5" s="23" t="s">
        <v>760</v>
      </c>
      <c r="AC5" s="23">
        <v>98614482101</v>
      </c>
      <c r="AD5" s="23" t="s">
        <v>768</v>
      </c>
    </row>
    <row r="6" spans="1:30">
      <c r="A6" s="23">
        <v>5</v>
      </c>
      <c r="B6" s="27">
        <f t="shared" si="0"/>
        <v>98701000116</v>
      </c>
      <c r="C6" s="23" t="s">
        <v>735</v>
      </c>
      <c r="D6" s="28">
        <v>98600000</v>
      </c>
      <c r="E6" s="23" t="s">
        <v>737</v>
      </c>
      <c r="F6" s="28">
        <v>98700000</v>
      </c>
      <c r="G6" s="23" t="s">
        <v>738</v>
      </c>
      <c r="H6" s="29">
        <v>0</v>
      </c>
      <c r="I6" s="29">
        <v>0</v>
      </c>
      <c r="J6" s="30" t="s">
        <v>739</v>
      </c>
      <c r="K6" s="23" t="s">
        <v>754</v>
      </c>
      <c r="L6" s="23" t="str">
        <f>VLOOKUP(K6,Матрицы!B:C,2,0)</f>
        <v>село</v>
      </c>
      <c r="M6" s="31" t="s">
        <v>111</v>
      </c>
      <c r="N6" s="28">
        <v>98701000116</v>
      </c>
      <c r="O6" s="36">
        <v>2006</v>
      </c>
      <c r="P6" s="1">
        <v>2</v>
      </c>
      <c r="Q6" s="1" t="s">
        <v>769</v>
      </c>
      <c r="R6" s="1" t="s">
        <v>770</v>
      </c>
      <c r="T6" s="9"/>
      <c r="U6" s="9" t="s">
        <v>771</v>
      </c>
      <c r="Y6" s="23" t="s">
        <v>772</v>
      </c>
      <c r="Z6" s="23" t="s">
        <v>773</v>
      </c>
      <c r="AA6" s="23" t="s">
        <v>751</v>
      </c>
      <c r="AB6" s="23" t="s">
        <v>618</v>
      </c>
      <c r="AC6" s="23">
        <v>98616414101</v>
      </c>
      <c r="AD6" s="23" t="s">
        <v>774</v>
      </c>
    </row>
    <row r="7" spans="1:30">
      <c r="A7" s="23">
        <v>6</v>
      </c>
      <c r="B7" s="27">
        <f t="shared" si="0"/>
        <v>98701000121</v>
      </c>
      <c r="C7" s="23" t="s">
        <v>735</v>
      </c>
      <c r="D7" s="28">
        <v>98600000</v>
      </c>
      <c r="E7" s="23" t="s">
        <v>737</v>
      </c>
      <c r="F7" s="28">
        <v>98700000</v>
      </c>
      <c r="G7" s="23" t="s">
        <v>738</v>
      </c>
      <c r="H7" s="29">
        <v>0</v>
      </c>
      <c r="I7" s="29">
        <v>0</v>
      </c>
      <c r="J7" s="30" t="s">
        <v>739</v>
      </c>
      <c r="K7" s="23" t="s">
        <v>754</v>
      </c>
      <c r="L7" s="23" t="str">
        <f>VLOOKUP(K7,Матрицы!B:C,2,0)</f>
        <v>село</v>
      </c>
      <c r="M7" s="31" t="s">
        <v>775</v>
      </c>
      <c r="N7" s="28">
        <v>98701000121</v>
      </c>
      <c r="O7" s="36">
        <v>2205</v>
      </c>
      <c r="P7" s="1">
        <v>2</v>
      </c>
      <c r="Q7" s="1" t="s">
        <v>776</v>
      </c>
      <c r="R7" s="1" t="s">
        <v>777</v>
      </c>
      <c r="T7" s="9"/>
      <c r="U7" s="9" t="s">
        <v>778</v>
      </c>
      <c r="Y7" s="23" t="s">
        <v>772</v>
      </c>
      <c r="Z7" s="23" t="s">
        <v>779</v>
      </c>
      <c r="AA7" s="23" t="s">
        <v>751</v>
      </c>
      <c r="AB7" s="23" t="s">
        <v>780</v>
      </c>
      <c r="AC7" s="23">
        <v>98616470106</v>
      </c>
      <c r="AD7" s="23" t="s">
        <v>781</v>
      </c>
    </row>
    <row r="8" spans="1:30">
      <c r="A8" s="23">
        <v>7</v>
      </c>
      <c r="B8" s="27">
        <f t="shared" si="0"/>
        <v>98701000126</v>
      </c>
      <c r="C8" s="23" t="s">
        <v>735</v>
      </c>
      <c r="D8" s="28">
        <v>98600000</v>
      </c>
      <c r="E8" s="23" t="s">
        <v>737</v>
      </c>
      <c r="F8" s="28">
        <v>98700000</v>
      </c>
      <c r="G8" s="23" t="s">
        <v>738</v>
      </c>
      <c r="H8" s="29">
        <v>0</v>
      </c>
      <c r="I8" s="29">
        <v>0</v>
      </c>
      <c r="J8" s="30" t="s">
        <v>739</v>
      </c>
      <c r="K8" s="23" t="s">
        <v>754</v>
      </c>
      <c r="L8" s="23" t="str">
        <f>VLOOKUP(K8,Матрицы!B:C,2,0)</f>
        <v>село</v>
      </c>
      <c r="M8" s="31" t="s">
        <v>782</v>
      </c>
      <c r="N8" s="28">
        <v>98701000126</v>
      </c>
      <c r="O8" s="36">
        <v>418</v>
      </c>
      <c r="P8" s="1">
        <v>2</v>
      </c>
      <c r="Q8" s="1" t="s">
        <v>783</v>
      </c>
      <c r="R8" s="1" t="s">
        <v>784</v>
      </c>
      <c r="Y8" s="23" t="s">
        <v>785</v>
      </c>
      <c r="Z8" s="23" t="s">
        <v>786</v>
      </c>
      <c r="AA8" s="23" t="s">
        <v>751</v>
      </c>
      <c r="AB8" s="23" t="s">
        <v>787</v>
      </c>
      <c r="AC8" s="23">
        <v>98618408111</v>
      </c>
      <c r="AD8" s="23" t="s">
        <v>781</v>
      </c>
    </row>
    <row r="9" spans="1:30">
      <c r="A9" s="23">
        <v>8</v>
      </c>
      <c r="B9" s="27">
        <f t="shared" si="0"/>
        <v>98701000131</v>
      </c>
      <c r="C9" s="23" t="s">
        <v>735</v>
      </c>
      <c r="D9" s="28">
        <v>98600000</v>
      </c>
      <c r="E9" s="23" t="s">
        <v>737</v>
      </c>
      <c r="F9" s="28">
        <v>98700000</v>
      </c>
      <c r="G9" s="23" t="s">
        <v>738</v>
      </c>
      <c r="H9" s="29">
        <v>0</v>
      </c>
      <c r="I9" s="29">
        <v>0</v>
      </c>
      <c r="J9" s="30" t="s">
        <v>739</v>
      </c>
      <c r="K9" s="23" t="s">
        <v>754</v>
      </c>
      <c r="L9" s="23" t="str">
        <f>VLOOKUP(K9,Матрицы!B:C,2,0)</f>
        <v>село</v>
      </c>
      <c r="M9" s="31" t="s">
        <v>788</v>
      </c>
      <c r="N9" s="28">
        <v>98701000131</v>
      </c>
      <c r="O9" s="36">
        <v>291</v>
      </c>
      <c r="P9" s="1">
        <v>2</v>
      </c>
      <c r="Q9" s="1" t="s">
        <v>789</v>
      </c>
      <c r="R9" s="1" t="s">
        <v>790</v>
      </c>
      <c r="Y9" s="23" t="s">
        <v>785</v>
      </c>
      <c r="Z9" s="23" t="s">
        <v>791</v>
      </c>
      <c r="AA9" s="23" t="s">
        <v>751</v>
      </c>
      <c r="AB9" s="23" t="s">
        <v>792</v>
      </c>
      <c r="AC9" s="23">
        <v>98618449106</v>
      </c>
      <c r="AD9" s="23" t="s">
        <v>781</v>
      </c>
    </row>
    <row r="10" spans="1:30">
      <c r="A10" s="23">
        <v>9</v>
      </c>
      <c r="B10" s="27">
        <f t="shared" si="0"/>
        <v>98701000136</v>
      </c>
      <c r="C10" s="23" t="s">
        <v>735</v>
      </c>
      <c r="D10" s="28">
        <v>98600000</v>
      </c>
      <c r="E10" s="23" t="s">
        <v>737</v>
      </c>
      <c r="F10" s="28">
        <v>98700000</v>
      </c>
      <c r="G10" s="23" t="s">
        <v>738</v>
      </c>
      <c r="H10" s="29">
        <v>0</v>
      </c>
      <c r="I10" s="29">
        <v>0</v>
      </c>
      <c r="J10" s="30" t="s">
        <v>739</v>
      </c>
      <c r="K10" s="23" t="s">
        <v>754</v>
      </c>
      <c r="L10" s="23" t="str">
        <f>VLOOKUP(K10,Матрицы!B:C,2,0)</f>
        <v>село</v>
      </c>
      <c r="M10" s="31" t="s">
        <v>793</v>
      </c>
      <c r="N10" s="28">
        <v>98701000136</v>
      </c>
      <c r="O10" s="36">
        <v>984</v>
      </c>
      <c r="P10" s="1">
        <v>2</v>
      </c>
      <c r="Q10" s="1" t="s">
        <v>794</v>
      </c>
      <c r="R10" s="1" t="s">
        <v>795</v>
      </c>
      <c r="T10" s="23" t="s">
        <v>796</v>
      </c>
      <c r="U10" s="37">
        <f>COUNTIF(T12:T74,"&gt;0")</f>
        <v>36</v>
      </c>
      <c r="W10" s="1" t="s">
        <v>797</v>
      </c>
      <c r="Y10" s="23" t="s">
        <v>798</v>
      </c>
      <c r="Z10" s="23" t="s">
        <v>799</v>
      </c>
      <c r="AA10" s="23" t="s">
        <v>751</v>
      </c>
      <c r="AB10" s="23" t="s">
        <v>304</v>
      </c>
      <c r="AC10" s="23">
        <v>98629429101</v>
      </c>
    </row>
    <row r="11" spans="1:30">
      <c r="A11" s="23">
        <v>10</v>
      </c>
      <c r="B11" s="27">
        <f t="shared" si="0"/>
        <v>98701000141</v>
      </c>
      <c r="C11" s="23" t="s">
        <v>735</v>
      </c>
      <c r="D11" s="28">
        <v>98600000</v>
      </c>
      <c r="E11" s="23" t="s">
        <v>737</v>
      </c>
      <c r="F11" s="28">
        <v>98700000</v>
      </c>
      <c r="G11" s="23" t="s">
        <v>738</v>
      </c>
      <c r="H11" s="29">
        <v>0</v>
      </c>
      <c r="I11" s="29">
        <v>0</v>
      </c>
      <c r="J11" s="30" t="s">
        <v>739</v>
      </c>
      <c r="K11" s="23" t="s">
        <v>754</v>
      </c>
      <c r="L11" s="23" t="str">
        <f>VLOOKUP(K11,Матрицы!B:C,2,0)</f>
        <v>село</v>
      </c>
      <c r="M11" s="31" t="s">
        <v>800</v>
      </c>
      <c r="N11" s="28">
        <v>98701000141</v>
      </c>
      <c r="O11" s="36">
        <v>5470</v>
      </c>
      <c r="P11" s="1">
        <v>2</v>
      </c>
      <c r="Q11" s="1" t="s">
        <v>801</v>
      </c>
      <c r="R11" s="1" t="s">
        <v>802</v>
      </c>
      <c r="T11" s="23" t="s">
        <v>803</v>
      </c>
      <c r="U11" s="6">
        <f>SUM(T12:T84)</f>
        <v>1013390</v>
      </c>
      <c r="W11" s="38">
        <f>U1-U11</f>
        <v>50196</v>
      </c>
      <c r="Y11" s="23" t="s">
        <v>798</v>
      </c>
      <c r="Z11" s="23" t="s">
        <v>804</v>
      </c>
      <c r="AA11" s="23" t="s">
        <v>751</v>
      </c>
      <c r="AB11" s="23" t="s">
        <v>304</v>
      </c>
      <c r="AC11" s="23">
        <v>98629436101</v>
      </c>
    </row>
    <row r="12" spans="1:30">
      <c r="A12" s="23">
        <v>11</v>
      </c>
      <c r="B12" s="27">
        <f t="shared" si="0"/>
        <v>98701000146</v>
      </c>
      <c r="C12" s="23" t="s">
        <v>735</v>
      </c>
      <c r="D12" s="28">
        <v>98600000</v>
      </c>
      <c r="E12" s="23" t="s">
        <v>737</v>
      </c>
      <c r="F12" s="28">
        <v>98700000</v>
      </c>
      <c r="G12" s="23" t="s">
        <v>738</v>
      </c>
      <c r="H12" s="29">
        <v>0</v>
      </c>
      <c r="I12" s="29">
        <v>0</v>
      </c>
      <c r="J12" s="30" t="s">
        <v>739</v>
      </c>
      <c r="K12" s="23" t="s">
        <v>754</v>
      </c>
      <c r="L12" s="23" t="str">
        <f>VLOOKUP(K12,Матрицы!B:C,2,0)</f>
        <v>село</v>
      </c>
      <c r="M12" s="31" t="s">
        <v>805</v>
      </c>
      <c r="N12" s="28">
        <v>98701000146</v>
      </c>
      <c r="O12" s="36">
        <v>158</v>
      </c>
      <c r="P12" s="1">
        <v>2</v>
      </c>
      <c r="Q12" s="1" t="s">
        <v>806</v>
      </c>
      <c r="R12" s="1" t="s">
        <v>807</v>
      </c>
      <c r="T12" s="6">
        <f t="shared" ref="T12:T47" si="1">SUMIF(G:G,U12,O:O)</f>
        <v>390286</v>
      </c>
      <c r="U12" s="23" t="s">
        <v>738</v>
      </c>
      <c r="W12" s="1"/>
      <c r="Y12" s="23" t="s">
        <v>808</v>
      </c>
      <c r="Z12" s="23" t="s">
        <v>809</v>
      </c>
      <c r="AA12" s="23" t="s">
        <v>751</v>
      </c>
      <c r="AB12" s="23" t="s">
        <v>810</v>
      </c>
      <c r="AC12" s="23">
        <v>98631101106</v>
      </c>
    </row>
    <row r="13" spans="1:30">
      <c r="A13" s="23">
        <v>12</v>
      </c>
      <c r="B13" s="27">
        <f t="shared" si="0"/>
        <v>98701000151</v>
      </c>
      <c r="C13" s="23" t="s">
        <v>735</v>
      </c>
      <c r="D13" s="28">
        <v>98600000</v>
      </c>
      <c r="E13" s="23" t="s">
        <v>737</v>
      </c>
      <c r="F13" s="28">
        <v>98700000</v>
      </c>
      <c r="G13" s="23" t="s">
        <v>738</v>
      </c>
      <c r="H13" s="29">
        <v>0</v>
      </c>
      <c r="I13" s="29">
        <v>0</v>
      </c>
      <c r="J13" s="30" t="s">
        <v>739</v>
      </c>
      <c r="K13" s="23" t="s">
        <v>754</v>
      </c>
      <c r="L13" s="23" t="str">
        <f>VLOOKUP(K13,Матрицы!B:C,2,0)</f>
        <v>село</v>
      </c>
      <c r="M13" s="31" t="s">
        <v>811</v>
      </c>
      <c r="N13" s="28">
        <v>98701000151</v>
      </c>
      <c r="O13" s="36">
        <v>3208</v>
      </c>
      <c r="P13" s="1">
        <v>2</v>
      </c>
      <c r="Q13" s="1" t="s">
        <v>812</v>
      </c>
      <c r="R13" s="1" t="s">
        <v>813</v>
      </c>
      <c r="T13" s="6">
        <f t="shared" si="1"/>
        <v>12541</v>
      </c>
      <c r="U13" s="23" t="s">
        <v>814</v>
      </c>
      <c r="Y13" s="23" t="s">
        <v>815</v>
      </c>
      <c r="Z13" s="23" t="s">
        <v>816</v>
      </c>
      <c r="AA13" s="23" t="s">
        <v>751</v>
      </c>
      <c r="AB13" s="23" t="s">
        <v>817</v>
      </c>
      <c r="AC13" s="23">
        <v>98641430101</v>
      </c>
    </row>
    <row r="14" spans="1:30">
      <c r="A14" s="23">
        <v>13</v>
      </c>
      <c r="B14" s="27">
        <f t="shared" si="0"/>
        <v>98702000051</v>
      </c>
      <c r="C14" s="23" t="s">
        <v>735</v>
      </c>
      <c r="D14" s="28">
        <v>98600000</v>
      </c>
      <c r="E14" s="23" t="s">
        <v>737</v>
      </c>
      <c r="F14" s="28">
        <v>98700000</v>
      </c>
      <c r="G14" s="23" t="s">
        <v>814</v>
      </c>
      <c r="H14" s="29">
        <v>0</v>
      </c>
      <c r="I14" s="29">
        <v>0</v>
      </c>
      <c r="J14" s="30" t="s">
        <v>818</v>
      </c>
      <c r="K14" s="23" t="s">
        <v>819</v>
      </c>
      <c r="L14" s="23" t="str">
        <f>VLOOKUP(K14,Матрицы!B:C,2,0)</f>
        <v>поселок</v>
      </c>
      <c r="M14" s="31" t="s">
        <v>818</v>
      </c>
      <c r="N14" s="28">
        <v>98702000051</v>
      </c>
      <c r="O14" s="36">
        <v>12541</v>
      </c>
      <c r="P14" s="1">
        <v>1</v>
      </c>
      <c r="Q14" s="1" t="s">
        <v>820</v>
      </c>
      <c r="R14" s="1" t="s">
        <v>821</v>
      </c>
      <c r="T14" s="6">
        <f t="shared" si="1"/>
        <v>3896</v>
      </c>
      <c r="U14" s="23" t="s">
        <v>822</v>
      </c>
      <c r="Y14" s="23" t="s">
        <v>823</v>
      </c>
      <c r="Z14" s="23" t="s">
        <v>824</v>
      </c>
      <c r="AA14" s="23" t="s">
        <v>751</v>
      </c>
      <c r="AB14" s="23" t="s">
        <v>825</v>
      </c>
      <c r="AC14" s="23">
        <v>98642411101</v>
      </c>
      <c r="AD14" s="23" t="s">
        <v>826</v>
      </c>
    </row>
    <row r="15" spans="1:30" ht="16.5" customHeight="1">
      <c r="A15" s="23">
        <v>14</v>
      </c>
      <c r="B15" s="27">
        <f t="shared" si="0"/>
        <v>98601151051</v>
      </c>
      <c r="C15" s="23" t="s">
        <v>735</v>
      </c>
      <c r="D15" s="28">
        <v>98600000</v>
      </c>
      <c r="E15" s="23" t="s">
        <v>735</v>
      </c>
      <c r="F15" s="28">
        <v>98000000</v>
      </c>
      <c r="G15" s="30" t="s">
        <v>822</v>
      </c>
      <c r="H15" s="28">
        <v>98601000</v>
      </c>
      <c r="I15" s="23" t="s">
        <v>827</v>
      </c>
      <c r="J15" s="30" t="s">
        <v>828</v>
      </c>
      <c r="K15" s="23" t="s">
        <v>819</v>
      </c>
      <c r="L15" s="23" t="str">
        <f>VLOOKUP(K15,Матрицы!B:C,2,0)</f>
        <v>поселок</v>
      </c>
      <c r="M15" s="31" t="s">
        <v>642</v>
      </c>
      <c r="N15" s="28">
        <v>98601151051</v>
      </c>
      <c r="O15" s="36">
        <v>1905</v>
      </c>
      <c r="P15" s="1">
        <v>1</v>
      </c>
      <c r="Q15" s="1" t="s">
        <v>829</v>
      </c>
      <c r="R15" s="1" t="s">
        <v>830</v>
      </c>
      <c r="T15" s="6">
        <f t="shared" si="1"/>
        <v>39532</v>
      </c>
      <c r="U15" s="23" t="s">
        <v>831</v>
      </c>
      <c r="Y15" s="23" t="s">
        <v>823</v>
      </c>
      <c r="Z15" s="23" t="s">
        <v>823</v>
      </c>
      <c r="AA15" s="23" t="s">
        <v>751</v>
      </c>
      <c r="AB15" s="23" t="s">
        <v>832</v>
      </c>
      <c r="AC15" s="23">
        <v>98642437101</v>
      </c>
      <c r="AD15" s="23" t="s">
        <v>826</v>
      </c>
    </row>
    <row r="16" spans="1:30">
      <c r="A16" s="23">
        <v>15</v>
      </c>
      <c r="B16" s="27">
        <f t="shared" si="0"/>
        <v>98601404101</v>
      </c>
      <c r="C16" s="23" t="s">
        <v>735</v>
      </c>
      <c r="D16" s="28">
        <v>98600000</v>
      </c>
      <c r="E16" s="23" t="s">
        <v>735</v>
      </c>
      <c r="F16" s="28">
        <v>98000000</v>
      </c>
      <c r="G16" s="30" t="s">
        <v>822</v>
      </c>
      <c r="H16" s="28">
        <v>98601000</v>
      </c>
      <c r="I16" s="23" t="s">
        <v>833</v>
      </c>
      <c r="J16" s="30" t="s">
        <v>834</v>
      </c>
      <c r="K16" s="23" t="s">
        <v>754</v>
      </c>
      <c r="L16" s="23" t="str">
        <f>VLOOKUP(K16,Матрицы!B:C,2,0)</f>
        <v>село</v>
      </c>
      <c r="M16" s="31" t="s">
        <v>835</v>
      </c>
      <c r="N16" s="28">
        <v>98601404101</v>
      </c>
      <c r="O16" s="36">
        <v>483</v>
      </c>
      <c r="P16" s="1">
        <v>2</v>
      </c>
      <c r="Q16" s="1" t="s">
        <v>836</v>
      </c>
      <c r="R16" s="1" t="s">
        <v>837</v>
      </c>
      <c r="T16" s="6">
        <f t="shared" si="1"/>
        <v>2400</v>
      </c>
      <c r="U16" s="23" t="s">
        <v>838</v>
      </c>
      <c r="Y16" s="23" t="s">
        <v>823</v>
      </c>
      <c r="Z16" s="23" t="s">
        <v>839</v>
      </c>
      <c r="AA16" s="23" t="s">
        <v>751</v>
      </c>
      <c r="AB16" s="23" t="s">
        <v>840</v>
      </c>
      <c r="AC16" s="23">
        <v>98642450101</v>
      </c>
      <c r="AD16" s="23" t="s">
        <v>826</v>
      </c>
    </row>
    <row r="17" spans="1:30">
      <c r="A17" s="23">
        <v>16</v>
      </c>
      <c r="B17" s="27">
        <f t="shared" si="0"/>
        <v>98601404106</v>
      </c>
      <c r="C17" s="23" t="s">
        <v>735</v>
      </c>
      <c r="D17" s="28">
        <v>98600000</v>
      </c>
      <c r="E17" s="23" t="s">
        <v>735</v>
      </c>
      <c r="F17" s="28">
        <v>98000000</v>
      </c>
      <c r="G17" s="30" t="s">
        <v>822</v>
      </c>
      <c r="H17" s="28">
        <v>98601000</v>
      </c>
      <c r="I17" s="23" t="s">
        <v>833</v>
      </c>
      <c r="J17" s="30" t="s">
        <v>834</v>
      </c>
      <c r="K17" s="23" t="s">
        <v>754</v>
      </c>
      <c r="L17" s="23" t="str">
        <f>VLOOKUP(K17,Матрицы!B:C,2,0)</f>
        <v>село</v>
      </c>
      <c r="M17" s="31" t="s">
        <v>841</v>
      </c>
      <c r="N17" s="28">
        <v>98601404106</v>
      </c>
      <c r="O17" s="36">
        <v>47</v>
      </c>
      <c r="P17" s="1">
        <v>2</v>
      </c>
      <c r="Q17" s="1" t="s">
        <v>842</v>
      </c>
      <c r="R17" s="1" t="s">
        <v>843</v>
      </c>
      <c r="T17" s="6">
        <f t="shared" si="1"/>
        <v>17242</v>
      </c>
      <c r="U17" s="23" t="s">
        <v>844</v>
      </c>
      <c r="Y17" s="23" t="s">
        <v>845</v>
      </c>
      <c r="Z17" s="23" t="s">
        <v>846</v>
      </c>
      <c r="AA17" s="23" t="s">
        <v>847</v>
      </c>
      <c r="AB17" s="23" t="s">
        <v>848</v>
      </c>
      <c r="AC17" s="23">
        <v>98644157051</v>
      </c>
      <c r="AD17" s="23" t="s">
        <v>826</v>
      </c>
    </row>
    <row r="18" spans="1:30">
      <c r="A18" s="23">
        <v>17</v>
      </c>
      <c r="B18" s="27">
        <f t="shared" si="0"/>
        <v>98601409101</v>
      </c>
      <c r="C18" s="23" t="s">
        <v>735</v>
      </c>
      <c r="D18" s="28">
        <v>98600000</v>
      </c>
      <c r="E18" s="23" t="s">
        <v>735</v>
      </c>
      <c r="F18" s="28">
        <v>98000000</v>
      </c>
      <c r="G18" s="30" t="s">
        <v>822</v>
      </c>
      <c r="H18" s="28">
        <v>98601000</v>
      </c>
      <c r="I18" s="23" t="s">
        <v>833</v>
      </c>
      <c r="J18" s="30" t="s">
        <v>849</v>
      </c>
      <c r="K18" s="23" t="s">
        <v>754</v>
      </c>
      <c r="L18" s="23" t="str">
        <f>VLOOKUP(K18,Матрицы!B:C,2,0)</f>
        <v>село</v>
      </c>
      <c r="M18" s="31" t="s">
        <v>850</v>
      </c>
      <c r="N18" s="28">
        <v>98601409101</v>
      </c>
      <c r="O18" s="36">
        <v>479</v>
      </c>
      <c r="P18" s="1">
        <v>2</v>
      </c>
      <c r="Q18" s="1" t="s">
        <v>851</v>
      </c>
      <c r="R18" s="1" t="s">
        <v>852</v>
      </c>
      <c r="T18" s="6">
        <f t="shared" si="1"/>
        <v>3524</v>
      </c>
      <c r="U18" s="23" t="s">
        <v>853</v>
      </c>
      <c r="Y18" s="23" t="s">
        <v>854</v>
      </c>
      <c r="Z18" s="23" t="s">
        <v>855</v>
      </c>
      <c r="AA18" s="23" t="s">
        <v>751</v>
      </c>
      <c r="AB18" s="23" t="s">
        <v>856</v>
      </c>
      <c r="AC18" s="23">
        <v>98648462101</v>
      </c>
      <c r="AD18" s="23" t="s">
        <v>857</v>
      </c>
    </row>
    <row r="19" spans="1:30">
      <c r="A19" s="23">
        <v>18</v>
      </c>
      <c r="B19" s="27">
        <f t="shared" si="0"/>
        <v>98601417101</v>
      </c>
      <c r="C19" s="23" t="s">
        <v>735</v>
      </c>
      <c r="D19" s="28">
        <v>98600000</v>
      </c>
      <c r="E19" s="23" t="s">
        <v>735</v>
      </c>
      <c r="F19" s="28">
        <v>98000000</v>
      </c>
      <c r="G19" s="30" t="s">
        <v>822</v>
      </c>
      <c r="H19" s="28">
        <v>98601000</v>
      </c>
      <c r="I19" s="23" t="s">
        <v>833</v>
      </c>
      <c r="J19" s="30" t="s">
        <v>858</v>
      </c>
      <c r="K19" s="23" t="s">
        <v>754</v>
      </c>
      <c r="L19" s="23" t="str">
        <f>VLOOKUP(K19,Матрицы!B:C,2,0)</f>
        <v>село</v>
      </c>
      <c r="M19" s="31" t="s">
        <v>859</v>
      </c>
      <c r="N19" s="28">
        <v>98601417101</v>
      </c>
      <c r="O19" s="36">
        <v>370</v>
      </c>
      <c r="P19" s="1">
        <v>2</v>
      </c>
      <c r="Q19" s="1" t="s">
        <v>860</v>
      </c>
      <c r="R19" s="1" t="s">
        <v>861</v>
      </c>
      <c r="T19" s="6">
        <f t="shared" si="1"/>
        <v>8089</v>
      </c>
      <c r="U19" s="23" t="s">
        <v>862</v>
      </c>
      <c r="Y19" s="23" t="s">
        <v>854</v>
      </c>
      <c r="Z19" s="23" t="s">
        <v>863</v>
      </c>
      <c r="AA19" s="23" t="s">
        <v>751</v>
      </c>
      <c r="AB19" s="23" t="s">
        <v>864</v>
      </c>
      <c r="AC19" s="23">
        <v>98648465106</v>
      </c>
      <c r="AD19" s="23" t="s">
        <v>865</v>
      </c>
    </row>
    <row r="20" spans="1:30">
      <c r="A20" s="23">
        <v>19</v>
      </c>
      <c r="B20" s="27">
        <f t="shared" si="0"/>
        <v>98601422101</v>
      </c>
      <c r="C20" s="23" t="s">
        <v>735</v>
      </c>
      <c r="D20" s="28">
        <v>98600000</v>
      </c>
      <c r="E20" s="23" t="s">
        <v>735</v>
      </c>
      <c r="F20" s="28">
        <v>98000000</v>
      </c>
      <c r="G20" s="30" t="s">
        <v>822</v>
      </c>
      <c r="H20" s="28">
        <v>98601000</v>
      </c>
      <c r="I20" s="23" t="s">
        <v>833</v>
      </c>
      <c r="J20" s="30" t="s">
        <v>866</v>
      </c>
      <c r="K20" s="23" t="s">
        <v>754</v>
      </c>
      <c r="L20" s="23" t="str">
        <f>VLOOKUP(K20,Матрицы!B:C,2,0)</f>
        <v>село</v>
      </c>
      <c r="M20" s="31" t="s">
        <v>867</v>
      </c>
      <c r="N20" s="28">
        <v>98601422101</v>
      </c>
      <c r="O20" s="36">
        <v>198</v>
      </c>
      <c r="P20" s="1">
        <v>2</v>
      </c>
      <c r="Q20" s="1" t="s">
        <v>868</v>
      </c>
      <c r="R20" s="1" t="s">
        <v>869</v>
      </c>
      <c r="T20" s="6">
        <f t="shared" si="1"/>
        <v>22084</v>
      </c>
      <c r="U20" s="23" t="s">
        <v>870</v>
      </c>
      <c r="Y20" s="23" t="s">
        <v>871</v>
      </c>
      <c r="Z20" s="23" t="s">
        <v>872</v>
      </c>
      <c r="AA20" s="23" t="s">
        <v>751</v>
      </c>
      <c r="AB20" s="23" t="s">
        <v>873</v>
      </c>
      <c r="AC20" s="23">
        <v>98652415101</v>
      </c>
      <c r="AD20" s="23" t="s">
        <v>874</v>
      </c>
    </row>
    <row r="21" spans="1:30">
      <c r="A21" s="23">
        <v>20</v>
      </c>
      <c r="B21" s="27">
        <f t="shared" si="0"/>
        <v>98601433101</v>
      </c>
      <c r="C21" s="23" t="s">
        <v>735</v>
      </c>
      <c r="D21" s="28">
        <v>98600000</v>
      </c>
      <c r="E21" s="23" t="s">
        <v>735</v>
      </c>
      <c r="F21" s="28">
        <v>98000000</v>
      </c>
      <c r="G21" s="30" t="s">
        <v>822</v>
      </c>
      <c r="H21" s="28">
        <v>98601000</v>
      </c>
      <c r="I21" s="23" t="s">
        <v>833</v>
      </c>
      <c r="J21" s="30" t="s">
        <v>875</v>
      </c>
      <c r="K21" s="23" t="s">
        <v>754</v>
      </c>
      <c r="L21" s="23" t="str">
        <f>VLOOKUP(K21,Матрицы!B:C,2,0)</f>
        <v>село</v>
      </c>
      <c r="M21" s="31" t="s">
        <v>876</v>
      </c>
      <c r="N21" s="28">
        <v>98601433101</v>
      </c>
      <c r="O21" s="36">
        <v>414</v>
      </c>
      <c r="P21" s="1">
        <v>2</v>
      </c>
      <c r="Q21" s="1" t="s">
        <v>877</v>
      </c>
      <c r="R21" s="1" t="s">
        <v>878</v>
      </c>
      <c r="T21" s="6">
        <f t="shared" si="1"/>
        <v>3759</v>
      </c>
      <c r="U21" s="23" t="s">
        <v>879</v>
      </c>
      <c r="Y21" s="23" t="s">
        <v>871</v>
      </c>
      <c r="Z21" s="23" t="s">
        <v>880</v>
      </c>
      <c r="AA21" s="23" t="s">
        <v>751</v>
      </c>
      <c r="AB21" s="23" t="s">
        <v>760</v>
      </c>
      <c r="AC21" s="23">
        <v>98652440111</v>
      </c>
      <c r="AD21" s="23" t="s">
        <v>881</v>
      </c>
    </row>
    <row r="22" spans="1:30">
      <c r="A22" s="23">
        <v>21</v>
      </c>
      <c r="B22" s="27">
        <f t="shared" si="0"/>
        <v>98603101001</v>
      </c>
      <c r="C22" s="23" t="s">
        <v>735</v>
      </c>
      <c r="D22" s="28">
        <v>98600000</v>
      </c>
      <c r="E22" s="23" t="s">
        <v>735</v>
      </c>
      <c r="F22" s="28">
        <v>98000000</v>
      </c>
      <c r="G22" s="30" t="s">
        <v>831</v>
      </c>
      <c r="H22" s="28">
        <v>98603000</v>
      </c>
      <c r="I22" s="23" t="s">
        <v>882</v>
      </c>
      <c r="J22" s="30" t="s">
        <v>750</v>
      </c>
      <c r="K22" s="23" t="s">
        <v>740</v>
      </c>
      <c r="L22" s="23" t="str">
        <f>VLOOKUP(K22,Матрицы!B:C,2,0)</f>
        <v>город</v>
      </c>
      <c r="M22" s="31" t="s">
        <v>317</v>
      </c>
      <c r="N22" s="28">
        <v>98603101001</v>
      </c>
      <c r="O22" s="36">
        <v>21490</v>
      </c>
      <c r="P22" s="1">
        <v>1</v>
      </c>
      <c r="Q22" s="1" t="s">
        <v>883</v>
      </c>
      <c r="R22" s="1" t="s">
        <v>884</v>
      </c>
      <c r="T22" s="6">
        <f t="shared" si="1"/>
        <v>10208</v>
      </c>
      <c r="U22" s="23" t="s">
        <v>885</v>
      </c>
      <c r="Y22" s="23" t="s">
        <v>886</v>
      </c>
      <c r="Z22" s="23" t="s">
        <v>887</v>
      </c>
      <c r="AA22" s="23" t="s">
        <v>847</v>
      </c>
      <c r="AB22" s="23" t="s">
        <v>888</v>
      </c>
      <c r="AC22" s="23">
        <v>98654166051</v>
      </c>
      <c r="AD22" s="23" t="s">
        <v>826</v>
      </c>
    </row>
    <row r="23" spans="1:30">
      <c r="A23" s="23">
        <v>22</v>
      </c>
      <c r="B23" s="27">
        <f t="shared" si="0"/>
        <v>98603101106</v>
      </c>
      <c r="C23" s="23" t="s">
        <v>735</v>
      </c>
      <c r="D23" s="28">
        <v>98600000</v>
      </c>
      <c r="E23" s="23" t="s">
        <v>735</v>
      </c>
      <c r="F23" s="28">
        <v>98000000</v>
      </c>
      <c r="G23" s="30" t="s">
        <v>831</v>
      </c>
      <c r="H23" s="28">
        <v>98603000</v>
      </c>
      <c r="I23" s="23" t="s">
        <v>882</v>
      </c>
      <c r="J23" s="30" t="s">
        <v>750</v>
      </c>
      <c r="K23" s="23" t="s">
        <v>754</v>
      </c>
      <c r="L23" s="23" t="str">
        <f>VLOOKUP(K23,Матрицы!B:C,2,0)</f>
        <v>село</v>
      </c>
      <c r="M23" s="31" t="s">
        <v>889</v>
      </c>
      <c r="N23" s="28">
        <v>98603101106</v>
      </c>
      <c r="O23" s="36">
        <v>18</v>
      </c>
      <c r="P23" s="1">
        <v>2</v>
      </c>
      <c r="Q23" s="1" t="s">
        <v>890</v>
      </c>
      <c r="R23" s="1" t="s">
        <v>891</v>
      </c>
      <c r="T23" s="6">
        <f t="shared" si="1"/>
        <v>24376</v>
      </c>
      <c r="U23" s="23" t="s">
        <v>892</v>
      </c>
      <c r="Y23" s="23" t="s">
        <v>886</v>
      </c>
      <c r="Z23" s="23" t="s">
        <v>893</v>
      </c>
      <c r="AA23" s="23" t="s">
        <v>751</v>
      </c>
      <c r="AB23" s="23" t="s">
        <v>333</v>
      </c>
      <c r="AC23" s="23">
        <v>98654405101</v>
      </c>
      <c r="AD23" s="23" t="s">
        <v>894</v>
      </c>
    </row>
    <row r="24" spans="1:30">
      <c r="A24" s="23">
        <v>23</v>
      </c>
      <c r="B24" s="27">
        <f t="shared" si="0"/>
        <v>98603101111</v>
      </c>
      <c r="C24" s="23" t="s">
        <v>735</v>
      </c>
      <c r="D24" s="28">
        <v>98600000</v>
      </c>
      <c r="E24" s="23" t="s">
        <v>735</v>
      </c>
      <c r="F24" s="28">
        <v>98000000</v>
      </c>
      <c r="G24" s="30" t="s">
        <v>831</v>
      </c>
      <c r="H24" s="28">
        <v>98603000</v>
      </c>
      <c r="I24" s="23" t="s">
        <v>882</v>
      </c>
      <c r="J24" s="30" t="s">
        <v>750</v>
      </c>
      <c r="K24" s="23" t="s">
        <v>754</v>
      </c>
      <c r="L24" s="23" t="str">
        <f>VLOOKUP(K24,Матрицы!B:C,2,0)</f>
        <v>село</v>
      </c>
      <c r="M24" s="31" t="s">
        <v>752</v>
      </c>
      <c r="N24" s="28">
        <v>98603101111</v>
      </c>
      <c r="O24" s="36">
        <v>123</v>
      </c>
      <c r="P24" s="1">
        <v>2</v>
      </c>
      <c r="Q24" s="11" t="s">
        <v>895</v>
      </c>
      <c r="R24" s="11" t="s">
        <v>896</v>
      </c>
      <c r="T24" s="6">
        <f t="shared" si="1"/>
        <v>12233</v>
      </c>
      <c r="U24" s="23" t="s">
        <v>897</v>
      </c>
      <c r="Y24" s="23" t="s">
        <v>886</v>
      </c>
      <c r="Z24" s="23" t="s">
        <v>898</v>
      </c>
      <c r="AA24" s="23" t="s">
        <v>751</v>
      </c>
      <c r="AB24" s="23" t="s">
        <v>336</v>
      </c>
      <c r="AC24" s="23">
        <v>98654415101</v>
      </c>
      <c r="AD24" s="23" t="s">
        <v>899</v>
      </c>
    </row>
    <row r="25" spans="1:30">
      <c r="A25" s="23">
        <v>24</v>
      </c>
      <c r="B25" s="27">
        <f t="shared" si="0"/>
        <v>98603105001</v>
      </c>
      <c r="C25" s="23" t="s">
        <v>735</v>
      </c>
      <c r="D25" s="28">
        <v>98600000</v>
      </c>
      <c r="E25" s="23" t="s">
        <v>735</v>
      </c>
      <c r="F25" s="28">
        <v>98000000</v>
      </c>
      <c r="G25" s="30" t="s">
        <v>831</v>
      </c>
      <c r="H25" s="28">
        <v>98603000</v>
      </c>
      <c r="I25" s="23" t="s">
        <v>882</v>
      </c>
      <c r="J25" s="30" t="s">
        <v>900</v>
      </c>
      <c r="K25" s="23" t="s">
        <v>740</v>
      </c>
      <c r="L25" s="23" t="str">
        <f>VLOOKUP(K25,Матрицы!B:C,2,0)</f>
        <v>город</v>
      </c>
      <c r="M25" s="31" t="s">
        <v>324</v>
      </c>
      <c r="N25" s="28">
        <v>98603105001</v>
      </c>
      <c r="O25" s="36">
        <v>6320</v>
      </c>
      <c r="P25" s="1">
        <v>1</v>
      </c>
      <c r="Q25" s="1" t="s">
        <v>901</v>
      </c>
      <c r="R25" s="1" t="s">
        <v>902</v>
      </c>
      <c r="T25" s="6">
        <f t="shared" si="1"/>
        <v>4179</v>
      </c>
      <c r="U25" s="23" t="s">
        <v>903</v>
      </c>
      <c r="Y25" s="23" t="s">
        <v>904</v>
      </c>
      <c r="Z25" s="23" t="s">
        <v>905</v>
      </c>
      <c r="AA25" s="23" t="s">
        <v>751</v>
      </c>
      <c r="AB25" s="23" t="s">
        <v>906</v>
      </c>
      <c r="AC25" s="23">
        <v>98656427101</v>
      </c>
      <c r="AD25" s="23" t="s">
        <v>907</v>
      </c>
    </row>
    <row r="26" spans="1:30">
      <c r="A26" s="23">
        <v>25</v>
      </c>
      <c r="B26" s="27">
        <f t="shared" si="0"/>
        <v>98603105056</v>
      </c>
      <c r="C26" s="23" t="s">
        <v>735</v>
      </c>
      <c r="D26" s="28">
        <v>98600000</v>
      </c>
      <c r="E26" s="23" t="s">
        <v>735</v>
      </c>
      <c r="F26" s="28">
        <v>98000000</v>
      </c>
      <c r="G26" s="30" t="s">
        <v>831</v>
      </c>
      <c r="H26" s="28">
        <v>98603000</v>
      </c>
      <c r="I26" s="23" t="s">
        <v>882</v>
      </c>
      <c r="J26" s="30" t="s">
        <v>900</v>
      </c>
      <c r="K26" s="23" t="s">
        <v>819</v>
      </c>
      <c r="L26" s="23" t="str">
        <f>VLOOKUP(K26,Матрицы!B:C,2,0)</f>
        <v>поселок</v>
      </c>
      <c r="M26" s="31" t="s">
        <v>908</v>
      </c>
      <c r="N26" s="28">
        <v>98603105056</v>
      </c>
      <c r="O26" s="32">
        <v>0</v>
      </c>
      <c r="P26" s="1">
        <v>1</v>
      </c>
      <c r="Q26" s="1" t="s">
        <v>909</v>
      </c>
      <c r="R26" s="1" t="s">
        <v>910</v>
      </c>
      <c r="T26" s="6">
        <f t="shared" si="1"/>
        <v>11443</v>
      </c>
      <c r="U26" s="23" t="s">
        <v>911</v>
      </c>
      <c r="Y26" s="23" t="s">
        <v>912</v>
      </c>
      <c r="Z26" s="23" t="s">
        <v>913</v>
      </c>
      <c r="AA26" s="23" t="s">
        <v>751</v>
      </c>
      <c r="AB26" s="23" t="s">
        <v>864</v>
      </c>
      <c r="AC26" s="23">
        <v>98658465101</v>
      </c>
      <c r="AD26" s="23" t="s">
        <v>914</v>
      </c>
    </row>
    <row r="27" spans="1:30">
      <c r="A27" s="23">
        <v>26</v>
      </c>
      <c r="B27" s="27">
        <f t="shared" si="0"/>
        <v>98603105106</v>
      </c>
      <c r="C27" s="23" t="s">
        <v>735</v>
      </c>
      <c r="D27" s="28">
        <v>98600000</v>
      </c>
      <c r="E27" s="23" t="s">
        <v>735</v>
      </c>
      <c r="F27" s="28">
        <v>98000000</v>
      </c>
      <c r="G27" s="30" t="s">
        <v>831</v>
      </c>
      <c r="H27" s="28">
        <v>98603000</v>
      </c>
      <c r="I27" s="23" t="s">
        <v>882</v>
      </c>
      <c r="J27" s="30" t="s">
        <v>900</v>
      </c>
      <c r="K27" s="23" t="s">
        <v>754</v>
      </c>
      <c r="L27" s="23" t="str">
        <f>VLOOKUP(K27,Матрицы!B:C,2,0)</f>
        <v>село</v>
      </c>
      <c r="M27" s="31" t="s">
        <v>425</v>
      </c>
      <c r="N27" s="28">
        <v>98603105106</v>
      </c>
      <c r="O27" s="36">
        <v>326</v>
      </c>
      <c r="P27" s="1">
        <v>2</v>
      </c>
      <c r="Q27" s="1" t="s">
        <v>915</v>
      </c>
      <c r="R27" s="1" t="s">
        <v>916</v>
      </c>
      <c r="T27" s="6">
        <f t="shared" si="1"/>
        <v>32271</v>
      </c>
      <c r="U27" s="23" t="s">
        <v>917</v>
      </c>
    </row>
    <row r="28" spans="1:30">
      <c r="A28" s="23">
        <v>27</v>
      </c>
      <c r="B28" s="27">
        <f t="shared" si="0"/>
        <v>98603105111</v>
      </c>
      <c r="C28" s="23" t="s">
        <v>735</v>
      </c>
      <c r="D28" s="28">
        <v>98600000</v>
      </c>
      <c r="E28" s="23" t="s">
        <v>735</v>
      </c>
      <c r="F28" s="28">
        <v>98000000</v>
      </c>
      <c r="G28" s="30" t="s">
        <v>831</v>
      </c>
      <c r="H28" s="28">
        <v>98603000</v>
      </c>
      <c r="I28" s="23" t="s">
        <v>882</v>
      </c>
      <c r="J28" s="30" t="s">
        <v>900</v>
      </c>
      <c r="K28" s="23" t="s">
        <v>754</v>
      </c>
      <c r="L28" s="23" t="str">
        <f>VLOOKUP(K28,Матрицы!B:C,2,0)</f>
        <v>село</v>
      </c>
      <c r="M28" s="31" t="s">
        <v>918</v>
      </c>
      <c r="N28" s="28">
        <v>98603105111</v>
      </c>
      <c r="O28" s="36">
        <v>12</v>
      </c>
      <c r="P28" s="1">
        <v>2</v>
      </c>
      <c r="Q28" s="1" t="s">
        <v>919</v>
      </c>
      <c r="R28" s="1" t="s">
        <v>920</v>
      </c>
      <c r="T28" s="6">
        <f t="shared" si="1"/>
        <v>32342</v>
      </c>
      <c r="U28" s="23" t="s">
        <v>921</v>
      </c>
    </row>
    <row r="29" spans="1:30">
      <c r="A29" s="23">
        <v>28</v>
      </c>
      <c r="B29" s="27">
        <f t="shared" si="0"/>
        <v>98603105116</v>
      </c>
      <c r="C29" s="23" t="s">
        <v>735</v>
      </c>
      <c r="D29" s="28">
        <v>98600000</v>
      </c>
      <c r="E29" s="23" t="s">
        <v>735</v>
      </c>
      <c r="F29" s="28">
        <v>98000000</v>
      </c>
      <c r="G29" s="30" t="s">
        <v>831</v>
      </c>
      <c r="H29" s="28">
        <v>98603000</v>
      </c>
      <c r="I29" s="23" t="s">
        <v>882</v>
      </c>
      <c r="J29" s="30" t="s">
        <v>900</v>
      </c>
      <c r="K29" s="23" t="s">
        <v>754</v>
      </c>
      <c r="L29" s="23" t="str">
        <f>VLOOKUP(K29,Матрицы!B:C,2,0)</f>
        <v>село</v>
      </c>
      <c r="M29" s="31" t="s">
        <v>922</v>
      </c>
      <c r="N29" s="28">
        <v>98603105116</v>
      </c>
      <c r="O29" s="36">
        <v>109</v>
      </c>
      <c r="P29" s="1">
        <v>2</v>
      </c>
      <c r="Q29" s="1" t="s">
        <v>923</v>
      </c>
      <c r="R29" s="1" t="s">
        <v>924</v>
      </c>
      <c r="T29" s="6">
        <f t="shared" si="1"/>
        <v>71095</v>
      </c>
      <c r="U29" s="23" t="s">
        <v>925</v>
      </c>
    </row>
    <row r="30" spans="1:30">
      <c r="A30" s="23">
        <v>29</v>
      </c>
      <c r="B30" s="27">
        <f t="shared" si="0"/>
        <v>98603161051</v>
      </c>
      <c r="C30" s="23" t="s">
        <v>735</v>
      </c>
      <c r="D30" s="28">
        <v>98600000</v>
      </c>
      <c r="E30" s="23" t="s">
        <v>735</v>
      </c>
      <c r="F30" s="28">
        <v>98000000</v>
      </c>
      <c r="G30" s="30" t="s">
        <v>831</v>
      </c>
      <c r="H30" s="28">
        <v>98603000</v>
      </c>
      <c r="I30" s="23" t="s">
        <v>882</v>
      </c>
      <c r="J30" s="23" t="s">
        <v>926</v>
      </c>
      <c r="K30" s="23" t="s">
        <v>819</v>
      </c>
      <c r="L30" s="23" t="str">
        <f>VLOOKUP(K30,Матрицы!B:C,2,0)</f>
        <v>поселок</v>
      </c>
      <c r="M30" s="31" t="s">
        <v>927</v>
      </c>
      <c r="N30" s="28">
        <v>98603161051</v>
      </c>
      <c r="O30" s="36">
        <v>1715</v>
      </c>
      <c r="P30" s="1">
        <v>1</v>
      </c>
      <c r="Q30" s="1" t="s">
        <v>928</v>
      </c>
      <c r="R30" s="1" t="s">
        <v>929</v>
      </c>
      <c r="T30" s="6">
        <f t="shared" si="1"/>
        <v>3873</v>
      </c>
      <c r="U30" s="23" t="s">
        <v>930</v>
      </c>
    </row>
    <row r="31" spans="1:30">
      <c r="A31" s="23">
        <v>30</v>
      </c>
      <c r="B31" s="27">
        <f t="shared" si="0"/>
        <v>98603161056</v>
      </c>
      <c r="C31" s="23" t="s">
        <v>735</v>
      </c>
      <c r="D31" s="28">
        <v>98600000</v>
      </c>
      <c r="E31" s="23" t="s">
        <v>735</v>
      </c>
      <c r="F31" s="28">
        <v>98000000</v>
      </c>
      <c r="G31" s="30" t="s">
        <v>831</v>
      </c>
      <c r="H31" s="28">
        <v>98603000</v>
      </c>
      <c r="I31" s="23" t="s">
        <v>882</v>
      </c>
      <c r="J31" s="23" t="s">
        <v>926</v>
      </c>
      <c r="K31" s="23" t="s">
        <v>819</v>
      </c>
      <c r="L31" s="23" t="str">
        <f>VLOOKUP(K31,Матрицы!B:C,2,0)</f>
        <v>поселок</v>
      </c>
      <c r="M31" s="31" t="s">
        <v>931</v>
      </c>
      <c r="N31" s="28">
        <v>98603161056</v>
      </c>
      <c r="O31" s="36">
        <v>905</v>
      </c>
      <c r="P31" s="1">
        <v>1</v>
      </c>
      <c r="Q31" s="1" t="s">
        <v>932</v>
      </c>
      <c r="R31" s="1" t="s">
        <v>933</v>
      </c>
      <c r="T31" s="6">
        <f t="shared" si="1"/>
        <v>25220</v>
      </c>
      <c r="U31" s="23" t="s">
        <v>934</v>
      </c>
    </row>
    <row r="32" spans="1:30">
      <c r="A32" s="23">
        <v>31</v>
      </c>
      <c r="B32" s="27">
        <f t="shared" si="0"/>
        <v>98603161106</v>
      </c>
      <c r="C32" s="23" t="s">
        <v>735</v>
      </c>
      <c r="D32" s="28">
        <v>98600000</v>
      </c>
      <c r="E32" s="23" t="s">
        <v>735</v>
      </c>
      <c r="F32" s="28">
        <v>98000000</v>
      </c>
      <c r="G32" s="30" t="s">
        <v>831</v>
      </c>
      <c r="H32" s="28">
        <v>98603000</v>
      </c>
      <c r="I32" s="23" t="s">
        <v>882</v>
      </c>
      <c r="J32" s="23" t="s">
        <v>926</v>
      </c>
      <c r="K32" s="23" t="s">
        <v>754</v>
      </c>
      <c r="L32" s="23" t="str">
        <f>VLOOKUP(K32,Матрицы!B:C,2,0)</f>
        <v>село</v>
      </c>
      <c r="M32" s="31" t="s">
        <v>935</v>
      </c>
      <c r="N32" s="28">
        <v>98603161106</v>
      </c>
      <c r="O32" s="36">
        <v>16</v>
      </c>
      <c r="P32" s="1">
        <v>2</v>
      </c>
      <c r="Q32" s="1" t="s">
        <v>936</v>
      </c>
      <c r="R32" s="1" t="s">
        <v>937</v>
      </c>
      <c r="T32" s="6">
        <f t="shared" si="1"/>
        <v>69032</v>
      </c>
      <c r="U32" s="23" t="s">
        <v>938</v>
      </c>
    </row>
    <row r="33" spans="1:21">
      <c r="A33" s="23">
        <v>32</v>
      </c>
      <c r="B33" s="27">
        <f t="shared" si="0"/>
        <v>98603161111</v>
      </c>
      <c r="C33" s="23" t="s">
        <v>735</v>
      </c>
      <c r="D33" s="28">
        <v>98600000</v>
      </c>
      <c r="E33" s="23" t="s">
        <v>735</v>
      </c>
      <c r="F33" s="28">
        <v>98000000</v>
      </c>
      <c r="G33" s="30" t="s">
        <v>831</v>
      </c>
      <c r="H33" s="28">
        <v>98603000</v>
      </c>
      <c r="I33" s="23" t="s">
        <v>882</v>
      </c>
      <c r="J33" s="23" t="s">
        <v>926</v>
      </c>
      <c r="K33" s="23" t="s">
        <v>754</v>
      </c>
      <c r="L33" s="23" t="str">
        <f>VLOOKUP(K33,Матрицы!B:C,2,0)</f>
        <v>село</v>
      </c>
      <c r="M33" s="31" t="s">
        <v>939</v>
      </c>
      <c r="N33" s="28">
        <v>98603161111</v>
      </c>
      <c r="O33" s="36">
        <v>8</v>
      </c>
      <c r="P33" s="1">
        <v>2</v>
      </c>
      <c r="Q33" s="1" t="s">
        <v>940</v>
      </c>
      <c r="R33" s="1" t="s">
        <v>941</v>
      </c>
      <c r="T33" s="6">
        <f t="shared" si="1"/>
        <v>4348</v>
      </c>
      <c r="U33" s="23" t="s">
        <v>942</v>
      </c>
    </row>
    <row r="34" spans="1:21">
      <c r="A34" s="23">
        <v>33</v>
      </c>
      <c r="B34" s="27">
        <f t="shared" si="0"/>
        <v>98603170051</v>
      </c>
      <c r="C34" s="23" t="s">
        <v>735</v>
      </c>
      <c r="D34" s="28">
        <v>98600000</v>
      </c>
      <c r="E34" s="23" t="s">
        <v>735</v>
      </c>
      <c r="F34" s="28">
        <v>98000000</v>
      </c>
      <c r="G34" s="30" t="s">
        <v>831</v>
      </c>
      <c r="H34" s="28">
        <v>98603000</v>
      </c>
      <c r="I34" s="23" t="s">
        <v>882</v>
      </c>
      <c r="J34" s="23" t="s">
        <v>943</v>
      </c>
      <c r="K34" s="23" t="s">
        <v>819</v>
      </c>
      <c r="L34" s="23" t="str">
        <f>VLOOKUP(K34,Матрицы!B:C,2,0)</f>
        <v>поселок</v>
      </c>
      <c r="M34" s="31" t="s">
        <v>944</v>
      </c>
      <c r="N34" s="28">
        <v>98603170051</v>
      </c>
      <c r="O34" s="36">
        <v>5418</v>
      </c>
      <c r="P34" s="1">
        <v>1</v>
      </c>
      <c r="Q34" s="1" t="s">
        <v>945</v>
      </c>
      <c r="R34" s="1" t="s">
        <v>946</v>
      </c>
      <c r="T34" s="6">
        <f t="shared" si="1"/>
        <v>24144</v>
      </c>
      <c r="U34" s="23" t="s">
        <v>947</v>
      </c>
    </row>
    <row r="35" spans="1:21">
      <c r="A35" s="23">
        <v>34</v>
      </c>
      <c r="B35" s="27">
        <f t="shared" si="0"/>
        <v>98603170106</v>
      </c>
      <c r="C35" s="23" t="s">
        <v>735</v>
      </c>
      <c r="D35" s="28">
        <v>98600000</v>
      </c>
      <c r="E35" s="23" t="s">
        <v>735</v>
      </c>
      <c r="F35" s="28">
        <v>98000000</v>
      </c>
      <c r="G35" s="30" t="s">
        <v>831</v>
      </c>
      <c r="H35" s="28">
        <v>98603000</v>
      </c>
      <c r="I35" s="23" t="s">
        <v>882</v>
      </c>
      <c r="J35" s="23" t="s">
        <v>943</v>
      </c>
      <c r="K35" s="23" t="s">
        <v>754</v>
      </c>
      <c r="L35" s="23" t="str">
        <f>VLOOKUP(K35,Матрицы!B:C,2,0)</f>
        <v>село</v>
      </c>
      <c r="M35" s="31" t="s">
        <v>948</v>
      </c>
      <c r="N35" s="28">
        <v>98603170106</v>
      </c>
      <c r="O35" s="36">
        <v>432</v>
      </c>
      <c r="P35" s="1">
        <v>2</v>
      </c>
      <c r="Q35" s="1" t="s">
        <v>949</v>
      </c>
      <c r="R35" s="1" t="s">
        <v>950</v>
      </c>
      <c r="T35" s="6">
        <f t="shared" si="1"/>
        <v>7610</v>
      </c>
      <c r="U35" s="23" t="s">
        <v>951</v>
      </c>
    </row>
    <row r="36" spans="1:21">
      <c r="A36" s="23">
        <v>35</v>
      </c>
      <c r="B36" s="27">
        <f t="shared" si="0"/>
        <v>98603170111</v>
      </c>
      <c r="C36" s="23" t="s">
        <v>735</v>
      </c>
      <c r="D36" s="28">
        <v>98600000</v>
      </c>
      <c r="E36" s="23" t="s">
        <v>735</v>
      </c>
      <c r="F36" s="28">
        <v>98000000</v>
      </c>
      <c r="G36" s="30" t="s">
        <v>831</v>
      </c>
      <c r="H36" s="28">
        <v>98603000</v>
      </c>
      <c r="I36" s="23" t="s">
        <v>882</v>
      </c>
      <c r="J36" s="23" t="s">
        <v>943</v>
      </c>
      <c r="K36" s="23" t="s">
        <v>754</v>
      </c>
      <c r="L36" s="23" t="str">
        <f>VLOOKUP(K36,Матрицы!B:C,2,0)</f>
        <v>село</v>
      </c>
      <c r="M36" s="31" t="s">
        <v>393</v>
      </c>
      <c r="N36" s="28">
        <v>98603170111</v>
      </c>
      <c r="O36" s="36">
        <v>201</v>
      </c>
      <c r="P36" s="1">
        <v>2</v>
      </c>
      <c r="Q36" s="1" t="s">
        <v>952</v>
      </c>
      <c r="R36" s="1" t="s">
        <v>953</v>
      </c>
      <c r="T36" s="6">
        <f t="shared" si="1"/>
        <v>21610</v>
      </c>
      <c r="U36" s="23" t="s">
        <v>954</v>
      </c>
    </row>
    <row r="37" spans="1:21">
      <c r="A37" s="23">
        <v>36</v>
      </c>
      <c r="B37" s="27">
        <f t="shared" si="0"/>
        <v>98603404101</v>
      </c>
      <c r="C37" s="23" t="s">
        <v>735</v>
      </c>
      <c r="D37" s="28">
        <v>98600000</v>
      </c>
      <c r="E37" s="23" t="s">
        <v>735</v>
      </c>
      <c r="F37" s="28">
        <v>98000000</v>
      </c>
      <c r="G37" s="30" t="s">
        <v>831</v>
      </c>
      <c r="H37" s="28">
        <v>98603000</v>
      </c>
      <c r="I37" s="23" t="s">
        <v>955</v>
      </c>
      <c r="J37" s="23" t="s">
        <v>956</v>
      </c>
      <c r="K37" s="23" t="s">
        <v>754</v>
      </c>
      <c r="L37" s="23" t="str">
        <f>VLOOKUP(K37,Матрицы!B:C,2,0)</f>
        <v>село</v>
      </c>
      <c r="M37" s="31" t="s">
        <v>957</v>
      </c>
      <c r="N37" s="28">
        <v>98603404101</v>
      </c>
      <c r="O37" s="36">
        <v>530</v>
      </c>
      <c r="P37" s="1">
        <v>2</v>
      </c>
      <c r="Q37" s="1" t="s">
        <v>958</v>
      </c>
      <c r="R37" s="1" t="s">
        <v>959</v>
      </c>
      <c r="T37" s="6">
        <f t="shared" si="1"/>
        <v>4326</v>
      </c>
      <c r="U37" s="23" t="s">
        <v>960</v>
      </c>
    </row>
    <row r="38" spans="1:21">
      <c r="A38" s="23">
        <v>37</v>
      </c>
      <c r="B38" s="27">
        <f t="shared" si="0"/>
        <v>98603407101</v>
      </c>
      <c r="C38" s="23" t="s">
        <v>735</v>
      </c>
      <c r="D38" s="28">
        <v>98600000</v>
      </c>
      <c r="E38" s="23" t="s">
        <v>735</v>
      </c>
      <c r="F38" s="28">
        <v>98000000</v>
      </c>
      <c r="G38" s="30" t="s">
        <v>831</v>
      </c>
      <c r="H38" s="28">
        <v>98603000</v>
      </c>
      <c r="I38" s="23" t="s">
        <v>955</v>
      </c>
      <c r="J38" s="23" t="s">
        <v>961</v>
      </c>
      <c r="K38" s="23" t="s">
        <v>754</v>
      </c>
      <c r="L38" s="23" t="str">
        <f>VLOOKUP(K38,Матрицы!B:C,2,0)</f>
        <v>село</v>
      </c>
      <c r="M38" s="31" t="s">
        <v>962</v>
      </c>
      <c r="N38" s="28">
        <v>98603407101</v>
      </c>
      <c r="O38" s="36">
        <v>1437</v>
      </c>
      <c r="P38" s="1">
        <v>2</v>
      </c>
      <c r="Q38" s="1" t="s">
        <v>963</v>
      </c>
      <c r="R38" s="1" t="s">
        <v>964</v>
      </c>
      <c r="T38" s="6">
        <f t="shared" si="1"/>
        <v>6977</v>
      </c>
      <c r="U38" s="23" t="s">
        <v>965</v>
      </c>
    </row>
    <row r="39" spans="1:21">
      <c r="A39" s="23">
        <v>38</v>
      </c>
      <c r="B39" s="27">
        <f t="shared" si="0"/>
        <v>98603407106</v>
      </c>
      <c r="C39" s="23" t="s">
        <v>735</v>
      </c>
      <c r="D39" s="28">
        <v>98600000</v>
      </c>
      <c r="E39" s="23" t="s">
        <v>735</v>
      </c>
      <c r="F39" s="28">
        <v>98000000</v>
      </c>
      <c r="G39" s="30" t="s">
        <v>831</v>
      </c>
      <c r="H39" s="28">
        <v>98603000</v>
      </c>
      <c r="I39" s="23" t="s">
        <v>955</v>
      </c>
      <c r="J39" s="23" t="s">
        <v>961</v>
      </c>
      <c r="K39" s="23" t="s">
        <v>754</v>
      </c>
      <c r="L39" s="23" t="str">
        <f>VLOOKUP(K39,Матрицы!B:C,2,0)</f>
        <v>село</v>
      </c>
      <c r="M39" s="31" t="s">
        <v>966</v>
      </c>
      <c r="N39" s="28">
        <v>98603407106</v>
      </c>
      <c r="O39" s="36">
        <v>291</v>
      </c>
      <c r="P39" s="1">
        <v>2</v>
      </c>
      <c r="Q39" s="1" t="s">
        <v>967</v>
      </c>
      <c r="R39" s="1" t="s">
        <v>968</v>
      </c>
      <c r="T39" s="6">
        <f t="shared" si="1"/>
        <v>22846</v>
      </c>
      <c r="U39" s="23" t="s">
        <v>969</v>
      </c>
    </row>
    <row r="40" spans="1:21">
      <c r="A40" s="23">
        <v>39</v>
      </c>
      <c r="B40" s="27">
        <f t="shared" si="0"/>
        <v>98603460101</v>
      </c>
      <c r="C40" s="23" t="s">
        <v>735</v>
      </c>
      <c r="D40" s="28">
        <v>98600000</v>
      </c>
      <c r="E40" s="23" t="s">
        <v>735</v>
      </c>
      <c r="F40" s="28">
        <v>98000000</v>
      </c>
      <c r="G40" s="30" t="s">
        <v>831</v>
      </c>
      <c r="H40" s="28">
        <v>98603000</v>
      </c>
      <c r="I40" s="23" t="s">
        <v>955</v>
      </c>
      <c r="J40" s="23" t="s">
        <v>970</v>
      </c>
      <c r="K40" s="23" t="s">
        <v>754</v>
      </c>
      <c r="L40" s="23" t="str">
        <f>VLOOKUP(K40,Матрицы!B:C,2,0)</f>
        <v>село</v>
      </c>
      <c r="M40" s="31" t="s">
        <v>971</v>
      </c>
      <c r="N40" s="28">
        <v>98603460101</v>
      </c>
      <c r="O40" s="36">
        <v>181</v>
      </c>
      <c r="P40" s="1">
        <v>2</v>
      </c>
      <c r="Q40" s="1" t="s">
        <v>972</v>
      </c>
      <c r="R40" s="1" t="s">
        <v>973</v>
      </c>
      <c r="T40" s="6">
        <f t="shared" si="1"/>
        <v>16299</v>
      </c>
      <c r="U40" s="23" t="s">
        <v>974</v>
      </c>
    </row>
    <row r="41" spans="1:21">
      <c r="A41" s="23">
        <v>40</v>
      </c>
      <c r="B41" s="27">
        <f t="shared" si="0"/>
        <v>98604405101</v>
      </c>
      <c r="C41" s="23" t="s">
        <v>735</v>
      </c>
      <c r="D41" s="28">
        <v>98600000</v>
      </c>
      <c r="E41" s="23" t="s">
        <v>735</v>
      </c>
      <c r="F41" s="28">
        <v>98000000</v>
      </c>
      <c r="G41" s="30" t="s">
        <v>974</v>
      </c>
      <c r="H41" s="28">
        <v>98604000</v>
      </c>
      <c r="I41" s="23" t="s">
        <v>975</v>
      </c>
      <c r="J41" s="23" t="s">
        <v>976</v>
      </c>
      <c r="K41" s="23" t="s">
        <v>754</v>
      </c>
      <c r="L41" s="23" t="str">
        <f>VLOOKUP(K41,Матрицы!B:C,2,0)</f>
        <v>село</v>
      </c>
      <c r="M41" s="31" t="s">
        <v>977</v>
      </c>
      <c r="N41" s="28">
        <v>98604405101</v>
      </c>
      <c r="O41" s="36">
        <v>1153</v>
      </c>
      <c r="P41" s="1">
        <v>2</v>
      </c>
      <c r="Q41" s="1" t="s">
        <v>978</v>
      </c>
      <c r="R41" s="1" t="s">
        <v>979</v>
      </c>
      <c r="T41" s="6">
        <f t="shared" si="1"/>
        <v>11200</v>
      </c>
      <c r="U41" s="23" t="s">
        <v>980</v>
      </c>
    </row>
    <row r="42" spans="1:21">
      <c r="A42" s="23">
        <v>41</v>
      </c>
      <c r="B42" s="27">
        <f t="shared" si="0"/>
        <v>98604410101</v>
      </c>
      <c r="C42" s="23" t="s">
        <v>735</v>
      </c>
      <c r="D42" s="28">
        <v>98600000</v>
      </c>
      <c r="E42" s="23" t="s">
        <v>735</v>
      </c>
      <c r="F42" s="28">
        <v>98000000</v>
      </c>
      <c r="G42" s="30" t="s">
        <v>974</v>
      </c>
      <c r="H42" s="28">
        <v>98604000</v>
      </c>
      <c r="I42" s="23" t="s">
        <v>975</v>
      </c>
      <c r="J42" s="23" t="s">
        <v>981</v>
      </c>
      <c r="K42" s="23" t="s">
        <v>754</v>
      </c>
      <c r="L42" s="23" t="str">
        <f>VLOOKUP(K42,Матрицы!B:C,2,0)</f>
        <v>село</v>
      </c>
      <c r="M42" s="31" t="s">
        <v>982</v>
      </c>
      <c r="N42" s="28">
        <v>98604410101</v>
      </c>
      <c r="O42" s="36">
        <v>666</v>
      </c>
      <c r="P42" s="1">
        <v>2</v>
      </c>
      <c r="Q42" s="1" t="s">
        <v>983</v>
      </c>
      <c r="R42" s="1" t="s">
        <v>984</v>
      </c>
      <c r="T42" s="6">
        <f t="shared" si="1"/>
        <v>22256</v>
      </c>
      <c r="U42" s="23" t="s">
        <v>985</v>
      </c>
    </row>
    <row r="43" spans="1:21">
      <c r="A43" s="23">
        <v>42</v>
      </c>
      <c r="B43" s="27">
        <f t="shared" si="0"/>
        <v>98604415101</v>
      </c>
      <c r="C43" s="23" t="s">
        <v>735</v>
      </c>
      <c r="D43" s="28">
        <v>98600000</v>
      </c>
      <c r="E43" s="23" t="s">
        <v>735</v>
      </c>
      <c r="F43" s="28">
        <v>98000000</v>
      </c>
      <c r="G43" s="30" t="s">
        <v>974</v>
      </c>
      <c r="H43" s="28">
        <v>98604000</v>
      </c>
      <c r="I43" s="23" t="s">
        <v>975</v>
      </c>
      <c r="J43" s="23" t="s">
        <v>986</v>
      </c>
      <c r="K43" s="23" t="s">
        <v>754</v>
      </c>
      <c r="L43" s="23" t="str">
        <f>VLOOKUP(K43,Матрицы!B:C,2,0)</f>
        <v>село</v>
      </c>
      <c r="M43" s="31" t="s">
        <v>618</v>
      </c>
      <c r="N43" s="28">
        <v>98604415101</v>
      </c>
      <c r="O43" s="36">
        <v>925</v>
      </c>
      <c r="P43" s="1">
        <v>2</v>
      </c>
      <c r="Q43" s="1" t="s">
        <v>987</v>
      </c>
      <c r="R43" s="1" t="s">
        <v>988</v>
      </c>
      <c r="T43" s="6">
        <f t="shared" si="1"/>
        <v>7098</v>
      </c>
      <c r="U43" s="23" t="s">
        <v>989</v>
      </c>
    </row>
    <row r="44" spans="1:21">
      <c r="A44" s="23">
        <v>43</v>
      </c>
      <c r="B44" s="27">
        <f t="shared" si="0"/>
        <v>98604418101</v>
      </c>
      <c r="C44" s="23" t="s">
        <v>735</v>
      </c>
      <c r="D44" s="28">
        <v>98600000</v>
      </c>
      <c r="E44" s="23" t="s">
        <v>735</v>
      </c>
      <c r="F44" s="28">
        <v>98000000</v>
      </c>
      <c r="G44" s="30" t="s">
        <v>974</v>
      </c>
      <c r="H44" s="28">
        <v>98604000</v>
      </c>
      <c r="I44" s="23" t="s">
        <v>975</v>
      </c>
      <c r="J44" s="23" t="s">
        <v>990</v>
      </c>
      <c r="K44" s="23" t="s">
        <v>754</v>
      </c>
      <c r="L44" s="23" t="str">
        <f>VLOOKUP(K44,Матрицы!B:C,2,0)</f>
        <v>село</v>
      </c>
      <c r="M44" s="31" t="s">
        <v>991</v>
      </c>
      <c r="N44" s="28">
        <v>98604418101</v>
      </c>
      <c r="O44" s="36">
        <v>221</v>
      </c>
      <c r="P44" s="1">
        <v>2</v>
      </c>
      <c r="Q44" s="1" t="s">
        <v>992</v>
      </c>
      <c r="R44" s="1" t="s">
        <v>993</v>
      </c>
      <c r="T44" s="6">
        <f t="shared" si="1"/>
        <v>6697</v>
      </c>
      <c r="U44" s="23" t="s">
        <v>994</v>
      </c>
    </row>
    <row r="45" spans="1:21">
      <c r="A45" s="23">
        <v>44</v>
      </c>
      <c r="B45" s="27">
        <f t="shared" si="0"/>
        <v>98604420101</v>
      </c>
      <c r="C45" s="23" t="s">
        <v>735</v>
      </c>
      <c r="D45" s="28">
        <v>98600000</v>
      </c>
      <c r="E45" s="23" t="s">
        <v>735</v>
      </c>
      <c r="F45" s="28">
        <v>98000000</v>
      </c>
      <c r="G45" s="30" t="s">
        <v>974</v>
      </c>
      <c r="H45" s="28">
        <v>98604000</v>
      </c>
      <c r="I45" s="23" t="s">
        <v>975</v>
      </c>
      <c r="J45" s="23" t="s">
        <v>995</v>
      </c>
      <c r="K45" s="23" t="s">
        <v>754</v>
      </c>
      <c r="L45" s="23" t="str">
        <f>VLOOKUP(K45,Матрицы!B:C,2,0)</f>
        <v>село</v>
      </c>
      <c r="M45" s="31" t="s">
        <v>996</v>
      </c>
      <c r="N45" s="28">
        <v>98604420101</v>
      </c>
      <c r="O45" s="36">
        <v>1001</v>
      </c>
      <c r="P45" s="1">
        <v>2</v>
      </c>
      <c r="Q45" s="1" t="s">
        <v>997</v>
      </c>
      <c r="R45" s="1" t="s">
        <v>998</v>
      </c>
      <c r="T45" s="6">
        <f t="shared" si="1"/>
        <v>21503</v>
      </c>
      <c r="U45" s="23" t="s">
        <v>999</v>
      </c>
    </row>
    <row r="46" spans="1:21">
      <c r="A46" s="23">
        <v>45</v>
      </c>
      <c r="B46" s="27">
        <f t="shared" si="0"/>
        <v>98604420106</v>
      </c>
      <c r="C46" s="23" t="s">
        <v>735</v>
      </c>
      <c r="D46" s="28">
        <v>98600000</v>
      </c>
      <c r="E46" s="23" t="s">
        <v>735</v>
      </c>
      <c r="F46" s="28">
        <v>98000000</v>
      </c>
      <c r="G46" s="30" t="s">
        <v>974</v>
      </c>
      <c r="H46" s="28">
        <v>98604000</v>
      </c>
      <c r="I46" s="23" t="s">
        <v>975</v>
      </c>
      <c r="J46" s="23" t="s">
        <v>995</v>
      </c>
      <c r="K46" s="23" t="s">
        <v>754</v>
      </c>
      <c r="L46" s="23" t="str">
        <f>VLOOKUP(K46,Матрицы!B:C,2,0)</f>
        <v>село</v>
      </c>
      <c r="M46" s="31" t="s">
        <v>1000</v>
      </c>
      <c r="N46" s="28">
        <v>98604420106</v>
      </c>
      <c r="O46" s="36">
        <v>10</v>
      </c>
      <c r="P46" s="1">
        <v>2</v>
      </c>
      <c r="Q46" s="1" t="s">
        <v>1001</v>
      </c>
      <c r="R46" s="1" t="s">
        <v>1002</v>
      </c>
      <c r="T46" s="6">
        <f t="shared" si="1"/>
        <v>33938</v>
      </c>
      <c r="U46" s="23" t="s">
        <v>1003</v>
      </c>
    </row>
    <row r="47" spans="1:21">
      <c r="A47" s="23">
        <v>46</v>
      </c>
      <c r="B47" s="27">
        <f t="shared" si="0"/>
        <v>98604425101</v>
      </c>
      <c r="C47" s="23" t="s">
        <v>735</v>
      </c>
      <c r="D47" s="28">
        <v>98600000</v>
      </c>
      <c r="E47" s="23" t="s">
        <v>735</v>
      </c>
      <c r="F47" s="28">
        <v>98000000</v>
      </c>
      <c r="G47" s="30" t="s">
        <v>974</v>
      </c>
      <c r="H47" s="28">
        <v>98604000</v>
      </c>
      <c r="I47" s="23" t="s">
        <v>975</v>
      </c>
      <c r="J47" s="23" t="s">
        <v>1004</v>
      </c>
      <c r="K47" s="23" t="s">
        <v>754</v>
      </c>
      <c r="L47" s="23" t="str">
        <f>VLOOKUP(K47,Матрицы!B:C,2,0)</f>
        <v>село</v>
      </c>
      <c r="M47" s="31" t="s">
        <v>1005</v>
      </c>
      <c r="N47" s="28">
        <v>98604425101</v>
      </c>
      <c r="O47" s="36">
        <v>550</v>
      </c>
      <c r="P47" s="1">
        <v>2</v>
      </c>
      <c r="Q47" s="1" t="s">
        <v>1006</v>
      </c>
      <c r="R47" s="1" t="s">
        <v>1007</v>
      </c>
      <c r="T47" s="6">
        <f t="shared" si="1"/>
        <v>2913</v>
      </c>
      <c r="U47" s="23" t="s">
        <v>1008</v>
      </c>
    </row>
    <row r="48" spans="1:21">
      <c r="A48" s="23">
        <v>47</v>
      </c>
      <c r="B48" s="27">
        <f t="shared" si="0"/>
        <v>98604430101</v>
      </c>
      <c r="C48" s="23" t="s">
        <v>735</v>
      </c>
      <c r="D48" s="28">
        <v>98600000</v>
      </c>
      <c r="E48" s="23" t="s">
        <v>735</v>
      </c>
      <c r="F48" s="28">
        <v>98000000</v>
      </c>
      <c r="G48" s="30" t="s">
        <v>974</v>
      </c>
      <c r="H48" s="28">
        <v>98604000</v>
      </c>
      <c r="I48" s="23" t="s">
        <v>975</v>
      </c>
      <c r="J48" s="23" t="s">
        <v>1009</v>
      </c>
      <c r="K48" s="23" t="s">
        <v>754</v>
      </c>
      <c r="L48" s="23" t="str">
        <f>VLOOKUP(K48,Матрицы!B:C,2,0)</f>
        <v>село</v>
      </c>
      <c r="M48" s="31" t="s">
        <v>1010</v>
      </c>
      <c r="N48" s="28">
        <v>98604430101</v>
      </c>
      <c r="O48" s="36">
        <v>753</v>
      </c>
      <c r="P48" s="1">
        <v>2</v>
      </c>
      <c r="Q48" s="1" t="s">
        <v>1011</v>
      </c>
      <c r="R48" s="1" t="s">
        <v>1012</v>
      </c>
    </row>
    <row r="49" spans="1:20">
      <c r="A49" s="23">
        <v>48</v>
      </c>
      <c r="B49" s="27">
        <f t="shared" si="0"/>
        <v>98604435101</v>
      </c>
      <c r="C49" s="23" t="s">
        <v>735</v>
      </c>
      <c r="D49" s="28">
        <v>98600000</v>
      </c>
      <c r="E49" s="23" t="s">
        <v>735</v>
      </c>
      <c r="F49" s="28">
        <v>98000000</v>
      </c>
      <c r="G49" s="30" t="s">
        <v>974</v>
      </c>
      <c r="H49" s="28">
        <v>98604000</v>
      </c>
      <c r="I49" s="23" t="s">
        <v>975</v>
      </c>
      <c r="J49" s="23" t="s">
        <v>1013</v>
      </c>
      <c r="K49" s="23" t="s">
        <v>754</v>
      </c>
      <c r="L49" s="23" t="str">
        <f>VLOOKUP(K49,Матрицы!B:C,2,0)</f>
        <v>село</v>
      </c>
      <c r="M49" s="31" t="s">
        <v>1014</v>
      </c>
      <c r="N49" s="28">
        <v>98604435101</v>
      </c>
      <c r="O49" s="36">
        <v>1122</v>
      </c>
      <c r="P49" s="1">
        <v>2</v>
      </c>
      <c r="Q49" s="1" t="s">
        <v>1015</v>
      </c>
      <c r="R49" s="1" t="s">
        <v>1016</v>
      </c>
    </row>
    <row r="50" spans="1:20">
      <c r="A50" s="23">
        <v>49</v>
      </c>
      <c r="B50" s="27">
        <f t="shared" si="0"/>
        <v>98604440101</v>
      </c>
      <c r="C50" s="23" t="s">
        <v>735</v>
      </c>
      <c r="D50" s="28">
        <v>98600000</v>
      </c>
      <c r="E50" s="23" t="s">
        <v>735</v>
      </c>
      <c r="F50" s="28">
        <v>98000000</v>
      </c>
      <c r="G50" s="30" t="s">
        <v>974</v>
      </c>
      <c r="H50" s="28">
        <v>98604000</v>
      </c>
      <c r="I50" s="23" t="s">
        <v>975</v>
      </c>
      <c r="J50" s="23" t="s">
        <v>1017</v>
      </c>
      <c r="K50" s="23" t="s">
        <v>754</v>
      </c>
      <c r="L50" s="23" t="str">
        <f>VLOOKUP(K50,Матрицы!B:C,2,0)</f>
        <v>село</v>
      </c>
      <c r="M50" s="31" t="s">
        <v>1018</v>
      </c>
      <c r="N50" s="28">
        <v>98604440101</v>
      </c>
      <c r="O50" s="36">
        <v>958</v>
      </c>
      <c r="P50" s="1">
        <v>2</v>
      </c>
      <c r="Q50" s="1" t="s">
        <v>1019</v>
      </c>
      <c r="R50" s="1" t="s">
        <v>1020</v>
      </c>
    </row>
    <row r="51" spans="1:20">
      <c r="A51" s="23">
        <v>50</v>
      </c>
      <c r="B51" s="27">
        <f t="shared" si="0"/>
        <v>98604445101</v>
      </c>
      <c r="C51" s="23" t="s">
        <v>735</v>
      </c>
      <c r="D51" s="28">
        <v>98600000</v>
      </c>
      <c r="E51" s="23" t="s">
        <v>735</v>
      </c>
      <c r="F51" s="28">
        <v>98000000</v>
      </c>
      <c r="G51" s="30" t="s">
        <v>974</v>
      </c>
      <c r="H51" s="28">
        <v>98604000</v>
      </c>
      <c r="I51" s="23" t="s">
        <v>975</v>
      </c>
      <c r="J51" s="23" t="s">
        <v>1021</v>
      </c>
      <c r="K51" s="23" t="s">
        <v>754</v>
      </c>
      <c r="L51" s="23" t="str">
        <f>VLOOKUP(K51,Матрицы!B:C,2,0)</f>
        <v>село</v>
      </c>
      <c r="M51" s="31" t="s">
        <v>1022</v>
      </c>
      <c r="N51" s="28">
        <v>98604445101</v>
      </c>
      <c r="O51" s="36">
        <v>6933</v>
      </c>
      <c r="P51" s="1">
        <v>2</v>
      </c>
      <c r="Q51" s="1" t="s">
        <v>1023</v>
      </c>
      <c r="R51" s="1" t="s">
        <v>1024</v>
      </c>
    </row>
    <row r="52" spans="1:20">
      <c r="A52" s="23">
        <v>51</v>
      </c>
      <c r="B52" s="27">
        <f t="shared" si="0"/>
        <v>98604450101</v>
      </c>
      <c r="C52" s="23" t="s">
        <v>735</v>
      </c>
      <c r="D52" s="28">
        <v>98600000</v>
      </c>
      <c r="E52" s="23" t="s">
        <v>735</v>
      </c>
      <c r="F52" s="28">
        <v>98000000</v>
      </c>
      <c r="G52" s="30" t="s">
        <v>974</v>
      </c>
      <c r="H52" s="28">
        <v>98604000</v>
      </c>
      <c r="I52" s="23" t="s">
        <v>975</v>
      </c>
      <c r="J52" s="23" t="s">
        <v>1025</v>
      </c>
      <c r="K52" s="23" t="s">
        <v>754</v>
      </c>
      <c r="L52" s="23" t="str">
        <f>VLOOKUP(K52,Матрицы!B:C,2,0)</f>
        <v>село</v>
      </c>
      <c r="M52" s="31" t="s">
        <v>1026</v>
      </c>
      <c r="N52" s="28">
        <v>98604450101</v>
      </c>
      <c r="O52" s="36">
        <v>719</v>
      </c>
      <c r="P52" s="1">
        <v>2</v>
      </c>
      <c r="Q52" s="1" t="s">
        <v>1027</v>
      </c>
      <c r="R52" s="1" t="s">
        <v>1028</v>
      </c>
    </row>
    <row r="53" spans="1:20">
      <c r="A53" s="23">
        <v>52</v>
      </c>
      <c r="B53" s="27">
        <f t="shared" si="0"/>
        <v>98604455101</v>
      </c>
      <c r="C53" s="23" t="s">
        <v>735</v>
      </c>
      <c r="D53" s="28">
        <v>98600000</v>
      </c>
      <c r="E53" s="23" t="s">
        <v>735</v>
      </c>
      <c r="F53" s="28">
        <v>98000000</v>
      </c>
      <c r="G53" s="30" t="s">
        <v>974</v>
      </c>
      <c r="H53" s="28">
        <v>98604000</v>
      </c>
      <c r="I53" s="23" t="s">
        <v>975</v>
      </c>
      <c r="J53" s="23" t="s">
        <v>1029</v>
      </c>
      <c r="K53" s="23" t="s">
        <v>754</v>
      </c>
      <c r="L53" s="23" t="str">
        <f>VLOOKUP(K53,Матрицы!B:C,2,0)</f>
        <v>село</v>
      </c>
      <c r="M53" s="31" t="s">
        <v>1030</v>
      </c>
      <c r="N53" s="28">
        <v>98604455101</v>
      </c>
      <c r="O53" s="36">
        <v>534</v>
      </c>
      <c r="P53" s="1">
        <v>2</v>
      </c>
      <c r="Q53" s="1" t="s">
        <v>1031</v>
      </c>
      <c r="R53" s="1" t="s">
        <v>1032</v>
      </c>
    </row>
    <row r="54" spans="1:20">
      <c r="A54" s="23">
        <v>53</v>
      </c>
      <c r="B54" s="27">
        <f t="shared" si="0"/>
        <v>98604460101</v>
      </c>
      <c r="C54" s="23" t="s">
        <v>735</v>
      </c>
      <c r="D54" s="28">
        <v>98600000</v>
      </c>
      <c r="E54" s="23" t="s">
        <v>735</v>
      </c>
      <c r="F54" s="28">
        <v>98000000</v>
      </c>
      <c r="G54" s="30" t="s">
        <v>974</v>
      </c>
      <c r="H54" s="28">
        <v>98604000</v>
      </c>
      <c r="I54" s="23" t="s">
        <v>975</v>
      </c>
      <c r="J54" s="23" t="s">
        <v>1033</v>
      </c>
      <c r="K54" s="23" t="s">
        <v>754</v>
      </c>
      <c r="L54" s="23" t="str">
        <f>VLOOKUP(K54,Матрицы!B:C,2,0)</f>
        <v>село</v>
      </c>
      <c r="M54" s="31" t="s">
        <v>1034</v>
      </c>
      <c r="N54" s="28">
        <v>98604460101</v>
      </c>
      <c r="O54" s="36">
        <v>477</v>
      </c>
      <c r="P54" s="1">
        <v>2</v>
      </c>
      <c r="Q54" s="1" t="s">
        <v>1035</v>
      </c>
      <c r="R54" s="1" t="s">
        <v>1036</v>
      </c>
    </row>
    <row r="55" spans="1:20">
      <c r="A55" s="23">
        <v>54</v>
      </c>
      <c r="B55" s="27">
        <f t="shared" si="0"/>
        <v>98604465101</v>
      </c>
      <c r="C55" s="23" t="s">
        <v>735</v>
      </c>
      <c r="D55" s="28">
        <v>98600000</v>
      </c>
      <c r="E55" s="23" t="s">
        <v>735</v>
      </c>
      <c r="F55" s="28">
        <v>98000000</v>
      </c>
      <c r="G55" s="30" t="s">
        <v>974</v>
      </c>
      <c r="H55" s="28">
        <v>98604000</v>
      </c>
      <c r="I55" s="23" t="s">
        <v>975</v>
      </c>
      <c r="J55" s="23" t="s">
        <v>1037</v>
      </c>
      <c r="K55" s="23" t="s">
        <v>754</v>
      </c>
      <c r="L55" s="23" t="str">
        <f>VLOOKUP(K55,Матрицы!B:C,2,0)</f>
        <v>село</v>
      </c>
      <c r="M55" s="31" t="s">
        <v>1038</v>
      </c>
      <c r="N55" s="28">
        <v>98604465101</v>
      </c>
      <c r="O55" s="36">
        <v>277</v>
      </c>
      <c r="P55" s="1">
        <v>2</v>
      </c>
      <c r="Q55" s="1" t="s">
        <v>1039</v>
      </c>
      <c r="R55" s="1" t="s">
        <v>1040</v>
      </c>
    </row>
    <row r="56" spans="1:20">
      <c r="A56" s="23">
        <v>55</v>
      </c>
      <c r="B56" s="27">
        <f t="shared" si="0"/>
        <v>98606151051</v>
      </c>
      <c r="C56" s="23" t="s">
        <v>735</v>
      </c>
      <c r="D56" s="28">
        <v>98600000</v>
      </c>
      <c r="E56" s="23" t="s">
        <v>735</v>
      </c>
      <c r="F56" s="28">
        <v>98000000</v>
      </c>
      <c r="G56" s="30" t="s">
        <v>838</v>
      </c>
      <c r="H56" s="28">
        <v>98606000</v>
      </c>
      <c r="I56" s="23" t="s">
        <v>1041</v>
      </c>
      <c r="J56" s="23" t="s">
        <v>1042</v>
      </c>
      <c r="K56" s="23" t="s">
        <v>819</v>
      </c>
      <c r="L56" s="23" t="str">
        <f>VLOOKUP(K56,Матрицы!B:C,2,0)</f>
        <v>поселок</v>
      </c>
      <c r="M56" s="31" t="s">
        <v>645</v>
      </c>
      <c r="N56" s="28">
        <v>98606151051</v>
      </c>
      <c r="O56" s="36">
        <v>1832</v>
      </c>
      <c r="P56" s="1">
        <v>1</v>
      </c>
      <c r="Q56" s="1" t="s">
        <v>1043</v>
      </c>
      <c r="R56" s="1" t="s">
        <v>1044</v>
      </c>
    </row>
    <row r="57" spans="1:20">
      <c r="A57" s="23">
        <v>56</v>
      </c>
      <c r="B57" s="27">
        <f t="shared" si="0"/>
        <v>98606424101</v>
      </c>
      <c r="C57" s="23" t="s">
        <v>735</v>
      </c>
      <c r="D57" s="28">
        <v>98600000</v>
      </c>
      <c r="E57" s="23" t="s">
        <v>735</v>
      </c>
      <c r="F57" s="28">
        <v>98000000</v>
      </c>
      <c r="G57" s="30" t="s">
        <v>838</v>
      </c>
      <c r="H57" s="28">
        <v>98606000</v>
      </c>
      <c r="I57" s="23" t="s">
        <v>1045</v>
      </c>
      <c r="J57" s="23" t="s">
        <v>1046</v>
      </c>
      <c r="K57" s="23" t="s">
        <v>754</v>
      </c>
      <c r="L57" s="23" t="str">
        <f>VLOOKUP(K57,Матрицы!B:C,2,0)</f>
        <v>село</v>
      </c>
      <c r="M57" s="31" t="s">
        <v>1047</v>
      </c>
      <c r="N57" s="28">
        <v>98606424101</v>
      </c>
      <c r="O57" s="36">
        <v>137</v>
      </c>
      <c r="P57" s="1">
        <v>2</v>
      </c>
      <c r="Q57" s="1" t="s">
        <v>1048</v>
      </c>
      <c r="R57" s="1" t="s">
        <v>1049</v>
      </c>
    </row>
    <row r="58" spans="1:20">
      <c r="A58" s="23">
        <v>57</v>
      </c>
      <c r="B58" s="27">
        <f t="shared" si="0"/>
        <v>98606437101</v>
      </c>
      <c r="C58" s="23" t="s">
        <v>735</v>
      </c>
      <c r="D58" s="28">
        <v>98600000</v>
      </c>
      <c r="E58" s="23" t="s">
        <v>735</v>
      </c>
      <c r="F58" s="28">
        <v>98000000</v>
      </c>
      <c r="G58" s="30" t="s">
        <v>838</v>
      </c>
      <c r="H58" s="28">
        <v>98606000</v>
      </c>
      <c r="I58" s="23" t="s">
        <v>1045</v>
      </c>
      <c r="J58" s="23" t="s">
        <v>1050</v>
      </c>
      <c r="K58" s="23" t="s">
        <v>754</v>
      </c>
      <c r="L58" s="23" t="str">
        <f>VLOOKUP(K58,Матрицы!B:C,2,0)</f>
        <v>село</v>
      </c>
      <c r="M58" s="31" t="s">
        <v>1051</v>
      </c>
      <c r="N58" s="28">
        <v>98606437101</v>
      </c>
      <c r="O58" s="36">
        <v>115</v>
      </c>
      <c r="P58" s="1">
        <v>2</v>
      </c>
      <c r="Q58" s="1" t="s">
        <v>1052</v>
      </c>
      <c r="R58" s="1" t="s">
        <v>1053</v>
      </c>
      <c r="T58" s="28"/>
    </row>
    <row r="59" spans="1:20">
      <c r="A59" s="23">
        <v>58</v>
      </c>
      <c r="B59" s="27">
        <f t="shared" si="0"/>
        <v>98606450101</v>
      </c>
      <c r="C59" s="23" t="s">
        <v>735</v>
      </c>
      <c r="D59" s="28">
        <v>98600000</v>
      </c>
      <c r="E59" s="23" t="s">
        <v>735</v>
      </c>
      <c r="F59" s="28">
        <v>98000000</v>
      </c>
      <c r="G59" s="30" t="s">
        <v>838</v>
      </c>
      <c r="H59" s="28">
        <v>98606000</v>
      </c>
      <c r="I59" s="23" t="s">
        <v>1045</v>
      </c>
      <c r="J59" s="23" t="s">
        <v>1054</v>
      </c>
      <c r="K59" s="23" t="s">
        <v>754</v>
      </c>
      <c r="L59" s="23" t="str">
        <f>VLOOKUP(K59,Матрицы!B:C,2,0)</f>
        <v>село</v>
      </c>
      <c r="M59" s="31" t="s">
        <v>1055</v>
      </c>
      <c r="N59" s="28">
        <v>98606450101</v>
      </c>
      <c r="O59" s="36">
        <v>118</v>
      </c>
      <c r="P59" s="1">
        <v>2</v>
      </c>
      <c r="Q59" s="1" t="s">
        <v>1056</v>
      </c>
      <c r="R59" s="1" t="s">
        <v>1057</v>
      </c>
      <c r="T59" s="28"/>
    </row>
    <row r="60" spans="1:20">
      <c r="A60" s="23">
        <v>59</v>
      </c>
      <c r="B60" s="27">
        <f t="shared" si="0"/>
        <v>98606476101</v>
      </c>
      <c r="C60" s="23" t="s">
        <v>735</v>
      </c>
      <c r="D60" s="28">
        <v>98600000</v>
      </c>
      <c r="E60" s="23" t="s">
        <v>735</v>
      </c>
      <c r="F60" s="28">
        <v>98000000</v>
      </c>
      <c r="G60" s="30" t="s">
        <v>838</v>
      </c>
      <c r="H60" s="28">
        <v>98606000</v>
      </c>
      <c r="I60" s="23" t="s">
        <v>1045</v>
      </c>
      <c r="J60" s="23" t="s">
        <v>1058</v>
      </c>
      <c r="K60" s="23" t="s">
        <v>754</v>
      </c>
      <c r="L60" s="23" t="str">
        <f>VLOOKUP(K60,Матрицы!B:C,2,0)</f>
        <v>село</v>
      </c>
      <c r="M60" s="31" t="s">
        <v>1059</v>
      </c>
      <c r="N60" s="28">
        <v>98606476101</v>
      </c>
      <c r="O60" s="36">
        <v>198</v>
      </c>
      <c r="P60" s="1">
        <v>2</v>
      </c>
      <c r="Q60" s="1" t="s">
        <v>1060</v>
      </c>
      <c r="R60" s="1" t="s">
        <v>1061</v>
      </c>
      <c r="T60" s="28"/>
    </row>
    <row r="61" spans="1:20">
      <c r="A61" s="23">
        <v>60</v>
      </c>
      <c r="B61" s="27">
        <f t="shared" si="0"/>
        <v>98606476106</v>
      </c>
      <c r="C61" s="23" t="s">
        <v>735</v>
      </c>
      <c r="D61" s="28">
        <v>98600000</v>
      </c>
      <c r="E61" s="23" t="s">
        <v>735</v>
      </c>
      <c r="F61" s="28">
        <v>98000000</v>
      </c>
      <c r="G61" s="30" t="s">
        <v>838</v>
      </c>
      <c r="H61" s="28">
        <v>98606000</v>
      </c>
      <c r="I61" s="23" t="s">
        <v>1045</v>
      </c>
      <c r="J61" s="23" t="s">
        <v>1058</v>
      </c>
      <c r="K61" s="23" t="s">
        <v>754</v>
      </c>
      <c r="L61" s="23" t="str">
        <f>VLOOKUP(K61,Матрицы!B:C,2,0)</f>
        <v>село</v>
      </c>
      <c r="M61" s="31" t="s">
        <v>1062</v>
      </c>
      <c r="N61" s="28">
        <v>98606476106</v>
      </c>
      <c r="O61" s="32">
        <v>0</v>
      </c>
      <c r="P61" s="1">
        <v>2</v>
      </c>
      <c r="Q61" s="1" t="s">
        <v>1063</v>
      </c>
      <c r="R61" s="1" t="s">
        <v>1064</v>
      </c>
      <c r="T61" s="28"/>
    </row>
    <row r="62" spans="1:20">
      <c r="A62" s="23">
        <v>61</v>
      </c>
      <c r="B62" s="27">
        <f t="shared" si="0"/>
        <v>98606745902</v>
      </c>
      <c r="C62" s="23" t="s">
        <v>735</v>
      </c>
      <c r="D62" s="28">
        <v>98600000</v>
      </c>
      <c r="E62" s="23" t="s">
        <v>735</v>
      </c>
      <c r="F62" s="28">
        <v>98000000</v>
      </c>
      <c r="G62" s="30" t="s">
        <v>838</v>
      </c>
      <c r="H62" s="28">
        <v>98606000</v>
      </c>
      <c r="I62" s="23" t="s">
        <v>1065</v>
      </c>
      <c r="J62" s="23" t="s">
        <v>1066</v>
      </c>
      <c r="K62" s="23" t="s">
        <v>754</v>
      </c>
      <c r="L62" s="23" t="str">
        <f>VLOOKUP(K62,Матрицы!B:C,2,0)</f>
        <v>село</v>
      </c>
      <c r="M62" s="31" t="s">
        <v>1067</v>
      </c>
      <c r="N62" s="28">
        <v>98606745902</v>
      </c>
      <c r="O62" s="32">
        <v>0</v>
      </c>
      <c r="P62" s="1">
        <v>2</v>
      </c>
      <c r="Q62" s="1" t="s">
        <v>1068</v>
      </c>
      <c r="R62" s="1" t="s">
        <v>1069</v>
      </c>
      <c r="T62" s="28"/>
    </row>
    <row r="63" spans="1:20">
      <c r="A63" s="23">
        <v>62</v>
      </c>
      <c r="B63" s="27">
        <f t="shared" si="0"/>
        <v>98608405101</v>
      </c>
      <c r="C63" s="23" t="s">
        <v>735</v>
      </c>
      <c r="D63" s="28">
        <v>98600000</v>
      </c>
      <c r="E63" s="23" t="s">
        <v>735</v>
      </c>
      <c r="F63" s="28">
        <v>98000000</v>
      </c>
      <c r="G63" s="30" t="s">
        <v>844</v>
      </c>
      <c r="H63" s="28">
        <v>98608000</v>
      </c>
      <c r="I63" s="23" t="s">
        <v>1070</v>
      </c>
      <c r="J63" s="23" t="s">
        <v>1071</v>
      </c>
      <c r="K63" s="23" t="s">
        <v>754</v>
      </c>
      <c r="L63" s="23" t="str">
        <f>VLOOKUP(K63,Матрицы!B:C,2,0)</f>
        <v>село</v>
      </c>
      <c r="M63" s="31" t="s">
        <v>1072</v>
      </c>
      <c r="N63" s="28">
        <v>98608405101</v>
      </c>
      <c r="O63" s="36">
        <v>1114</v>
      </c>
      <c r="P63" s="1">
        <v>2</v>
      </c>
      <c r="Q63" s="1" t="s">
        <v>1073</v>
      </c>
      <c r="R63" s="1" t="s">
        <v>1074</v>
      </c>
      <c r="T63" s="28"/>
    </row>
    <row r="64" spans="1:20">
      <c r="A64" s="23">
        <v>63</v>
      </c>
      <c r="B64" s="27">
        <f t="shared" si="0"/>
        <v>98608414101</v>
      </c>
      <c r="C64" s="23" t="s">
        <v>735</v>
      </c>
      <c r="D64" s="28">
        <v>98600000</v>
      </c>
      <c r="E64" s="23" t="s">
        <v>735</v>
      </c>
      <c r="F64" s="28">
        <v>98000000</v>
      </c>
      <c r="G64" s="30" t="s">
        <v>844</v>
      </c>
      <c r="H64" s="28">
        <v>98608000</v>
      </c>
      <c r="I64" s="23" t="s">
        <v>1070</v>
      </c>
      <c r="J64" s="23" t="s">
        <v>1075</v>
      </c>
      <c r="K64" s="23" t="s">
        <v>754</v>
      </c>
      <c r="L64" s="23" t="str">
        <f>VLOOKUP(K64,Матрицы!B:C,2,0)</f>
        <v>село</v>
      </c>
      <c r="M64" s="31" t="s">
        <v>1076</v>
      </c>
      <c r="N64" s="28">
        <v>98608414101</v>
      </c>
      <c r="O64" s="36">
        <v>735</v>
      </c>
      <c r="P64" s="1">
        <v>2</v>
      </c>
      <c r="Q64" s="1" t="s">
        <v>1077</v>
      </c>
      <c r="R64" s="1" t="s">
        <v>1078</v>
      </c>
      <c r="T64" s="28"/>
    </row>
    <row r="65" spans="1:20">
      <c r="A65" s="23">
        <v>64</v>
      </c>
      <c r="B65" s="27">
        <f t="shared" si="0"/>
        <v>98608429101</v>
      </c>
      <c r="C65" s="23" t="s">
        <v>735</v>
      </c>
      <c r="D65" s="28">
        <v>98600000</v>
      </c>
      <c r="E65" s="23" t="s">
        <v>735</v>
      </c>
      <c r="F65" s="28">
        <v>98000000</v>
      </c>
      <c r="G65" s="30" t="s">
        <v>844</v>
      </c>
      <c r="H65" s="28">
        <v>98608000</v>
      </c>
      <c r="I65" s="23" t="s">
        <v>1070</v>
      </c>
      <c r="J65" s="23" t="s">
        <v>1079</v>
      </c>
      <c r="K65" s="23" t="s">
        <v>754</v>
      </c>
      <c r="L65" s="23" t="str">
        <f>VLOOKUP(K65,Матрицы!B:C,2,0)</f>
        <v>село</v>
      </c>
      <c r="M65" s="31" t="s">
        <v>1080</v>
      </c>
      <c r="N65" s="28">
        <v>98608429101</v>
      </c>
      <c r="O65" s="36">
        <v>590</v>
      </c>
      <c r="P65" s="1">
        <v>2</v>
      </c>
      <c r="Q65" s="1" t="s">
        <v>1081</v>
      </c>
      <c r="R65" s="1" t="s">
        <v>1082</v>
      </c>
      <c r="T65" s="28"/>
    </row>
    <row r="66" spans="1:20">
      <c r="A66" s="23">
        <v>65</v>
      </c>
      <c r="B66" s="27">
        <f t="shared" si="0"/>
        <v>98608429106</v>
      </c>
      <c r="C66" s="23" t="s">
        <v>735</v>
      </c>
      <c r="D66" s="28">
        <v>98600000</v>
      </c>
      <c r="E66" s="23" t="s">
        <v>735</v>
      </c>
      <c r="F66" s="28">
        <v>98000000</v>
      </c>
      <c r="G66" s="30" t="s">
        <v>844</v>
      </c>
      <c r="H66" s="28">
        <v>98608000</v>
      </c>
      <c r="I66" s="23" t="s">
        <v>1070</v>
      </c>
      <c r="J66" s="23" t="s">
        <v>1079</v>
      </c>
      <c r="K66" s="23" t="s">
        <v>754</v>
      </c>
      <c r="L66" s="23" t="str">
        <f>VLOOKUP(K66,Матрицы!B:C,2,0)</f>
        <v>село</v>
      </c>
      <c r="M66" s="31" t="s">
        <v>1083</v>
      </c>
      <c r="N66" s="28">
        <v>98608429106</v>
      </c>
      <c r="O66" s="36">
        <v>4</v>
      </c>
      <c r="P66" s="1">
        <v>2</v>
      </c>
      <c r="Q66" s="1" t="s">
        <v>1084</v>
      </c>
      <c r="R66" s="1" t="s">
        <v>1085</v>
      </c>
      <c r="T66" s="28"/>
    </row>
    <row r="67" spans="1:20">
      <c r="A67" s="23">
        <v>66</v>
      </c>
      <c r="B67" s="27">
        <f t="shared" ref="B67:B130" si="2">N67</f>
        <v>98608429111</v>
      </c>
      <c r="C67" s="23" t="s">
        <v>735</v>
      </c>
      <c r="D67" s="28">
        <v>98600000</v>
      </c>
      <c r="E67" s="23" t="s">
        <v>735</v>
      </c>
      <c r="F67" s="28">
        <v>98000000</v>
      </c>
      <c r="G67" s="30" t="s">
        <v>844</v>
      </c>
      <c r="H67" s="28">
        <v>98608000</v>
      </c>
      <c r="I67" s="23" t="s">
        <v>1070</v>
      </c>
      <c r="J67" s="23" t="s">
        <v>1079</v>
      </c>
      <c r="K67" s="23" t="s">
        <v>754</v>
      </c>
      <c r="L67" s="23" t="str">
        <f>VLOOKUP(K67,Матрицы!B:C,2,0)</f>
        <v>село</v>
      </c>
      <c r="M67" s="31" t="s">
        <v>1086</v>
      </c>
      <c r="N67" s="28">
        <v>98608429111</v>
      </c>
      <c r="O67" s="36">
        <v>12</v>
      </c>
      <c r="P67" s="1">
        <v>2</v>
      </c>
      <c r="Q67" s="1" t="s">
        <v>1087</v>
      </c>
      <c r="R67" s="1" t="s">
        <v>1088</v>
      </c>
      <c r="T67" s="28"/>
    </row>
    <row r="68" spans="1:20">
      <c r="A68" s="23">
        <v>67</v>
      </c>
      <c r="B68" s="27">
        <f t="shared" si="2"/>
        <v>98608432101</v>
      </c>
      <c r="C68" s="23" t="s">
        <v>735</v>
      </c>
      <c r="D68" s="28">
        <v>98600000</v>
      </c>
      <c r="E68" s="23" t="s">
        <v>735</v>
      </c>
      <c r="F68" s="28">
        <v>98000000</v>
      </c>
      <c r="G68" s="30" t="s">
        <v>844</v>
      </c>
      <c r="H68" s="28">
        <v>98608000</v>
      </c>
      <c r="I68" s="23" t="s">
        <v>1070</v>
      </c>
      <c r="J68" s="23" t="s">
        <v>981</v>
      </c>
      <c r="K68" s="23" t="s">
        <v>754</v>
      </c>
      <c r="L68" s="23" t="str">
        <f>VLOOKUP(K68,Матрицы!B:C,2,0)</f>
        <v>село</v>
      </c>
      <c r="M68" s="31" t="s">
        <v>458</v>
      </c>
      <c r="N68" s="28">
        <v>98608432101</v>
      </c>
      <c r="O68" s="36">
        <v>6667</v>
      </c>
      <c r="P68" s="1">
        <v>2</v>
      </c>
      <c r="Q68" s="1" t="s">
        <v>1089</v>
      </c>
      <c r="R68" s="1" t="s">
        <v>1090</v>
      </c>
    </row>
    <row r="69" spans="1:20">
      <c r="A69" s="23">
        <v>68</v>
      </c>
      <c r="B69" s="27">
        <f t="shared" si="2"/>
        <v>98608440101</v>
      </c>
      <c r="C69" s="23" t="s">
        <v>735</v>
      </c>
      <c r="D69" s="28">
        <v>98600000</v>
      </c>
      <c r="E69" s="23" t="s">
        <v>735</v>
      </c>
      <c r="F69" s="28">
        <v>98000000</v>
      </c>
      <c r="G69" s="30" t="s">
        <v>844</v>
      </c>
      <c r="H69" s="28">
        <v>98608000</v>
      </c>
      <c r="I69" s="23" t="s">
        <v>1070</v>
      </c>
      <c r="J69" s="23" t="s">
        <v>1091</v>
      </c>
      <c r="K69" s="23" t="s">
        <v>754</v>
      </c>
      <c r="L69" s="23" t="str">
        <f>VLOOKUP(K69,Матрицы!B:C,2,0)</f>
        <v>село</v>
      </c>
      <c r="M69" s="31" t="s">
        <v>1092</v>
      </c>
      <c r="N69" s="28">
        <v>98608440101</v>
      </c>
      <c r="O69" s="36">
        <v>1311</v>
      </c>
      <c r="P69" s="1">
        <v>2</v>
      </c>
      <c r="Q69" s="1" t="s">
        <v>1093</v>
      </c>
      <c r="R69" s="1" t="s">
        <v>1094</v>
      </c>
    </row>
    <row r="70" spans="1:20">
      <c r="A70" s="23">
        <v>69</v>
      </c>
      <c r="B70" s="27">
        <f t="shared" si="2"/>
        <v>98608440106</v>
      </c>
      <c r="C70" s="23" t="s">
        <v>735</v>
      </c>
      <c r="D70" s="28">
        <v>98600000</v>
      </c>
      <c r="E70" s="23" t="s">
        <v>735</v>
      </c>
      <c r="F70" s="28">
        <v>98000000</v>
      </c>
      <c r="G70" s="30" t="s">
        <v>844</v>
      </c>
      <c r="H70" s="28">
        <v>98608000</v>
      </c>
      <c r="I70" s="23" t="s">
        <v>1070</v>
      </c>
      <c r="J70" s="23" t="s">
        <v>1091</v>
      </c>
      <c r="K70" s="23" t="s">
        <v>754</v>
      </c>
      <c r="L70" s="23" t="str">
        <f>VLOOKUP(K70,Матрицы!B:C,2,0)</f>
        <v>село</v>
      </c>
      <c r="M70" s="31" t="s">
        <v>1095</v>
      </c>
      <c r="N70" s="28">
        <v>98608440106</v>
      </c>
      <c r="O70" s="32">
        <v>0</v>
      </c>
      <c r="P70" s="1">
        <v>2</v>
      </c>
      <c r="Q70" s="1" t="s">
        <v>1096</v>
      </c>
      <c r="R70" s="1" t="s">
        <v>1097</v>
      </c>
    </row>
    <row r="71" spans="1:20">
      <c r="A71" s="23">
        <v>70</v>
      </c>
      <c r="B71" s="27">
        <f t="shared" si="2"/>
        <v>98608446101</v>
      </c>
      <c r="C71" s="23" t="s">
        <v>735</v>
      </c>
      <c r="D71" s="28">
        <v>98600000</v>
      </c>
      <c r="E71" s="23" t="s">
        <v>735</v>
      </c>
      <c r="F71" s="28">
        <v>98000000</v>
      </c>
      <c r="G71" s="30" t="s">
        <v>844</v>
      </c>
      <c r="H71" s="28">
        <v>98608000</v>
      </c>
      <c r="I71" s="23" t="s">
        <v>1070</v>
      </c>
      <c r="J71" s="23" t="s">
        <v>1098</v>
      </c>
      <c r="K71" s="23" t="s">
        <v>754</v>
      </c>
      <c r="L71" s="23" t="str">
        <f>VLOOKUP(K71,Матрицы!B:C,2,0)</f>
        <v>село</v>
      </c>
      <c r="M71" s="31" t="s">
        <v>1099</v>
      </c>
      <c r="N71" s="28">
        <v>98608446101</v>
      </c>
      <c r="O71" s="36">
        <v>1413</v>
      </c>
      <c r="P71" s="1">
        <v>2</v>
      </c>
      <c r="Q71" s="1" t="s">
        <v>1100</v>
      </c>
      <c r="R71" s="1" t="s">
        <v>1101</v>
      </c>
    </row>
    <row r="72" spans="1:20">
      <c r="A72" s="23">
        <v>71</v>
      </c>
      <c r="B72" s="27">
        <f t="shared" si="2"/>
        <v>98608452101</v>
      </c>
      <c r="C72" s="23" t="s">
        <v>735</v>
      </c>
      <c r="D72" s="28">
        <v>98600000</v>
      </c>
      <c r="E72" s="23" t="s">
        <v>735</v>
      </c>
      <c r="F72" s="28">
        <v>98000000</v>
      </c>
      <c r="G72" s="30" t="s">
        <v>844</v>
      </c>
      <c r="H72" s="28">
        <v>98608000</v>
      </c>
      <c r="I72" s="23" t="s">
        <v>1070</v>
      </c>
      <c r="J72" s="23" t="s">
        <v>1102</v>
      </c>
      <c r="K72" s="23" t="s">
        <v>754</v>
      </c>
      <c r="L72" s="23" t="str">
        <f>VLOOKUP(K72,Матрицы!B:C,2,0)</f>
        <v>село</v>
      </c>
      <c r="M72" s="31" t="s">
        <v>1103</v>
      </c>
      <c r="N72" s="28">
        <v>98608452101</v>
      </c>
      <c r="O72" s="36">
        <v>596</v>
      </c>
      <c r="P72" s="1">
        <v>2</v>
      </c>
      <c r="Q72" s="1" t="s">
        <v>1104</v>
      </c>
      <c r="R72" s="1" t="s">
        <v>1105</v>
      </c>
    </row>
    <row r="73" spans="1:20">
      <c r="A73" s="23">
        <v>72</v>
      </c>
      <c r="B73" s="27">
        <f t="shared" si="2"/>
        <v>98608452106</v>
      </c>
      <c r="C73" s="23" t="s">
        <v>735</v>
      </c>
      <c r="D73" s="28">
        <v>98600000</v>
      </c>
      <c r="E73" s="23" t="s">
        <v>735</v>
      </c>
      <c r="F73" s="28">
        <v>98000000</v>
      </c>
      <c r="G73" s="30" t="s">
        <v>844</v>
      </c>
      <c r="H73" s="28">
        <v>98608000</v>
      </c>
      <c r="I73" s="23" t="s">
        <v>1070</v>
      </c>
      <c r="J73" s="23" t="s">
        <v>1102</v>
      </c>
      <c r="K73" s="23" t="s">
        <v>754</v>
      </c>
      <c r="L73" s="23" t="str">
        <f>VLOOKUP(K73,Матрицы!B:C,2,0)</f>
        <v>село</v>
      </c>
      <c r="M73" s="31" t="s">
        <v>977</v>
      </c>
      <c r="N73" s="28">
        <v>98608452106</v>
      </c>
      <c r="O73" s="32">
        <v>0</v>
      </c>
      <c r="P73" s="1">
        <v>2</v>
      </c>
      <c r="Q73" s="1" t="s">
        <v>1106</v>
      </c>
      <c r="R73" s="1" t="s">
        <v>1107</v>
      </c>
    </row>
    <row r="74" spans="1:20">
      <c r="A74" s="23">
        <v>73</v>
      </c>
      <c r="B74" s="27">
        <f t="shared" si="2"/>
        <v>98608455101</v>
      </c>
      <c r="C74" s="23" t="s">
        <v>735</v>
      </c>
      <c r="D74" s="28">
        <v>98600000</v>
      </c>
      <c r="E74" s="23" t="s">
        <v>735</v>
      </c>
      <c r="F74" s="28">
        <v>98000000</v>
      </c>
      <c r="G74" s="30" t="s">
        <v>844</v>
      </c>
      <c r="H74" s="28">
        <v>98608000</v>
      </c>
      <c r="I74" s="23" t="s">
        <v>1070</v>
      </c>
      <c r="J74" s="23" t="s">
        <v>1108</v>
      </c>
      <c r="K74" s="23" t="s">
        <v>754</v>
      </c>
      <c r="L74" s="23" t="str">
        <f>VLOOKUP(K74,Матрицы!B:C,2,0)</f>
        <v>село</v>
      </c>
      <c r="M74" s="31" t="s">
        <v>1109</v>
      </c>
      <c r="N74" s="28">
        <v>98608455101</v>
      </c>
      <c r="O74" s="36">
        <v>407</v>
      </c>
      <c r="P74" s="1">
        <v>2</v>
      </c>
      <c r="Q74" s="1" t="s">
        <v>1110</v>
      </c>
      <c r="R74" s="1" t="s">
        <v>1111</v>
      </c>
    </row>
    <row r="75" spans="1:20">
      <c r="A75" s="23">
        <v>74</v>
      </c>
      <c r="B75" s="27">
        <f t="shared" si="2"/>
        <v>98608458101</v>
      </c>
      <c r="C75" s="23" t="s">
        <v>735</v>
      </c>
      <c r="D75" s="28">
        <v>98600000</v>
      </c>
      <c r="E75" s="23" t="s">
        <v>735</v>
      </c>
      <c r="F75" s="28">
        <v>98000000</v>
      </c>
      <c r="G75" s="30" t="s">
        <v>844</v>
      </c>
      <c r="H75" s="28">
        <v>98608000</v>
      </c>
      <c r="I75" s="23" t="s">
        <v>1070</v>
      </c>
      <c r="J75" s="23" t="s">
        <v>1112</v>
      </c>
      <c r="K75" s="23" t="s">
        <v>754</v>
      </c>
      <c r="L75" s="23" t="str">
        <f>VLOOKUP(K75,Матрицы!B:C,2,0)</f>
        <v>село</v>
      </c>
      <c r="M75" s="31" t="s">
        <v>1113</v>
      </c>
      <c r="N75" s="28">
        <v>98608458101</v>
      </c>
      <c r="O75" s="36">
        <v>539</v>
      </c>
      <c r="P75" s="1">
        <v>2</v>
      </c>
      <c r="Q75" s="1" t="s">
        <v>1114</v>
      </c>
      <c r="R75" s="1" t="s">
        <v>1115</v>
      </c>
    </row>
    <row r="76" spans="1:20">
      <c r="A76" s="23">
        <v>75</v>
      </c>
      <c r="B76" s="27">
        <f t="shared" si="2"/>
        <v>98608460101</v>
      </c>
      <c r="C76" s="23" t="s">
        <v>735</v>
      </c>
      <c r="D76" s="28">
        <v>98600000</v>
      </c>
      <c r="E76" s="23" t="s">
        <v>735</v>
      </c>
      <c r="F76" s="28">
        <v>98000000</v>
      </c>
      <c r="G76" s="30" t="s">
        <v>844</v>
      </c>
      <c r="H76" s="28">
        <v>98608000</v>
      </c>
      <c r="I76" s="23" t="s">
        <v>1070</v>
      </c>
      <c r="J76" s="23" t="s">
        <v>1116</v>
      </c>
      <c r="K76" s="23" t="s">
        <v>754</v>
      </c>
      <c r="L76" s="23" t="str">
        <f>VLOOKUP(K76,Матрицы!B:C,2,0)</f>
        <v>село</v>
      </c>
      <c r="M76" s="31" t="s">
        <v>1117</v>
      </c>
      <c r="N76" s="28">
        <v>98608460101</v>
      </c>
      <c r="O76" s="36">
        <v>827</v>
      </c>
      <c r="P76" s="1">
        <v>2</v>
      </c>
      <c r="Q76" s="1" t="s">
        <v>1118</v>
      </c>
      <c r="R76" s="1" t="s">
        <v>1119</v>
      </c>
    </row>
    <row r="77" spans="1:20">
      <c r="A77" s="23">
        <v>76</v>
      </c>
      <c r="B77" s="27">
        <f t="shared" si="2"/>
        <v>98608465101</v>
      </c>
      <c r="C77" s="23" t="s">
        <v>735</v>
      </c>
      <c r="D77" s="28">
        <v>98600000</v>
      </c>
      <c r="E77" s="23" t="s">
        <v>735</v>
      </c>
      <c r="F77" s="28">
        <v>98000000</v>
      </c>
      <c r="G77" s="30" t="s">
        <v>844</v>
      </c>
      <c r="H77" s="28">
        <v>98608000</v>
      </c>
      <c r="I77" s="23" t="s">
        <v>1070</v>
      </c>
      <c r="J77" s="23" t="s">
        <v>1120</v>
      </c>
      <c r="K77" s="23" t="s">
        <v>754</v>
      </c>
      <c r="L77" s="23" t="str">
        <f>VLOOKUP(K77,Матрицы!B:C,2,0)</f>
        <v>село</v>
      </c>
      <c r="M77" s="31" t="s">
        <v>1121</v>
      </c>
      <c r="N77" s="28">
        <v>98608465101</v>
      </c>
      <c r="O77" s="36">
        <v>464</v>
      </c>
      <c r="P77" s="1">
        <v>2</v>
      </c>
      <c r="Q77" s="1" t="s">
        <v>1122</v>
      </c>
      <c r="R77" s="1" t="s">
        <v>1123</v>
      </c>
    </row>
    <row r="78" spans="1:20">
      <c r="A78" s="23">
        <v>77</v>
      </c>
      <c r="B78" s="27">
        <f t="shared" si="2"/>
        <v>98608465106</v>
      </c>
      <c r="C78" s="23" t="s">
        <v>735</v>
      </c>
      <c r="D78" s="28">
        <v>98600000</v>
      </c>
      <c r="E78" s="23" t="s">
        <v>735</v>
      </c>
      <c r="F78" s="28">
        <v>98000000</v>
      </c>
      <c r="G78" s="30" t="s">
        <v>844</v>
      </c>
      <c r="H78" s="28">
        <v>98608000</v>
      </c>
      <c r="I78" s="23" t="s">
        <v>1070</v>
      </c>
      <c r="J78" s="23" t="s">
        <v>1120</v>
      </c>
      <c r="K78" s="23" t="s">
        <v>754</v>
      </c>
      <c r="L78" s="23" t="str">
        <f>VLOOKUP(K78,Матрицы!B:C,2,0)</f>
        <v>село</v>
      </c>
      <c r="M78" s="31" t="s">
        <v>1124</v>
      </c>
      <c r="N78" s="28">
        <v>98608465106</v>
      </c>
      <c r="O78" s="36">
        <v>259</v>
      </c>
      <c r="P78" s="1">
        <v>2</v>
      </c>
      <c r="Q78" s="1" t="s">
        <v>1125</v>
      </c>
      <c r="R78" s="1" t="s">
        <v>1126</v>
      </c>
    </row>
    <row r="79" spans="1:20">
      <c r="A79" s="23">
        <v>78</v>
      </c>
      <c r="B79" s="27">
        <f t="shared" si="2"/>
        <v>98608470101</v>
      </c>
      <c r="C79" s="23" t="s">
        <v>735</v>
      </c>
      <c r="D79" s="28">
        <v>98600000</v>
      </c>
      <c r="E79" s="23" t="s">
        <v>735</v>
      </c>
      <c r="F79" s="28">
        <v>98000000</v>
      </c>
      <c r="G79" s="30" t="s">
        <v>844</v>
      </c>
      <c r="H79" s="28">
        <v>98608000</v>
      </c>
      <c r="I79" s="23" t="s">
        <v>1070</v>
      </c>
      <c r="J79" s="23" t="s">
        <v>1127</v>
      </c>
      <c r="K79" s="23" t="s">
        <v>754</v>
      </c>
      <c r="L79" s="23" t="str">
        <f>VLOOKUP(K79,Матрицы!B:C,2,0)</f>
        <v>село</v>
      </c>
      <c r="M79" s="31" t="s">
        <v>1128</v>
      </c>
      <c r="N79" s="28">
        <v>98608470101</v>
      </c>
      <c r="O79" s="36">
        <v>487</v>
      </c>
      <c r="P79" s="1">
        <v>2</v>
      </c>
      <c r="Q79" s="1" t="s">
        <v>1129</v>
      </c>
      <c r="R79" s="1" t="s">
        <v>1130</v>
      </c>
    </row>
    <row r="80" spans="1:20">
      <c r="A80" s="23">
        <v>79</v>
      </c>
      <c r="B80" s="27">
        <f t="shared" si="2"/>
        <v>98608472101</v>
      </c>
      <c r="C80" s="23" t="s">
        <v>735</v>
      </c>
      <c r="D80" s="28">
        <v>98600000</v>
      </c>
      <c r="E80" s="23" t="s">
        <v>735</v>
      </c>
      <c r="F80" s="28">
        <v>98000000</v>
      </c>
      <c r="G80" s="30" t="s">
        <v>844</v>
      </c>
      <c r="H80" s="28">
        <v>98608000</v>
      </c>
      <c r="I80" s="23" t="s">
        <v>1070</v>
      </c>
      <c r="J80" s="23" t="s">
        <v>1131</v>
      </c>
      <c r="K80" s="23" t="s">
        <v>754</v>
      </c>
      <c r="L80" s="23" t="str">
        <f>VLOOKUP(K80,Матрицы!B:C,2,0)</f>
        <v>село</v>
      </c>
      <c r="M80" s="31" t="s">
        <v>1132</v>
      </c>
      <c r="N80" s="28">
        <v>98608472101</v>
      </c>
      <c r="O80" s="36">
        <v>969</v>
      </c>
      <c r="P80" s="1">
        <v>2</v>
      </c>
      <c r="Q80" s="1" t="s">
        <v>1133</v>
      </c>
      <c r="R80" s="1" t="s">
        <v>1134</v>
      </c>
    </row>
    <row r="81" spans="1:18">
      <c r="A81" s="23">
        <v>80</v>
      </c>
      <c r="B81" s="27">
        <f t="shared" si="2"/>
        <v>98608472106</v>
      </c>
      <c r="C81" s="23" t="s">
        <v>735</v>
      </c>
      <c r="D81" s="28">
        <v>98600000</v>
      </c>
      <c r="E81" s="23" t="s">
        <v>735</v>
      </c>
      <c r="F81" s="28">
        <v>98000000</v>
      </c>
      <c r="G81" s="30" t="s">
        <v>844</v>
      </c>
      <c r="H81" s="28">
        <v>98608000</v>
      </c>
      <c r="I81" s="23" t="s">
        <v>1070</v>
      </c>
      <c r="J81" s="23" t="s">
        <v>1131</v>
      </c>
      <c r="K81" s="23" t="s">
        <v>754</v>
      </c>
      <c r="L81" s="23" t="str">
        <f>VLOOKUP(K81,Матрицы!B:C,2,0)</f>
        <v>село</v>
      </c>
      <c r="M81" s="31" t="s">
        <v>1135</v>
      </c>
      <c r="N81" s="28">
        <v>98608472106</v>
      </c>
      <c r="O81" s="36">
        <v>243</v>
      </c>
      <c r="P81" s="1">
        <v>2</v>
      </c>
      <c r="Q81" s="1" t="s">
        <v>1096</v>
      </c>
      <c r="R81" s="1" t="s">
        <v>1136</v>
      </c>
    </row>
    <row r="82" spans="1:18">
      <c r="A82" s="23">
        <v>81</v>
      </c>
      <c r="B82" s="27">
        <f t="shared" si="2"/>
        <v>98608481101</v>
      </c>
      <c r="C82" s="23" t="s">
        <v>735</v>
      </c>
      <c r="D82" s="28">
        <v>98600000</v>
      </c>
      <c r="E82" s="23" t="s">
        <v>735</v>
      </c>
      <c r="F82" s="28">
        <v>98000000</v>
      </c>
      <c r="G82" s="30" t="s">
        <v>844</v>
      </c>
      <c r="H82" s="28">
        <v>98608000</v>
      </c>
      <c r="I82" s="23" t="s">
        <v>1070</v>
      </c>
      <c r="J82" s="23" t="s">
        <v>1137</v>
      </c>
      <c r="K82" s="23" t="s">
        <v>754</v>
      </c>
      <c r="L82" s="23" t="str">
        <f>VLOOKUP(K82,Матрицы!B:C,2,0)</f>
        <v>село</v>
      </c>
      <c r="M82" s="31" t="s">
        <v>1138</v>
      </c>
      <c r="N82" s="28">
        <v>98608481101</v>
      </c>
      <c r="O82" s="36">
        <v>599</v>
      </c>
      <c r="P82" s="1">
        <v>2</v>
      </c>
      <c r="Q82" s="1" t="s">
        <v>1139</v>
      </c>
      <c r="R82" s="1" t="s">
        <v>1140</v>
      </c>
    </row>
    <row r="83" spans="1:18">
      <c r="A83" s="23">
        <v>82</v>
      </c>
      <c r="B83" s="27">
        <f t="shared" si="2"/>
        <v>98608481106</v>
      </c>
      <c r="C83" s="23" t="s">
        <v>735</v>
      </c>
      <c r="D83" s="28">
        <v>98600000</v>
      </c>
      <c r="E83" s="23" t="s">
        <v>735</v>
      </c>
      <c r="F83" s="28">
        <v>98000000</v>
      </c>
      <c r="G83" s="30" t="s">
        <v>844</v>
      </c>
      <c r="H83" s="28">
        <v>98608000</v>
      </c>
      <c r="I83" s="23" t="s">
        <v>1070</v>
      </c>
      <c r="J83" s="23" t="s">
        <v>1137</v>
      </c>
      <c r="K83" s="23" t="s">
        <v>754</v>
      </c>
      <c r="L83" s="23" t="str">
        <f>VLOOKUP(K83,Матрицы!B:C,2,0)</f>
        <v>село</v>
      </c>
      <c r="M83" s="31" t="s">
        <v>1141</v>
      </c>
      <c r="N83" s="28">
        <v>98608481106</v>
      </c>
      <c r="O83" s="36">
        <v>6</v>
      </c>
      <c r="P83" s="1">
        <v>2</v>
      </c>
      <c r="Q83" s="1" t="s">
        <v>1142</v>
      </c>
      <c r="R83" s="1" t="s">
        <v>1143</v>
      </c>
    </row>
    <row r="84" spans="1:18" ht="30">
      <c r="A84" s="23">
        <v>83</v>
      </c>
      <c r="B84" s="27">
        <f t="shared" si="2"/>
        <v>98610411101</v>
      </c>
      <c r="C84" s="23" t="s">
        <v>735</v>
      </c>
      <c r="D84" s="28">
        <v>98600000</v>
      </c>
      <c r="E84" s="23" t="s">
        <v>735</v>
      </c>
      <c r="F84" s="28">
        <v>98000000</v>
      </c>
      <c r="G84" s="30" t="s">
        <v>853</v>
      </c>
      <c r="H84" s="28">
        <v>98610000</v>
      </c>
      <c r="I84" s="30" t="s">
        <v>1144</v>
      </c>
      <c r="J84" s="23" t="s">
        <v>1145</v>
      </c>
      <c r="K84" s="23" t="s">
        <v>754</v>
      </c>
      <c r="L84" s="23" t="str">
        <f>VLOOKUP(K84,Матрицы!B:C,2,0)</f>
        <v>село</v>
      </c>
      <c r="M84" s="31" t="s">
        <v>567</v>
      </c>
      <c r="N84" s="28">
        <v>98610411101</v>
      </c>
      <c r="O84" s="36">
        <v>2345</v>
      </c>
      <c r="P84" s="1">
        <v>2</v>
      </c>
      <c r="Q84" s="1" t="s">
        <v>1146</v>
      </c>
      <c r="R84" s="1" t="s">
        <v>1147</v>
      </c>
    </row>
    <row r="85" spans="1:18" ht="30">
      <c r="A85" s="23">
        <v>84</v>
      </c>
      <c r="B85" s="27">
        <f t="shared" si="2"/>
        <v>98610411106</v>
      </c>
      <c r="C85" s="23" t="s">
        <v>735</v>
      </c>
      <c r="D85" s="28">
        <v>98600000</v>
      </c>
      <c r="E85" s="23" t="s">
        <v>735</v>
      </c>
      <c r="F85" s="28">
        <v>98000000</v>
      </c>
      <c r="G85" s="30" t="s">
        <v>853</v>
      </c>
      <c r="H85" s="28">
        <v>98610000</v>
      </c>
      <c r="I85" s="30" t="s">
        <v>1144</v>
      </c>
      <c r="J85" s="23" t="s">
        <v>1145</v>
      </c>
      <c r="K85" s="23" t="s">
        <v>754</v>
      </c>
      <c r="L85" s="23" t="str">
        <f>VLOOKUP(K85,Матрицы!B:C,2,0)</f>
        <v>село</v>
      </c>
      <c r="M85" s="31" t="s">
        <v>1148</v>
      </c>
      <c r="N85" s="28">
        <v>98610411106</v>
      </c>
      <c r="O85" s="32">
        <v>0</v>
      </c>
      <c r="P85" s="1">
        <v>2</v>
      </c>
      <c r="Q85" s="1" t="s">
        <v>1149</v>
      </c>
      <c r="R85" s="1" t="s">
        <v>1150</v>
      </c>
    </row>
    <row r="86" spans="1:18" ht="30">
      <c r="A86" s="23">
        <v>85</v>
      </c>
      <c r="B86" s="27">
        <f t="shared" si="2"/>
        <v>98610424101</v>
      </c>
      <c r="C86" s="23" t="s">
        <v>735</v>
      </c>
      <c r="D86" s="28">
        <v>98600000</v>
      </c>
      <c r="E86" s="23" t="s">
        <v>735</v>
      </c>
      <c r="F86" s="28">
        <v>98000000</v>
      </c>
      <c r="G86" s="30" t="s">
        <v>853</v>
      </c>
      <c r="H86" s="28">
        <v>98610000</v>
      </c>
      <c r="I86" s="30" t="s">
        <v>1144</v>
      </c>
      <c r="J86" s="23" t="s">
        <v>1151</v>
      </c>
      <c r="K86" s="23" t="s">
        <v>754</v>
      </c>
      <c r="L86" s="23" t="str">
        <f>VLOOKUP(K86,Матрицы!B:C,2,0)</f>
        <v>село</v>
      </c>
      <c r="M86" s="31" t="s">
        <v>1152</v>
      </c>
      <c r="N86" s="28">
        <v>98610424101</v>
      </c>
      <c r="O86" s="36">
        <v>1179</v>
      </c>
      <c r="P86" s="1">
        <v>2</v>
      </c>
      <c r="Q86" s="1" t="s">
        <v>1153</v>
      </c>
      <c r="R86" s="1" t="s">
        <v>1154</v>
      </c>
    </row>
    <row r="87" spans="1:18">
      <c r="A87" s="23">
        <v>86</v>
      </c>
      <c r="B87" s="27">
        <f t="shared" si="2"/>
        <v>98612151051</v>
      </c>
      <c r="C87" s="23" t="s">
        <v>735</v>
      </c>
      <c r="D87" s="28">
        <v>98600000</v>
      </c>
      <c r="E87" s="23" t="s">
        <v>735</v>
      </c>
      <c r="F87" s="28">
        <v>98000000</v>
      </c>
      <c r="G87" s="30" t="s">
        <v>862</v>
      </c>
      <c r="H87" s="28">
        <v>98612000</v>
      </c>
      <c r="I87" s="30" t="s">
        <v>1155</v>
      </c>
      <c r="J87" s="23" t="s">
        <v>1156</v>
      </c>
      <c r="K87" s="23" t="s">
        <v>819</v>
      </c>
      <c r="L87" s="23" t="str">
        <f>VLOOKUP(K87,Матрицы!B:C,2,0)</f>
        <v>поселок</v>
      </c>
      <c r="M87" s="31" t="s">
        <v>1157</v>
      </c>
      <c r="N87" s="28">
        <v>98612151051</v>
      </c>
      <c r="O87" s="36">
        <v>4440</v>
      </c>
      <c r="P87" s="1">
        <v>1</v>
      </c>
      <c r="Q87" s="1" t="s">
        <v>1158</v>
      </c>
      <c r="R87" s="1" t="s">
        <v>1159</v>
      </c>
    </row>
    <row r="88" spans="1:18">
      <c r="A88" s="23">
        <v>87</v>
      </c>
      <c r="B88" s="27">
        <f t="shared" si="2"/>
        <v>98612407101</v>
      </c>
      <c r="C88" s="23" t="s">
        <v>735</v>
      </c>
      <c r="D88" s="28">
        <v>98600000</v>
      </c>
      <c r="E88" s="23" t="s">
        <v>735</v>
      </c>
      <c r="F88" s="28">
        <v>98000000</v>
      </c>
      <c r="G88" s="30" t="s">
        <v>862</v>
      </c>
      <c r="H88" s="28">
        <v>98612000</v>
      </c>
      <c r="I88" s="23" t="s">
        <v>1160</v>
      </c>
      <c r="J88" s="23" t="s">
        <v>1161</v>
      </c>
      <c r="K88" s="23" t="s">
        <v>754</v>
      </c>
      <c r="L88" s="23" t="str">
        <f>VLOOKUP(K88,Матрицы!B:C,2,0)</f>
        <v>село</v>
      </c>
      <c r="M88" s="31" t="s">
        <v>1162</v>
      </c>
      <c r="N88" s="28">
        <v>98612407101</v>
      </c>
      <c r="O88" s="36">
        <v>525</v>
      </c>
      <c r="P88" s="1">
        <v>2</v>
      </c>
      <c r="Q88" s="1" t="s">
        <v>1163</v>
      </c>
      <c r="R88" s="1" t="s">
        <v>1164</v>
      </c>
    </row>
    <row r="89" spans="1:18">
      <c r="A89" s="23">
        <v>88</v>
      </c>
      <c r="B89" s="27">
        <f t="shared" si="2"/>
        <v>98612412101</v>
      </c>
      <c r="C89" s="23" t="s">
        <v>735</v>
      </c>
      <c r="D89" s="28">
        <v>98600000</v>
      </c>
      <c r="E89" s="23" t="s">
        <v>735</v>
      </c>
      <c r="F89" s="28">
        <v>98000000</v>
      </c>
      <c r="G89" s="30" t="s">
        <v>862</v>
      </c>
      <c r="H89" s="28">
        <v>98612000</v>
      </c>
      <c r="I89" s="23" t="s">
        <v>1160</v>
      </c>
      <c r="J89" s="23" t="s">
        <v>1165</v>
      </c>
      <c r="K89" s="23" t="s">
        <v>754</v>
      </c>
      <c r="L89" s="23" t="str">
        <f>VLOOKUP(K89,Матрицы!B:C,2,0)</f>
        <v>село</v>
      </c>
      <c r="M89" s="31" t="s">
        <v>222</v>
      </c>
      <c r="N89" s="28">
        <v>98612412101</v>
      </c>
      <c r="O89" s="36">
        <v>1072</v>
      </c>
      <c r="P89" s="1">
        <v>2</v>
      </c>
      <c r="Q89" s="1" t="s">
        <v>1166</v>
      </c>
      <c r="R89" s="1" t="s">
        <v>1167</v>
      </c>
    </row>
    <row r="90" spans="1:18">
      <c r="A90" s="23">
        <v>89</v>
      </c>
      <c r="B90" s="27">
        <f t="shared" si="2"/>
        <v>98612412106</v>
      </c>
      <c r="C90" s="23" t="s">
        <v>735</v>
      </c>
      <c r="D90" s="28">
        <v>98600000</v>
      </c>
      <c r="E90" s="23" t="s">
        <v>735</v>
      </c>
      <c r="F90" s="28">
        <v>98000000</v>
      </c>
      <c r="G90" s="30" t="s">
        <v>862</v>
      </c>
      <c r="H90" s="28">
        <v>98612000</v>
      </c>
      <c r="I90" s="23" t="s">
        <v>1160</v>
      </c>
      <c r="J90" s="23" t="s">
        <v>1165</v>
      </c>
      <c r="K90" s="23" t="s">
        <v>754</v>
      </c>
      <c r="L90" s="23" t="str">
        <f>VLOOKUP(K90,Матрицы!B:C,2,0)</f>
        <v>село</v>
      </c>
      <c r="M90" s="31" t="s">
        <v>1168</v>
      </c>
      <c r="N90" s="28">
        <v>98612412106</v>
      </c>
      <c r="O90" s="32">
        <v>0</v>
      </c>
      <c r="P90" s="1">
        <v>2</v>
      </c>
      <c r="Q90" s="1" t="s">
        <v>1169</v>
      </c>
      <c r="R90" s="1" t="s">
        <v>1170</v>
      </c>
    </row>
    <row r="91" spans="1:18">
      <c r="A91" s="23">
        <v>90</v>
      </c>
      <c r="B91" s="27">
        <f t="shared" si="2"/>
        <v>98612413101</v>
      </c>
      <c r="C91" s="23" t="s">
        <v>735</v>
      </c>
      <c r="D91" s="28">
        <v>98600000</v>
      </c>
      <c r="E91" s="23" t="s">
        <v>735</v>
      </c>
      <c r="F91" s="28">
        <v>98000000</v>
      </c>
      <c r="G91" s="30" t="s">
        <v>862</v>
      </c>
      <c r="H91" s="28">
        <v>98612000</v>
      </c>
      <c r="I91" s="23" t="s">
        <v>1160</v>
      </c>
      <c r="J91" s="23" t="s">
        <v>1171</v>
      </c>
      <c r="K91" s="23" t="s">
        <v>754</v>
      </c>
      <c r="L91" s="23" t="str">
        <f>VLOOKUP(K91,Матрицы!B:C,2,0)</f>
        <v>село</v>
      </c>
      <c r="M91" s="31" t="s">
        <v>1172</v>
      </c>
      <c r="N91" s="28">
        <v>98612413101</v>
      </c>
      <c r="O91" s="36">
        <v>513</v>
      </c>
      <c r="P91" s="1">
        <v>2</v>
      </c>
      <c r="Q91" s="1" t="s">
        <v>1173</v>
      </c>
      <c r="R91" s="1" t="s">
        <v>1174</v>
      </c>
    </row>
    <row r="92" spans="1:18">
      <c r="A92" s="23">
        <v>91</v>
      </c>
      <c r="B92" s="27">
        <f t="shared" si="2"/>
        <v>98612427101</v>
      </c>
      <c r="C92" s="23" t="s">
        <v>735</v>
      </c>
      <c r="D92" s="28">
        <v>98600000</v>
      </c>
      <c r="E92" s="23" t="s">
        <v>735</v>
      </c>
      <c r="F92" s="28">
        <v>98000000</v>
      </c>
      <c r="G92" s="30" t="s">
        <v>862</v>
      </c>
      <c r="H92" s="28">
        <v>98612000</v>
      </c>
      <c r="I92" s="23" t="s">
        <v>1160</v>
      </c>
      <c r="J92" s="23" t="s">
        <v>1175</v>
      </c>
      <c r="K92" s="23" t="s">
        <v>754</v>
      </c>
      <c r="L92" s="23" t="str">
        <f>VLOOKUP(K92,Матрицы!B:C,2,0)</f>
        <v>село</v>
      </c>
      <c r="M92" s="31" t="s">
        <v>1176</v>
      </c>
      <c r="N92" s="28">
        <v>98612427101</v>
      </c>
      <c r="O92" s="36">
        <v>280</v>
      </c>
      <c r="P92" s="1">
        <v>2</v>
      </c>
      <c r="Q92" s="1" t="s">
        <v>1177</v>
      </c>
      <c r="R92" s="1" t="s">
        <v>1178</v>
      </c>
    </row>
    <row r="93" spans="1:18">
      <c r="A93" s="23">
        <v>92</v>
      </c>
      <c r="B93" s="27">
        <f t="shared" si="2"/>
        <v>98612445101</v>
      </c>
      <c r="C93" s="23" t="s">
        <v>735</v>
      </c>
      <c r="D93" s="28">
        <v>98600000</v>
      </c>
      <c r="E93" s="23" t="s">
        <v>735</v>
      </c>
      <c r="F93" s="28">
        <v>98000000</v>
      </c>
      <c r="G93" s="30" t="s">
        <v>862</v>
      </c>
      <c r="H93" s="28">
        <v>98612000</v>
      </c>
      <c r="I93" s="23" t="s">
        <v>1160</v>
      </c>
      <c r="J93" s="23" t="s">
        <v>1179</v>
      </c>
      <c r="K93" s="23" t="s">
        <v>754</v>
      </c>
      <c r="L93" s="23" t="str">
        <f>VLOOKUP(K93,Матрицы!B:C,2,0)</f>
        <v>село</v>
      </c>
      <c r="M93" s="31" t="s">
        <v>582</v>
      </c>
      <c r="N93" s="28">
        <v>98612445101</v>
      </c>
      <c r="O93" s="36">
        <v>769</v>
      </c>
      <c r="P93" s="1">
        <v>2</v>
      </c>
      <c r="Q93" s="1" t="s">
        <v>1180</v>
      </c>
      <c r="R93" s="1" t="s">
        <v>1181</v>
      </c>
    </row>
    <row r="94" spans="1:18">
      <c r="A94" s="23">
        <v>93</v>
      </c>
      <c r="B94" s="27">
        <f t="shared" si="2"/>
        <v>98612445106</v>
      </c>
      <c r="C94" s="23" t="s">
        <v>735</v>
      </c>
      <c r="D94" s="28">
        <v>98600000</v>
      </c>
      <c r="E94" s="23" t="s">
        <v>735</v>
      </c>
      <c r="F94" s="28">
        <v>98000000</v>
      </c>
      <c r="G94" s="30" t="s">
        <v>862</v>
      </c>
      <c r="H94" s="28">
        <v>98612000</v>
      </c>
      <c r="I94" s="23" t="s">
        <v>1160</v>
      </c>
      <c r="J94" s="23" t="s">
        <v>1179</v>
      </c>
      <c r="K94" s="23" t="s">
        <v>754</v>
      </c>
      <c r="L94" s="23" t="str">
        <f>VLOOKUP(K94,Матрицы!B:C,2,0)</f>
        <v>село</v>
      </c>
      <c r="M94" s="31" t="s">
        <v>1182</v>
      </c>
      <c r="N94" s="28">
        <v>98612445106</v>
      </c>
      <c r="O94" s="36">
        <v>6</v>
      </c>
      <c r="P94" s="1">
        <v>2</v>
      </c>
      <c r="Q94" s="1" t="s">
        <v>1183</v>
      </c>
      <c r="R94" s="1" t="s">
        <v>1184</v>
      </c>
    </row>
    <row r="95" spans="1:18">
      <c r="A95" s="23">
        <v>94</v>
      </c>
      <c r="B95" s="27">
        <f t="shared" si="2"/>
        <v>98612445111</v>
      </c>
      <c r="C95" s="23" t="s">
        <v>735</v>
      </c>
      <c r="D95" s="28">
        <v>98600000</v>
      </c>
      <c r="E95" s="23" t="s">
        <v>735</v>
      </c>
      <c r="F95" s="28">
        <v>98000000</v>
      </c>
      <c r="G95" s="30" t="s">
        <v>862</v>
      </c>
      <c r="H95" s="28">
        <v>98612000</v>
      </c>
      <c r="I95" s="23" t="s">
        <v>1160</v>
      </c>
      <c r="J95" s="23" t="s">
        <v>1179</v>
      </c>
      <c r="K95" s="23" t="s">
        <v>754</v>
      </c>
      <c r="L95" s="23" t="str">
        <f>VLOOKUP(K95,Матрицы!B:C,2,0)</f>
        <v>село</v>
      </c>
      <c r="M95" s="31" t="s">
        <v>1185</v>
      </c>
      <c r="N95" s="28">
        <v>98612445111</v>
      </c>
      <c r="O95" s="36">
        <v>11</v>
      </c>
      <c r="P95" s="1">
        <v>2</v>
      </c>
      <c r="Q95" s="1" t="s">
        <v>1186</v>
      </c>
      <c r="R95" s="1" t="s">
        <v>1187</v>
      </c>
    </row>
    <row r="96" spans="1:18">
      <c r="A96" s="23">
        <v>95</v>
      </c>
      <c r="B96" s="27">
        <f t="shared" si="2"/>
        <v>98612456101</v>
      </c>
      <c r="C96" s="23" t="s">
        <v>735</v>
      </c>
      <c r="D96" s="28">
        <v>98600000</v>
      </c>
      <c r="E96" s="23" t="s">
        <v>735</v>
      </c>
      <c r="F96" s="28">
        <v>98000000</v>
      </c>
      <c r="G96" s="30" t="s">
        <v>862</v>
      </c>
      <c r="H96" s="28">
        <v>98612000</v>
      </c>
      <c r="I96" s="23" t="s">
        <v>1160</v>
      </c>
      <c r="J96" s="23" t="s">
        <v>1188</v>
      </c>
      <c r="K96" s="23" t="s">
        <v>754</v>
      </c>
      <c r="L96" s="23" t="str">
        <f>VLOOKUP(K96,Матрицы!B:C,2,0)</f>
        <v>село</v>
      </c>
      <c r="M96" s="31" t="s">
        <v>1189</v>
      </c>
      <c r="N96" s="28">
        <v>98612456101</v>
      </c>
      <c r="O96" s="36">
        <v>473</v>
      </c>
      <c r="P96" s="1">
        <v>2</v>
      </c>
      <c r="Q96" s="1" t="s">
        <v>1190</v>
      </c>
      <c r="R96" s="1" t="s">
        <v>1191</v>
      </c>
    </row>
    <row r="97" spans="1:18" ht="15.75" customHeight="1">
      <c r="A97" s="23">
        <v>96</v>
      </c>
      <c r="B97" s="27">
        <f t="shared" si="2"/>
        <v>98614402101</v>
      </c>
      <c r="C97" s="23" t="s">
        <v>735</v>
      </c>
      <c r="D97" s="28">
        <v>98600000</v>
      </c>
      <c r="E97" s="23" t="s">
        <v>735</v>
      </c>
      <c r="F97" s="28">
        <v>98000000</v>
      </c>
      <c r="G97" s="30" t="s">
        <v>870</v>
      </c>
      <c r="H97" s="28">
        <v>98614000</v>
      </c>
      <c r="I97" s="23" t="s">
        <v>1192</v>
      </c>
      <c r="J97" s="23" t="s">
        <v>1193</v>
      </c>
      <c r="K97" s="23" t="s">
        <v>754</v>
      </c>
      <c r="L97" s="23" t="str">
        <f>VLOOKUP(K97,Матрицы!B:C,2,0)</f>
        <v>село</v>
      </c>
      <c r="M97" s="31" t="s">
        <v>1194</v>
      </c>
      <c r="N97" s="28">
        <v>98614402101</v>
      </c>
      <c r="O97" s="36">
        <v>300</v>
      </c>
      <c r="P97" s="1">
        <v>2</v>
      </c>
      <c r="Q97" s="1" t="s">
        <v>1195</v>
      </c>
      <c r="R97" s="1" t="s">
        <v>1196</v>
      </c>
    </row>
    <row r="98" spans="1:18" ht="15" customHeight="1">
      <c r="A98" s="23">
        <v>97</v>
      </c>
      <c r="B98" s="27">
        <f t="shared" si="2"/>
        <v>98614405101</v>
      </c>
      <c r="C98" s="23" t="s">
        <v>735</v>
      </c>
      <c r="D98" s="28">
        <v>98600000</v>
      </c>
      <c r="E98" s="23" t="s">
        <v>735</v>
      </c>
      <c r="F98" s="28">
        <v>98000000</v>
      </c>
      <c r="G98" s="30" t="s">
        <v>870</v>
      </c>
      <c r="H98" s="28">
        <v>98614000</v>
      </c>
      <c r="I98" s="23" t="s">
        <v>1192</v>
      </c>
      <c r="J98" s="23" t="s">
        <v>1197</v>
      </c>
      <c r="K98" s="23" t="s">
        <v>754</v>
      </c>
      <c r="L98" s="23" t="str">
        <f>VLOOKUP(K98,Матрицы!B:C,2,0)</f>
        <v>село</v>
      </c>
      <c r="M98" s="31" t="s">
        <v>1198</v>
      </c>
      <c r="N98" s="28">
        <v>98614405101</v>
      </c>
      <c r="O98" s="36">
        <v>687</v>
      </c>
      <c r="P98" s="1">
        <v>2</v>
      </c>
      <c r="Q98" s="1" t="s">
        <v>1199</v>
      </c>
      <c r="R98" s="1" t="s">
        <v>1200</v>
      </c>
    </row>
    <row r="99" spans="1:18" ht="15" customHeight="1">
      <c r="A99" s="23">
        <v>98</v>
      </c>
      <c r="B99" s="27">
        <f t="shared" si="2"/>
        <v>98614405106</v>
      </c>
      <c r="C99" s="23" t="s">
        <v>735</v>
      </c>
      <c r="D99" s="28">
        <v>98600000</v>
      </c>
      <c r="E99" s="23" t="s">
        <v>735</v>
      </c>
      <c r="F99" s="28">
        <v>98000000</v>
      </c>
      <c r="G99" s="30" t="s">
        <v>870</v>
      </c>
      <c r="H99" s="28">
        <v>98614000</v>
      </c>
      <c r="I99" s="23" t="s">
        <v>1192</v>
      </c>
      <c r="J99" s="23" t="s">
        <v>1197</v>
      </c>
      <c r="K99" s="23" t="s">
        <v>754</v>
      </c>
      <c r="L99" s="23" t="str">
        <f>VLOOKUP(K99,Матрицы!B:C,2,0)</f>
        <v>село</v>
      </c>
      <c r="M99" s="31" t="s">
        <v>1201</v>
      </c>
      <c r="N99" s="28">
        <v>98614405106</v>
      </c>
      <c r="O99" s="36">
        <v>91</v>
      </c>
      <c r="P99" s="1">
        <v>2</v>
      </c>
      <c r="Q99" s="1" t="s">
        <v>1202</v>
      </c>
      <c r="R99" s="1" t="s">
        <v>1203</v>
      </c>
    </row>
    <row r="100" spans="1:18" ht="15" customHeight="1">
      <c r="A100" s="23">
        <v>99</v>
      </c>
      <c r="B100" s="27">
        <f t="shared" si="2"/>
        <v>98614406101</v>
      </c>
      <c r="C100" s="23" t="s">
        <v>735</v>
      </c>
      <c r="D100" s="28">
        <v>98600000</v>
      </c>
      <c r="E100" s="23" t="s">
        <v>735</v>
      </c>
      <c r="F100" s="28">
        <v>98000000</v>
      </c>
      <c r="G100" s="30" t="s">
        <v>870</v>
      </c>
      <c r="H100" s="28">
        <v>98614000</v>
      </c>
      <c r="I100" s="23" t="s">
        <v>1192</v>
      </c>
      <c r="J100" s="23" t="s">
        <v>1204</v>
      </c>
      <c r="K100" s="23" t="s">
        <v>754</v>
      </c>
      <c r="L100" s="23" t="str">
        <f>VLOOKUP(K100,Матрицы!B:C,2,0)</f>
        <v>село</v>
      </c>
      <c r="M100" s="31" t="s">
        <v>1205</v>
      </c>
      <c r="N100" s="28">
        <v>98614406101</v>
      </c>
      <c r="O100" s="36">
        <v>430</v>
      </c>
      <c r="P100" s="1">
        <v>2</v>
      </c>
      <c r="Q100" s="1" t="s">
        <v>1206</v>
      </c>
      <c r="R100" s="1" t="s">
        <v>1207</v>
      </c>
    </row>
    <row r="101" spans="1:18" ht="15" customHeight="1">
      <c r="A101" s="23">
        <v>100</v>
      </c>
      <c r="B101" s="27">
        <f t="shared" si="2"/>
        <v>98614407101</v>
      </c>
      <c r="C101" s="23" t="s">
        <v>735</v>
      </c>
      <c r="D101" s="28">
        <v>98600000</v>
      </c>
      <c r="E101" s="23" t="s">
        <v>735</v>
      </c>
      <c r="F101" s="28">
        <v>98000000</v>
      </c>
      <c r="G101" s="30" t="s">
        <v>870</v>
      </c>
      <c r="H101" s="28">
        <v>98614000</v>
      </c>
      <c r="I101" s="23" t="s">
        <v>1192</v>
      </c>
      <c r="J101" s="23" t="s">
        <v>1208</v>
      </c>
      <c r="K101" s="23" t="s">
        <v>754</v>
      </c>
      <c r="L101" s="23" t="str">
        <f>VLOOKUP(K101,Матрицы!B:C,2,0)</f>
        <v>село</v>
      </c>
      <c r="M101" s="31" t="s">
        <v>1209</v>
      </c>
      <c r="N101" s="28">
        <v>98614407101</v>
      </c>
      <c r="O101" s="36">
        <v>239</v>
      </c>
      <c r="P101" s="1">
        <v>2</v>
      </c>
      <c r="Q101" s="1" t="s">
        <v>1210</v>
      </c>
      <c r="R101" s="1" t="s">
        <v>1211</v>
      </c>
    </row>
    <row r="102" spans="1:18" ht="15" customHeight="1">
      <c r="A102" s="23">
        <v>101</v>
      </c>
      <c r="B102" s="27">
        <f t="shared" si="2"/>
        <v>98614412101</v>
      </c>
      <c r="C102" s="23" t="s">
        <v>735</v>
      </c>
      <c r="D102" s="28">
        <v>98600000</v>
      </c>
      <c r="E102" s="23" t="s">
        <v>735</v>
      </c>
      <c r="F102" s="28">
        <v>98000000</v>
      </c>
      <c r="G102" s="30" t="s">
        <v>870</v>
      </c>
      <c r="H102" s="28">
        <v>98614000</v>
      </c>
      <c r="I102" s="23" t="s">
        <v>1192</v>
      </c>
      <c r="J102" s="23" t="s">
        <v>1212</v>
      </c>
      <c r="K102" s="23" t="s">
        <v>754</v>
      </c>
      <c r="L102" s="23" t="str">
        <f>VLOOKUP(K102,Матрицы!B:C,2,0)</f>
        <v>село</v>
      </c>
      <c r="M102" s="31" t="s">
        <v>510</v>
      </c>
      <c r="N102" s="28">
        <v>98614412101</v>
      </c>
      <c r="O102" s="36">
        <v>6436</v>
      </c>
      <c r="P102" s="1">
        <v>2</v>
      </c>
      <c r="Q102" s="1" t="s">
        <v>1213</v>
      </c>
      <c r="R102" s="1" t="s">
        <v>1214</v>
      </c>
    </row>
    <row r="103" spans="1:18" ht="15" customHeight="1">
      <c r="A103" s="23">
        <v>102</v>
      </c>
      <c r="B103" s="27">
        <f t="shared" si="2"/>
        <v>98614417101</v>
      </c>
      <c r="C103" s="23" t="s">
        <v>735</v>
      </c>
      <c r="D103" s="28">
        <v>98600000</v>
      </c>
      <c r="E103" s="23" t="s">
        <v>735</v>
      </c>
      <c r="F103" s="28">
        <v>98000000</v>
      </c>
      <c r="G103" s="30" t="s">
        <v>870</v>
      </c>
      <c r="H103" s="28">
        <v>98614000</v>
      </c>
      <c r="I103" s="23" t="s">
        <v>1192</v>
      </c>
      <c r="J103" s="23" t="s">
        <v>1215</v>
      </c>
      <c r="K103" s="23" t="s">
        <v>754</v>
      </c>
      <c r="L103" s="23" t="str">
        <f>VLOOKUP(K103,Матрицы!B:C,2,0)</f>
        <v>село</v>
      </c>
      <c r="M103" s="31" t="s">
        <v>1216</v>
      </c>
      <c r="N103" s="28">
        <v>98614417101</v>
      </c>
      <c r="O103" s="36">
        <v>1109</v>
      </c>
      <c r="P103" s="1">
        <v>2</v>
      </c>
      <c r="Q103" s="1" t="s">
        <v>1217</v>
      </c>
      <c r="R103" s="1" t="s">
        <v>1218</v>
      </c>
    </row>
    <row r="104" spans="1:18" ht="15" customHeight="1">
      <c r="A104" s="23">
        <v>103</v>
      </c>
      <c r="B104" s="27">
        <f t="shared" si="2"/>
        <v>98614417106</v>
      </c>
      <c r="C104" s="23" t="s">
        <v>735</v>
      </c>
      <c r="D104" s="28">
        <v>98600000</v>
      </c>
      <c r="E104" s="23" t="s">
        <v>735</v>
      </c>
      <c r="F104" s="28">
        <v>98000000</v>
      </c>
      <c r="G104" s="30" t="s">
        <v>870</v>
      </c>
      <c r="H104" s="28">
        <v>98614000</v>
      </c>
      <c r="I104" s="23" t="s">
        <v>1192</v>
      </c>
      <c r="J104" s="23" t="s">
        <v>1215</v>
      </c>
      <c r="K104" s="23" t="s">
        <v>754</v>
      </c>
      <c r="L104" s="23" t="str">
        <f>VLOOKUP(K104,Матрицы!B:C,2,0)</f>
        <v>село</v>
      </c>
      <c r="M104" s="31" t="s">
        <v>1219</v>
      </c>
      <c r="N104" s="28">
        <v>98614417106</v>
      </c>
      <c r="O104" s="36">
        <v>9</v>
      </c>
      <c r="P104" s="1">
        <v>2</v>
      </c>
      <c r="Q104" s="1" t="s">
        <v>1220</v>
      </c>
      <c r="R104" s="1" t="s">
        <v>1221</v>
      </c>
    </row>
    <row r="105" spans="1:18" ht="15" customHeight="1">
      <c r="A105" s="23">
        <v>104</v>
      </c>
      <c r="B105" s="27">
        <f t="shared" si="2"/>
        <v>98614422101</v>
      </c>
      <c r="C105" s="23" t="s">
        <v>735</v>
      </c>
      <c r="D105" s="28">
        <v>98600000</v>
      </c>
      <c r="E105" s="23" t="s">
        <v>735</v>
      </c>
      <c r="F105" s="28">
        <v>98000000</v>
      </c>
      <c r="G105" s="30" t="s">
        <v>870</v>
      </c>
      <c r="H105" s="28">
        <v>98614000</v>
      </c>
      <c r="I105" s="23" t="s">
        <v>1192</v>
      </c>
      <c r="J105" s="23" t="s">
        <v>1222</v>
      </c>
      <c r="K105" s="23" t="s">
        <v>754</v>
      </c>
      <c r="L105" s="23" t="str">
        <f>VLOOKUP(K105,Матрицы!B:C,2,0)</f>
        <v>село</v>
      </c>
      <c r="M105" s="31" t="s">
        <v>1223</v>
      </c>
      <c r="N105" s="28">
        <v>98614422101</v>
      </c>
      <c r="O105" s="36">
        <v>744</v>
      </c>
      <c r="P105" s="1">
        <v>2</v>
      </c>
      <c r="Q105" s="1" t="s">
        <v>1224</v>
      </c>
      <c r="R105" s="1" t="s">
        <v>1225</v>
      </c>
    </row>
    <row r="106" spans="1:18" ht="15" customHeight="1">
      <c r="A106" s="23">
        <v>105</v>
      </c>
      <c r="B106" s="27">
        <f t="shared" si="2"/>
        <v>98614422106</v>
      </c>
      <c r="C106" s="23" t="s">
        <v>735</v>
      </c>
      <c r="D106" s="28">
        <v>98600000</v>
      </c>
      <c r="E106" s="23" t="s">
        <v>735</v>
      </c>
      <c r="F106" s="28">
        <v>98000000</v>
      </c>
      <c r="G106" s="30" t="s">
        <v>870</v>
      </c>
      <c r="H106" s="28">
        <v>98614000</v>
      </c>
      <c r="I106" s="23" t="s">
        <v>1192</v>
      </c>
      <c r="J106" s="23" t="s">
        <v>1222</v>
      </c>
      <c r="K106" s="23" t="s">
        <v>754</v>
      </c>
      <c r="L106" s="23" t="str">
        <f>VLOOKUP(K106,Матрицы!B:C,2,0)</f>
        <v>село</v>
      </c>
      <c r="M106" s="31" t="s">
        <v>1226</v>
      </c>
      <c r="N106" s="28">
        <v>98614422106</v>
      </c>
      <c r="O106" s="36">
        <v>62</v>
      </c>
      <c r="P106" s="1">
        <v>2</v>
      </c>
      <c r="Q106" s="1" t="s">
        <v>1227</v>
      </c>
      <c r="R106" s="1" t="s">
        <v>1228</v>
      </c>
    </row>
    <row r="107" spans="1:18" ht="15" customHeight="1">
      <c r="A107" s="23">
        <v>106</v>
      </c>
      <c r="B107" s="27">
        <f t="shared" si="2"/>
        <v>98614422111</v>
      </c>
      <c r="C107" s="23" t="s">
        <v>735</v>
      </c>
      <c r="D107" s="28">
        <v>98600000</v>
      </c>
      <c r="E107" s="23" t="s">
        <v>735</v>
      </c>
      <c r="F107" s="28">
        <v>98000000</v>
      </c>
      <c r="G107" s="30" t="s">
        <v>870</v>
      </c>
      <c r="H107" s="28">
        <v>98614000</v>
      </c>
      <c r="I107" s="23" t="s">
        <v>1192</v>
      </c>
      <c r="J107" s="23" t="s">
        <v>1222</v>
      </c>
      <c r="K107" s="23" t="s">
        <v>754</v>
      </c>
      <c r="L107" s="23" t="str">
        <f>VLOOKUP(K107,Матрицы!B:C,2,0)</f>
        <v>село</v>
      </c>
      <c r="M107" s="31" t="s">
        <v>1229</v>
      </c>
      <c r="N107" s="28">
        <v>98614422111</v>
      </c>
      <c r="O107" s="36">
        <v>37</v>
      </c>
      <c r="P107" s="1">
        <v>2</v>
      </c>
      <c r="Q107" s="1" t="s">
        <v>1230</v>
      </c>
      <c r="R107" s="1" t="s">
        <v>1231</v>
      </c>
    </row>
    <row r="108" spans="1:18" ht="15" customHeight="1">
      <c r="A108" s="23">
        <v>107</v>
      </c>
      <c r="B108" s="27">
        <f t="shared" si="2"/>
        <v>98614423101</v>
      </c>
      <c r="C108" s="23" t="s">
        <v>735</v>
      </c>
      <c r="D108" s="28">
        <v>98600000</v>
      </c>
      <c r="E108" s="23" t="s">
        <v>735</v>
      </c>
      <c r="F108" s="28">
        <v>98000000</v>
      </c>
      <c r="G108" s="30" t="s">
        <v>870</v>
      </c>
      <c r="H108" s="28">
        <v>98614000</v>
      </c>
      <c r="I108" s="23" t="s">
        <v>1192</v>
      </c>
      <c r="J108" s="23" t="s">
        <v>1232</v>
      </c>
      <c r="K108" s="23" t="s">
        <v>754</v>
      </c>
      <c r="L108" s="23" t="str">
        <f>VLOOKUP(K108,Матрицы!B:C,2,0)</f>
        <v>село</v>
      </c>
      <c r="M108" s="31" t="s">
        <v>1233</v>
      </c>
      <c r="N108" s="28">
        <v>98614423101</v>
      </c>
      <c r="O108" s="36">
        <v>2507</v>
      </c>
      <c r="P108" s="1">
        <v>2</v>
      </c>
      <c r="Q108" s="1" t="s">
        <v>1234</v>
      </c>
      <c r="R108" s="1" t="s">
        <v>1235</v>
      </c>
    </row>
    <row r="109" spans="1:18" ht="15" customHeight="1">
      <c r="A109" s="23">
        <v>108</v>
      </c>
      <c r="B109" s="27">
        <f t="shared" si="2"/>
        <v>98614423106</v>
      </c>
      <c r="C109" s="23" t="s">
        <v>735</v>
      </c>
      <c r="D109" s="28">
        <v>98600000</v>
      </c>
      <c r="E109" s="23" t="s">
        <v>735</v>
      </c>
      <c r="F109" s="28">
        <v>98000000</v>
      </c>
      <c r="G109" s="30" t="s">
        <v>870</v>
      </c>
      <c r="H109" s="28">
        <v>98614000</v>
      </c>
      <c r="I109" s="23" t="s">
        <v>1192</v>
      </c>
      <c r="J109" s="23" t="s">
        <v>1232</v>
      </c>
      <c r="K109" s="23" t="s">
        <v>754</v>
      </c>
      <c r="L109" s="23" t="str">
        <f>VLOOKUP(K109,Матрицы!B:C,2,0)</f>
        <v>село</v>
      </c>
      <c r="M109" s="31" t="s">
        <v>1236</v>
      </c>
      <c r="N109" s="28">
        <v>98614423106</v>
      </c>
      <c r="O109" s="36">
        <v>73</v>
      </c>
      <c r="P109" s="1">
        <v>2</v>
      </c>
      <c r="Q109" s="1" t="s">
        <v>1237</v>
      </c>
      <c r="R109" s="1" t="s">
        <v>1238</v>
      </c>
    </row>
    <row r="110" spans="1:18" ht="15" customHeight="1">
      <c r="A110" s="23">
        <v>109</v>
      </c>
      <c r="B110" s="27">
        <f t="shared" si="2"/>
        <v>98614429101</v>
      </c>
      <c r="C110" s="23" t="s">
        <v>735</v>
      </c>
      <c r="D110" s="28">
        <v>98600000</v>
      </c>
      <c r="E110" s="23" t="s">
        <v>735</v>
      </c>
      <c r="F110" s="28">
        <v>98000000</v>
      </c>
      <c r="G110" s="30" t="s">
        <v>870</v>
      </c>
      <c r="H110" s="28">
        <v>98614000</v>
      </c>
      <c r="I110" s="23" t="s">
        <v>1192</v>
      </c>
      <c r="J110" s="23" t="s">
        <v>1239</v>
      </c>
      <c r="K110" s="23" t="s">
        <v>754</v>
      </c>
      <c r="L110" s="23" t="str">
        <f>VLOOKUP(K110,Матрицы!B:C,2,0)</f>
        <v>село</v>
      </c>
      <c r="M110" s="31" t="s">
        <v>1240</v>
      </c>
      <c r="N110" s="28">
        <v>98614429101</v>
      </c>
      <c r="O110" s="36">
        <v>801</v>
      </c>
      <c r="P110" s="1">
        <v>2</v>
      </c>
      <c r="Q110" s="1" t="s">
        <v>1241</v>
      </c>
      <c r="R110" s="1" t="s">
        <v>1242</v>
      </c>
    </row>
    <row r="111" spans="1:18" ht="15" customHeight="1">
      <c r="A111" s="23">
        <v>110</v>
      </c>
      <c r="B111" s="27">
        <f t="shared" si="2"/>
        <v>98614436101</v>
      </c>
      <c r="C111" s="23" t="s">
        <v>735</v>
      </c>
      <c r="D111" s="28">
        <v>98600000</v>
      </c>
      <c r="E111" s="23" t="s">
        <v>735</v>
      </c>
      <c r="F111" s="28">
        <v>98000000</v>
      </c>
      <c r="G111" s="30" t="s">
        <v>870</v>
      </c>
      <c r="H111" s="28">
        <v>98614000</v>
      </c>
      <c r="I111" s="23" t="s">
        <v>1192</v>
      </c>
      <c r="J111" s="23" t="s">
        <v>1243</v>
      </c>
      <c r="K111" s="23" t="s">
        <v>754</v>
      </c>
      <c r="L111" s="23" t="str">
        <f>VLOOKUP(K111,Матрицы!B:C,2,0)</f>
        <v>село</v>
      </c>
      <c r="M111" s="31" t="s">
        <v>1244</v>
      </c>
      <c r="N111" s="28">
        <v>98614436101</v>
      </c>
      <c r="O111" s="36">
        <v>401</v>
      </c>
      <c r="P111" s="1">
        <v>2</v>
      </c>
      <c r="Q111" s="1" t="s">
        <v>1245</v>
      </c>
      <c r="R111" s="1" t="s">
        <v>1246</v>
      </c>
    </row>
    <row r="112" spans="1:18" ht="15" customHeight="1">
      <c r="A112" s="23">
        <v>111</v>
      </c>
      <c r="B112" s="27">
        <f t="shared" si="2"/>
        <v>98614436106</v>
      </c>
      <c r="C112" s="23" t="s">
        <v>735</v>
      </c>
      <c r="D112" s="28">
        <v>98600000</v>
      </c>
      <c r="E112" s="23" t="s">
        <v>735</v>
      </c>
      <c r="F112" s="28">
        <v>98000000</v>
      </c>
      <c r="G112" s="30" t="s">
        <v>870</v>
      </c>
      <c r="H112" s="28">
        <v>98614000</v>
      </c>
      <c r="I112" s="23" t="s">
        <v>1192</v>
      </c>
      <c r="J112" s="23" t="s">
        <v>1243</v>
      </c>
      <c r="K112" s="23" t="s">
        <v>754</v>
      </c>
      <c r="L112" s="23" t="str">
        <f>VLOOKUP(K112,Матрицы!B:C,2,0)</f>
        <v>село</v>
      </c>
      <c r="M112" s="31" t="s">
        <v>1247</v>
      </c>
      <c r="N112" s="28">
        <v>98614436106</v>
      </c>
      <c r="O112" s="32">
        <v>0</v>
      </c>
      <c r="P112" s="1">
        <v>2</v>
      </c>
      <c r="Q112" s="1" t="s">
        <v>1248</v>
      </c>
      <c r="R112" s="1" t="s">
        <v>1249</v>
      </c>
    </row>
    <row r="113" spans="1:18" ht="15" customHeight="1">
      <c r="A113" s="23">
        <v>112</v>
      </c>
      <c r="B113" s="27">
        <f t="shared" si="2"/>
        <v>98614440101</v>
      </c>
      <c r="C113" s="23" t="s">
        <v>735</v>
      </c>
      <c r="D113" s="28">
        <v>98600000</v>
      </c>
      <c r="E113" s="23" t="s">
        <v>735</v>
      </c>
      <c r="F113" s="28">
        <v>98000000</v>
      </c>
      <c r="G113" s="30" t="s">
        <v>870</v>
      </c>
      <c r="H113" s="28">
        <v>98614000</v>
      </c>
      <c r="I113" s="23" t="s">
        <v>1192</v>
      </c>
      <c r="J113" s="23" t="s">
        <v>1250</v>
      </c>
      <c r="K113" s="23" t="s">
        <v>754</v>
      </c>
      <c r="L113" s="23" t="str">
        <f>VLOOKUP(K113,Матрицы!B:C,2,0)</f>
        <v>село</v>
      </c>
      <c r="M113" s="31" t="s">
        <v>1251</v>
      </c>
      <c r="N113" s="28">
        <v>98614440101</v>
      </c>
      <c r="O113" s="36">
        <v>544</v>
      </c>
      <c r="P113" s="1">
        <v>2</v>
      </c>
      <c r="Q113" s="1" t="s">
        <v>1252</v>
      </c>
      <c r="R113" s="1" t="s">
        <v>1253</v>
      </c>
    </row>
    <row r="114" spans="1:18" ht="15" customHeight="1">
      <c r="A114" s="23">
        <v>113</v>
      </c>
      <c r="B114" s="27">
        <f t="shared" si="2"/>
        <v>98614440106</v>
      </c>
      <c r="C114" s="23" t="s">
        <v>735</v>
      </c>
      <c r="D114" s="28">
        <v>98600000</v>
      </c>
      <c r="E114" s="23" t="s">
        <v>735</v>
      </c>
      <c r="F114" s="28">
        <v>98000000</v>
      </c>
      <c r="G114" s="30" t="s">
        <v>870</v>
      </c>
      <c r="H114" s="28">
        <v>98614000</v>
      </c>
      <c r="I114" s="23" t="s">
        <v>1192</v>
      </c>
      <c r="J114" s="23" t="s">
        <v>1250</v>
      </c>
      <c r="K114" s="23" t="s">
        <v>754</v>
      </c>
      <c r="L114" s="23" t="str">
        <f>VLOOKUP(K114,Матрицы!B:C,2,0)</f>
        <v>село</v>
      </c>
      <c r="M114" s="31" t="s">
        <v>1254</v>
      </c>
      <c r="N114" s="28">
        <v>98614440106</v>
      </c>
      <c r="O114" s="36">
        <v>52</v>
      </c>
      <c r="P114" s="1">
        <v>2</v>
      </c>
      <c r="Q114" s="1" t="s">
        <v>1255</v>
      </c>
      <c r="R114" s="1" t="s">
        <v>1256</v>
      </c>
    </row>
    <row r="115" spans="1:18" ht="15" customHeight="1">
      <c r="A115" s="23">
        <v>114</v>
      </c>
      <c r="B115" s="27">
        <f t="shared" si="2"/>
        <v>98614445101</v>
      </c>
      <c r="C115" s="23" t="s">
        <v>735</v>
      </c>
      <c r="D115" s="28">
        <v>98600000</v>
      </c>
      <c r="E115" s="23" t="s">
        <v>735</v>
      </c>
      <c r="F115" s="28">
        <v>98000000</v>
      </c>
      <c r="G115" s="30" t="s">
        <v>870</v>
      </c>
      <c r="H115" s="28">
        <v>98614000</v>
      </c>
      <c r="I115" s="23" t="s">
        <v>1192</v>
      </c>
      <c r="J115" s="23" t="s">
        <v>1257</v>
      </c>
      <c r="K115" s="23" t="s">
        <v>754</v>
      </c>
      <c r="L115" s="23" t="str">
        <f>VLOOKUP(K115,Матрицы!B:C,2,0)</f>
        <v>село</v>
      </c>
      <c r="M115" s="31" t="s">
        <v>760</v>
      </c>
      <c r="N115" s="28">
        <v>98614445101</v>
      </c>
      <c r="O115" s="36">
        <v>1320</v>
      </c>
      <c r="P115" s="1">
        <v>2</v>
      </c>
      <c r="Q115" s="11" t="s">
        <v>1258</v>
      </c>
      <c r="R115" s="11" t="s">
        <v>1259</v>
      </c>
    </row>
    <row r="116" spans="1:18" ht="15" customHeight="1">
      <c r="A116" s="23">
        <v>115</v>
      </c>
      <c r="B116" s="27">
        <f t="shared" si="2"/>
        <v>98614450101</v>
      </c>
      <c r="C116" s="23" t="s">
        <v>735</v>
      </c>
      <c r="D116" s="28">
        <v>98600000</v>
      </c>
      <c r="E116" s="23" t="s">
        <v>735</v>
      </c>
      <c r="F116" s="28">
        <v>98000000</v>
      </c>
      <c r="G116" s="30" t="s">
        <v>870</v>
      </c>
      <c r="H116" s="28">
        <v>98614000</v>
      </c>
      <c r="I116" s="23" t="s">
        <v>1192</v>
      </c>
      <c r="J116" s="23" t="s">
        <v>1260</v>
      </c>
      <c r="K116" s="23" t="s">
        <v>754</v>
      </c>
      <c r="L116" s="23" t="str">
        <f>VLOOKUP(K116,Матрицы!B:C,2,0)</f>
        <v>село</v>
      </c>
      <c r="M116" s="31" t="s">
        <v>1261</v>
      </c>
      <c r="N116" s="28">
        <v>98614450101</v>
      </c>
      <c r="O116" s="36">
        <v>637</v>
      </c>
      <c r="P116" s="1">
        <v>2</v>
      </c>
      <c r="Q116" s="1" t="s">
        <v>1262</v>
      </c>
      <c r="R116" s="1" t="s">
        <v>1263</v>
      </c>
    </row>
    <row r="117" spans="1:18" ht="15" customHeight="1">
      <c r="A117" s="23">
        <v>116</v>
      </c>
      <c r="B117" s="27">
        <f t="shared" si="2"/>
        <v>98614455101</v>
      </c>
      <c r="C117" s="23" t="s">
        <v>735</v>
      </c>
      <c r="D117" s="28">
        <v>98600000</v>
      </c>
      <c r="E117" s="23" t="s">
        <v>735</v>
      </c>
      <c r="F117" s="28">
        <v>98000000</v>
      </c>
      <c r="G117" s="30" t="s">
        <v>870</v>
      </c>
      <c r="H117" s="28">
        <v>98614000</v>
      </c>
      <c r="I117" s="23" t="s">
        <v>1192</v>
      </c>
      <c r="J117" s="23" t="s">
        <v>1264</v>
      </c>
      <c r="K117" s="23" t="s">
        <v>754</v>
      </c>
      <c r="L117" s="23" t="str">
        <f>VLOOKUP(K117,Матрицы!B:C,2,0)</f>
        <v>село</v>
      </c>
      <c r="M117" s="31" t="s">
        <v>1265</v>
      </c>
      <c r="N117" s="28">
        <v>98614455101</v>
      </c>
      <c r="O117" s="36">
        <v>517</v>
      </c>
      <c r="P117" s="1">
        <v>2</v>
      </c>
      <c r="Q117" s="1" t="s">
        <v>1266</v>
      </c>
      <c r="R117" s="1" t="s">
        <v>1267</v>
      </c>
    </row>
    <row r="118" spans="1:18" ht="15" customHeight="1">
      <c r="A118" s="23">
        <v>117</v>
      </c>
      <c r="B118" s="27">
        <f t="shared" si="2"/>
        <v>98614460101</v>
      </c>
      <c r="C118" s="23" t="s">
        <v>735</v>
      </c>
      <c r="D118" s="28">
        <v>98600000</v>
      </c>
      <c r="E118" s="23" t="s">
        <v>735</v>
      </c>
      <c r="F118" s="28">
        <v>98000000</v>
      </c>
      <c r="G118" s="30" t="s">
        <v>870</v>
      </c>
      <c r="H118" s="28">
        <v>98614000</v>
      </c>
      <c r="I118" s="23" t="s">
        <v>1192</v>
      </c>
      <c r="J118" s="23" t="s">
        <v>1268</v>
      </c>
      <c r="K118" s="23" t="s">
        <v>754</v>
      </c>
      <c r="L118" s="23" t="str">
        <f>VLOOKUP(K118,Матрицы!B:C,2,0)</f>
        <v>село</v>
      </c>
      <c r="M118" s="31" t="s">
        <v>1269</v>
      </c>
      <c r="N118" s="28">
        <v>98614460101</v>
      </c>
      <c r="O118" s="36">
        <v>695</v>
      </c>
      <c r="P118" s="1">
        <v>2</v>
      </c>
      <c r="Q118" s="1" t="s">
        <v>1270</v>
      </c>
      <c r="R118" s="1" t="s">
        <v>1271</v>
      </c>
    </row>
    <row r="119" spans="1:18" ht="15" customHeight="1">
      <c r="A119" s="23">
        <v>118</v>
      </c>
      <c r="B119" s="27">
        <f t="shared" si="2"/>
        <v>98614467101</v>
      </c>
      <c r="C119" s="23" t="s">
        <v>735</v>
      </c>
      <c r="D119" s="28">
        <v>98600000</v>
      </c>
      <c r="E119" s="23" t="s">
        <v>735</v>
      </c>
      <c r="F119" s="28">
        <v>98000000</v>
      </c>
      <c r="G119" s="30" t="s">
        <v>870</v>
      </c>
      <c r="H119" s="28">
        <v>98614000</v>
      </c>
      <c r="I119" s="23" t="s">
        <v>1192</v>
      </c>
      <c r="J119" s="23" t="s">
        <v>1272</v>
      </c>
      <c r="K119" s="23" t="s">
        <v>754</v>
      </c>
      <c r="L119" s="23" t="str">
        <f>VLOOKUP(K119,Матрицы!B:C,2,0)</f>
        <v>село</v>
      </c>
      <c r="M119" s="31" t="s">
        <v>1273</v>
      </c>
      <c r="N119" s="28">
        <v>98614467101</v>
      </c>
      <c r="O119" s="36">
        <v>335</v>
      </c>
      <c r="P119" s="1">
        <v>2</v>
      </c>
      <c r="Q119" s="1" t="s">
        <v>1274</v>
      </c>
      <c r="R119" s="1" t="s">
        <v>1275</v>
      </c>
    </row>
    <row r="120" spans="1:18" ht="15" customHeight="1">
      <c r="A120" s="23">
        <v>119</v>
      </c>
      <c r="B120" s="27">
        <f t="shared" si="2"/>
        <v>98614467106</v>
      </c>
      <c r="C120" s="23" t="s">
        <v>735</v>
      </c>
      <c r="D120" s="28">
        <v>98600000</v>
      </c>
      <c r="E120" s="23" t="s">
        <v>735</v>
      </c>
      <c r="F120" s="28">
        <v>98000000</v>
      </c>
      <c r="G120" s="30" t="s">
        <v>870</v>
      </c>
      <c r="H120" s="28">
        <v>98614000</v>
      </c>
      <c r="I120" s="23" t="s">
        <v>1192</v>
      </c>
      <c r="J120" s="23" t="s">
        <v>1272</v>
      </c>
      <c r="K120" s="23" t="s">
        <v>754</v>
      </c>
      <c r="L120" s="23" t="str">
        <f>VLOOKUP(K120,Матрицы!B:C,2,0)</f>
        <v>село</v>
      </c>
      <c r="M120" s="31" t="s">
        <v>867</v>
      </c>
      <c r="N120" s="28">
        <v>98614467106</v>
      </c>
      <c r="O120" s="32">
        <v>0</v>
      </c>
      <c r="P120" s="1">
        <v>2</v>
      </c>
      <c r="Q120" s="1" t="s">
        <v>1276</v>
      </c>
      <c r="R120" s="1" t="s">
        <v>1277</v>
      </c>
    </row>
    <row r="121" spans="1:18" ht="15" customHeight="1">
      <c r="A121" s="23">
        <v>120</v>
      </c>
      <c r="B121" s="27">
        <f t="shared" si="2"/>
        <v>98614469101</v>
      </c>
      <c r="C121" s="23" t="s">
        <v>735</v>
      </c>
      <c r="D121" s="28">
        <v>98600000</v>
      </c>
      <c r="E121" s="23" t="s">
        <v>735</v>
      </c>
      <c r="F121" s="28">
        <v>98000000</v>
      </c>
      <c r="G121" s="30" t="s">
        <v>870</v>
      </c>
      <c r="H121" s="28">
        <v>98614000</v>
      </c>
      <c r="I121" s="23" t="s">
        <v>1192</v>
      </c>
      <c r="J121" s="23" t="s">
        <v>1278</v>
      </c>
      <c r="K121" s="23" t="s">
        <v>754</v>
      </c>
      <c r="L121" s="23" t="str">
        <f>VLOOKUP(K121,Матрицы!B:C,2,0)</f>
        <v>село</v>
      </c>
      <c r="M121" s="31" t="s">
        <v>1279</v>
      </c>
      <c r="N121" s="28">
        <v>98614469101</v>
      </c>
      <c r="O121" s="36">
        <v>590</v>
      </c>
      <c r="P121" s="1">
        <v>2</v>
      </c>
      <c r="Q121" s="1" t="s">
        <v>1280</v>
      </c>
      <c r="R121" s="1" t="s">
        <v>1281</v>
      </c>
    </row>
    <row r="122" spans="1:18" ht="15" customHeight="1">
      <c r="A122" s="23">
        <v>121</v>
      </c>
      <c r="B122" s="27">
        <f t="shared" si="2"/>
        <v>98614472101</v>
      </c>
      <c r="C122" s="23" t="s">
        <v>735</v>
      </c>
      <c r="D122" s="28">
        <v>98600000</v>
      </c>
      <c r="E122" s="23" t="s">
        <v>735</v>
      </c>
      <c r="F122" s="28">
        <v>98000000</v>
      </c>
      <c r="G122" s="30" t="s">
        <v>870</v>
      </c>
      <c r="H122" s="28">
        <v>98614000</v>
      </c>
      <c r="I122" s="23" t="s">
        <v>1192</v>
      </c>
      <c r="J122" s="23" t="s">
        <v>1282</v>
      </c>
      <c r="K122" s="23" t="s">
        <v>754</v>
      </c>
      <c r="L122" s="23" t="str">
        <f>VLOOKUP(K122,Матрицы!B:C,2,0)</f>
        <v>село</v>
      </c>
      <c r="M122" s="31" t="s">
        <v>1283</v>
      </c>
      <c r="N122" s="28">
        <v>98614472101</v>
      </c>
      <c r="O122" s="36">
        <v>346</v>
      </c>
      <c r="P122" s="1">
        <v>2</v>
      </c>
      <c r="Q122" s="1" t="s">
        <v>1284</v>
      </c>
      <c r="R122" s="1" t="s">
        <v>1285</v>
      </c>
    </row>
    <row r="123" spans="1:18" ht="15" customHeight="1">
      <c r="A123" s="23">
        <v>122</v>
      </c>
      <c r="B123" s="27">
        <f t="shared" si="2"/>
        <v>98614478101</v>
      </c>
      <c r="C123" s="23" t="s">
        <v>735</v>
      </c>
      <c r="D123" s="28">
        <v>98600000</v>
      </c>
      <c r="E123" s="23" t="s">
        <v>735</v>
      </c>
      <c r="F123" s="28">
        <v>98000000</v>
      </c>
      <c r="G123" s="30" t="s">
        <v>870</v>
      </c>
      <c r="H123" s="28">
        <v>98614000</v>
      </c>
      <c r="I123" s="23" t="s">
        <v>1192</v>
      </c>
      <c r="J123" s="23" t="s">
        <v>1286</v>
      </c>
      <c r="K123" s="23" t="s">
        <v>754</v>
      </c>
      <c r="L123" s="23" t="str">
        <f>VLOOKUP(K123,Матрицы!B:C,2,0)</f>
        <v>село</v>
      </c>
      <c r="M123" s="31" t="s">
        <v>1287</v>
      </c>
      <c r="N123" s="28">
        <v>98614478101</v>
      </c>
      <c r="O123" s="36">
        <v>588</v>
      </c>
      <c r="P123" s="1">
        <v>2</v>
      </c>
      <c r="Q123" s="1" t="s">
        <v>1288</v>
      </c>
      <c r="R123" s="1" t="s">
        <v>1289</v>
      </c>
    </row>
    <row r="124" spans="1:18" ht="15" customHeight="1">
      <c r="A124" s="23">
        <v>123</v>
      </c>
      <c r="B124" s="27">
        <f t="shared" si="2"/>
        <v>98614482101</v>
      </c>
      <c r="C124" s="23" t="s">
        <v>735</v>
      </c>
      <c r="D124" s="28">
        <v>98600000</v>
      </c>
      <c r="E124" s="23" t="s">
        <v>735</v>
      </c>
      <c r="F124" s="28">
        <v>98000000</v>
      </c>
      <c r="G124" s="30" t="s">
        <v>870</v>
      </c>
      <c r="H124" s="28">
        <v>98614000</v>
      </c>
      <c r="I124" s="23" t="s">
        <v>1192</v>
      </c>
      <c r="J124" s="23" t="s">
        <v>1290</v>
      </c>
      <c r="K124" s="23" t="s">
        <v>754</v>
      </c>
      <c r="L124" s="23" t="str">
        <f>VLOOKUP(K124,Матрицы!B:C,2,0)</f>
        <v>село</v>
      </c>
      <c r="M124" s="31" t="s">
        <v>760</v>
      </c>
      <c r="N124" s="28">
        <v>98614482101</v>
      </c>
      <c r="O124" s="36">
        <v>1320</v>
      </c>
      <c r="P124" s="1">
        <v>2</v>
      </c>
      <c r="Q124" s="11" t="s">
        <v>1291</v>
      </c>
      <c r="R124" s="11" t="s">
        <v>1292</v>
      </c>
    </row>
    <row r="125" spans="1:18" ht="15" customHeight="1">
      <c r="A125" s="23">
        <v>124</v>
      </c>
      <c r="B125" s="27">
        <f t="shared" si="2"/>
        <v>98614486101</v>
      </c>
      <c r="C125" s="23" t="s">
        <v>735</v>
      </c>
      <c r="D125" s="28">
        <v>98600000</v>
      </c>
      <c r="E125" s="23" t="s">
        <v>735</v>
      </c>
      <c r="F125" s="28">
        <v>98000000</v>
      </c>
      <c r="G125" s="30" t="s">
        <v>870</v>
      </c>
      <c r="H125" s="28">
        <v>98614000</v>
      </c>
      <c r="I125" s="23" t="s">
        <v>1192</v>
      </c>
      <c r="J125" s="23" t="s">
        <v>1293</v>
      </c>
      <c r="K125" s="23" t="s">
        <v>754</v>
      </c>
      <c r="L125" s="23" t="str">
        <f>VLOOKUP(K125,Матрицы!B:C,2,0)</f>
        <v>село</v>
      </c>
      <c r="M125" s="31" t="s">
        <v>1294</v>
      </c>
      <c r="N125" s="28">
        <v>98614486101</v>
      </c>
      <c r="O125" s="36">
        <v>1214</v>
      </c>
      <c r="P125" s="1">
        <v>2</v>
      </c>
      <c r="Q125" s="1" t="s">
        <v>1295</v>
      </c>
      <c r="R125" s="1" t="s">
        <v>1296</v>
      </c>
    </row>
    <row r="126" spans="1:18" ht="15" customHeight="1">
      <c r="A126" s="23">
        <v>125</v>
      </c>
      <c r="B126" s="27">
        <f t="shared" si="2"/>
        <v>98615151051</v>
      </c>
      <c r="C126" s="23" t="s">
        <v>735</v>
      </c>
      <c r="D126" s="28">
        <v>98600000</v>
      </c>
      <c r="E126" s="23" t="s">
        <v>735</v>
      </c>
      <c r="F126" s="28">
        <v>98000000</v>
      </c>
      <c r="G126" s="30" t="s">
        <v>879</v>
      </c>
      <c r="H126" s="28">
        <v>98615000</v>
      </c>
      <c r="I126" s="23" t="s">
        <v>1297</v>
      </c>
      <c r="J126" s="23" t="s">
        <v>1298</v>
      </c>
      <c r="K126" s="23" t="s">
        <v>819</v>
      </c>
      <c r="L126" s="23" t="str">
        <f>VLOOKUP(K126,Матрицы!B:C,2,0)</f>
        <v>поселок</v>
      </c>
      <c r="M126" s="31" t="s">
        <v>679</v>
      </c>
      <c r="N126" s="28">
        <v>98615151051</v>
      </c>
      <c r="O126" s="36">
        <v>2455</v>
      </c>
      <c r="P126" s="1">
        <v>1</v>
      </c>
      <c r="Q126" s="1" t="s">
        <v>1299</v>
      </c>
      <c r="R126" s="1" t="s">
        <v>1300</v>
      </c>
    </row>
    <row r="127" spans="1:18">
      <c r="A127" s="23">
        <v>126</v>
      </c>
      <c r="B127" s="27">
        <f t="shared" si="2"/>
        <v>98615405101</v>
      </c>
      <c r="C127" s="23" t="s">
        <v>735</v>
      </c>
      <c r="D127" s="28">
        <v>98600000</v>
      </c>
      <c r="E127" s="23" t="s">
        <v>735</v>
      </c>
      <c r="F127" s="28">
        <v>98000000</v>
      </c>
      <c r="G127" s="30" t="s">
        <v>879</v>
      </c>
      <c r="H127" s="28">
        <v>98615000</v>
      </c>
      <c r="I127" s="23" t="s">
        <v>1301</v>
      </c>
      <c r="J127" s="23" t="s">
        <v>1302</v>
      </c>
      <c r="K127" s="23" t="s">
        <v>754</v>
      </c>
      <c r="L127" s="23" t="str">
        <f>VLOOKUP(K127,Матрицы!B:C,2,0)</f>
        <v>село</v>
      </c>
      <c r="M127" s="31" t="s">
        <v>1303</v>
      </c>
      <c r="N127" s="28">
        <v>98615405101</v>
      </c>
      <c r="O127" s="36">
        <v>414</v>
      </c>
      <c r="P127" s="1">
        <v>2</v>
      </c>
      <c r="Q127" s="1" t="s">
        <v>1304</v>
      </c>
      <c r="R127" s="1" t="s">
        <v>1305</v>
      </c>
    </row>
    <row r="128" spans="1:18">
      <c r="A128" s="23">
        <v>127</v>
      </c>
      <c r="B128" s="27">
        <f t="shared" si="2"/>
        <v>98615409101</v>
      </c>
      <c r="C128" s="23" t="s">
        <v>735</v>
      </c>
      <c r="D128" s="28">
        <v>98600000</v>
      </c>
      <c r="E128" s="23" t="s">
        <v>735</v>
      </c>
      <c r="F128" s="28">
        <v>98000000</v>
      </c>
      <c r="G128" s="30" t="s">
        <v>879</v>
      </c>
      <c r="H128" s="28">
        <v>98615000</v>
      </c>
      <c r="I128" s="23" t="s">
        <v>1301</v>
      </c>
      <c r="J128" s="23" t="s">
        <v>1306</v>
      </c>
      <c r="K128" s="23" t="s">
        <v>754</v>
      </c>
      <c r="L128" s="23" t="str">
        <f>VLOOKUP(K128,Матрицы!B:C,2,0)</f>
        <v>село</v>
      </c>
      <c r="M128" s="31" t="s">
        <v>1307</v>
      </c>
      <c r="N128" s="28">
        <v>98615409101</v>
      </c>
      <c r="O128" s="36">
        <v>335</v>
      </c>
      <c r="P128" s="1">
        <v>2</v>
      </c>
      <c r="Q128" s="1" t="s">
        <v>1308</v>
      </c>
      <c r="R128" s="1" t="s">
        <v>1309</v>
      </c>
    </row>
    <row r="129" spans="1:18">
      <c r="A129" s="23">
        <v>128</v>
      </c>
      <c r="B129" s="27">
        <f t="shared" si="2"/>
        <v>98615414101</v>
      </c>
      <c r="C129" s="23" t="s">
        <v>735</v>
      </c>
      <c r="D129" s="28">
        <v>98600000</v>
      </c>
      <c r="E129" s="23" t="s">
        <v>735</v>
      </c>
      <c r="F129" s="28">
        <v>98000000</v>
      </c>
      <c r="G129" s="30" t="s">
        <v>879</v>
      </c>
      <c r="H129" s="28">
        <v>98615000</v>
      </c>
      <c r="I129" s="23" t="s">
        <v>1301</v>
      </c>
      <c r="J129" s="23" t="s">
        <v>1310</v>
      </c>
      <c r="K129" s="23" t="s">
        <v>754</v>
      </c>
      <c r="L129" s="23" t="str">
        <f>VLOOKUP(K129,Матрицы!B:C,2,0)</f>
        <v>село</v>
      </c>
      <c r="M129" s="31" t="s">
        <v>698</v>
      </c>
      <c r="N129" s="28">
        <v>98615414101</v>
      </c>
      <c r="O129" s="36">
        <v>230</v>
      </c>
      <c r="P129" s="1">
        <v>2</v>
      </c>
      <c r="Q129" s="1" t="s">
        <v>1311</v>
      </c>
      <c r="R129" s="1" t="s">
        <v>1312</v>
      </c>
    </row>
    <row r="130" spans="1:18">
      <c r="A130" s="23">
        <v>129</v>
      </c>
      <c r="B130" s="27">
        <f t="shared" si="2"/>
        <v>98615427101</v>
      </c>
      <c r="C130" s="23" t="s">
        <v>735</v>
      </c>
      <c r="D130" s="28">
        <v>98600000</v>
      </c>
      <c r="E130" s="23" t="s">
        <v>735</v>
      </c>
      <c r="F130" s="28">
        <v>98000000</v>
      </c>
      <c r="G130" s="30" t="s">
        <v>879</v>
      </c>
      <c r="H130" s="28">
        <v>98615000</v>
      </c>
      <c r="I130" s="23" t="s">
        <v>1301</v>
      </c>
      <c r="J130" s="23" t="s">
        <v>1313</v>
      </c>
      <c r="K130" s="23" t="s">
        <v>754</v>
      </c>
      <c r="L130" s="23" t="str">
        <f>VLOOKUP(K130,Матрицы!B:C,2,0)</f>
        <v>село</v>
      </c>
      <c r="M130" s="31" t="s">
        <v>1314</v>
      </c>
      <c r="N130" s="28">
        <v>98615427101</v>
      </c>
      <c r="O130" s="36">
        <v>208</v>
      </c>
      <c r="P130" s="1">
        <v>2</v>
      </c>
      <c r="Q130" s="1" t="s">
        <v>1315</v>
      </c>
      <c r="R130" s="1" t="s">
        <v>1316</v>
      </c>
    </row>
    <row r="131" spans="1:18">
      <c r="A131" s="23">
        <v>130</v>
      </c>
      <c r="B131" s="27">
        <f t="shared" ref="B131:B194" si="3">N131</f>
        <v>98615430101</v>
      </c>
      <c r="C131" s="23" t="s">
        <v>735</v>
      </c>
      <c r="D131" s="28">
        <v>98600000</v>
      </c>
      <c r="E131" s="23" t="s">
        <v>735</v>
      </c>
      <c r="F131" s="28">
        <v>98000000</v>
      </c>
      <c r="G131" s="30" t="s">
        <v>879</v>
      </c>
      <c r="H131" s="28">
        <v>98615000</v>
      </c>
      <c r="I131" s="23" t="s">
        <v>1301</v>
      </c>
      <c r="J131" s="23" t="s">
        <v>1317</v>
      </c>
      <c r="K131" s="23" t="s">
        <v>754</v>
      </c>
      <c r="L131" s="23" t="str">
        <f>VLOOKUP(K131,Матрицы!B:C,2,0)</f>
        <v>село</v>
      </c>
      <c r="M131" s="31" t="s">
        <v>1318</v>
      </c>
      <c r="N131" s="28">
        <v>98615430101</v>
      </c>
      <c r="O131" s="36">
        <v>117</v>
      </c>
      <c r="P131" s="1">
        <v>2</v>
      </c>
      <c r="Q131" s="1" t="s">
        <v>1319</v>
      </c>
      <c r="R131" s="1" t="s">
        <v>1320</v>
      </c>
    </row>
    <row r="132" spans="1:18" ht="45">
      <c r="A132" s="23">
        <v>131</v>
      </c>
      <c r="B132" s="29">
        <v>0</v>
      </c>
      <c r="C132" s="23" t="s">
        <v>735</v>
      </c>
      <c r="D132" s="28">
        <v>98600000</v>
      </c>
      <c r="E132" s="23" t="s">
        <v>735</v>
      </c>
      <c r="F132" s="28">
        <v>98000000</v>
      </c>
      <c r="G132" s="30" t="s">
        <v>879</v>
      </c>
      <c r="H132" s="28">
        <v>98615000</v>
      </c>
      <c r="I132" s="23" t="s">
        <v>1321</v>
      </c>
      <c r="J132" s="30" t="s">
        <v>1322</v>
      </c>
      <c r="K132" s="29">
        <v>0</v>
      </c>
      <c r="L132" s="29">
        <v>0</v>
      </c>
      <c r="M132" s="29">
        <v>0</v>
      </c>
      <c r="N132" s="29">
        <v>0</v>
      </c>
      <c r="O132" s="39">
        <v>0</v>
      </c>
      <c r="P132" s="1">
        <v>2</v>
      </c>
    </row>
    <row r="133" spans="1:18">
      <c r="A133" s="23">
        <v>132</v>
      </c>
      <c r="B133" s="27">
        <f t="shared" si="3"/>
        <v>98616103001</v>
      </c>
      <c r="C133" s="23" t="s">
        <v>735</v>
      </c>
      <c r="D133" s="28">
        <v>98600000</v>
      </c>
      <c r="E133" s="23" t="s">
        <v>735</v>
      </c>
      <c r="F133" s="28">
        <v>98000000</v>
      </c>
      <c r="G133" s="30" t="s">
        <v>885</v>
      </c>
      <c r="H133" s="28">
        <v>98616000</v>
      </c>
      <c r="I133" s="23" t="s">
        <v>1323</v>
      </c>
      <c r="J133" s="23" t="s">
        <v>1324</v>
      </c>
      <c r="K133" s="23" t="s">
        <v>740</v>
      </c>
      <c r="L133" s="23" t="str">
        <f>VLOOKUP(K133,Матрицы!B:C,2,0)</f>
        <v>город</v>
      </c>
      <c r="M133" s="31" t="s">
        <v>589</v>
      </c>
      <c r="N133" s="28">
        <v>98616103001</v>
      </c>
      <c r="O133" s="36">
        <v>768</v>
      </c>
      <c r="P133" s="1">
        <v>1</v>
      </c>
      <c r="Q133" s="1" t="s">
        <v>1325</v>
      </c>
      <c r="R133" s="1" t="s">
        <v>1326</v>
      </c>
    </row>
    <row r="134" spans="1:18">
      <c r="A134" s="23">
        <v>133</v>
      </c>
      <c r="B134" s="27">
        <f t="shared" si="3"/>
        <v>98616151051</v>
      </c>
      <c r="C134" s="23" t="s">
        <v>735</v>
      </c>
      <c r="D134" s="28">
        <v>98600000</v>
      </c>
      <c r="E134" s="23" t="s">
        <v>735</v>
      </c>
      <c r="F134" s="28">
        <v>98000000</v>
      </c>
      <c r="G134" s="30" t="s">
        <v>885</v>
      </c>
      <c r="H134" s="28">
        <v>98616000</v>
      </c>
      <c r="I134" s="23" t="s">
        <v>1323</v>
      </c>
      <c r="J134" s="23" t="s">
        <v>1327</v>
      </c>
      <c r="K134" s="23" t="s">
        <v>819</v>
      </c>
      <c r="L134" s="23" t="str">
        <f>VLOOKUP(K134,Матрицы!B:C,2,0)</f>
        <v>поселок</v>
      </c>
      <c r="M134" s="31" t="s">
        <v>592</v>
      </c>
      <c r="N134" s="28">
        <v>98616151051</v>
      </c>
      <c r="O134" s="36">
        <v>3759</v>
      </c>
      <c r="P134" s="1">
        <v>1</v>
      </c>
      <c r="Q134" s="1" t="s">
        <v>1328</v>
      </c>
      <c r="R134" s="1" t="s">
        <v>1329</v>
      </c>
    </row>
    <row r="135" spans="1:18">
      <c r="A135" s="23">
        <v>134</v>
      </c>
      <c r="B135" s="27">
        <f t="shared" si="3"/>
        <v>98616151106</v>
      </c>
      <c r="C135" s="23" t="s">
        <v>735</v>
      </c>
      <c r="D135" s="28">
        <v>98600000</v>
      </c>
      <c r="E135" s="23" t="s">
        <v>735</v>
      </c>
      <c r="F135" s="28">
        <v>98000000</v>
      </c>
      <c r="G135" s="30" t="s">
        <v>885</v>
      </c>
      <c r="H135" s="28">
        <v>98616000</v>
      </c>
      <c r="I135" s="23" t="s">
        <v>1323</v>
      </c>
      <c r="J135" s="23" t="s">
        <v>1327</v>
      </c>
      <c r="K135" s="23" t="s">
        <v>754</v>
      </c>
      <c r="L135" s="23" t="str">
        <f>VLOOKUP(K135,Матрицы!B:C,2,0)</f>
        <v>село</v>
      </c>
      <c r="M135" s="31" t="s">
        <v>1330</v>
      </c>
      <c r="N135" s="28">
        <v>98616151106</v>
      </c>
      <c r="O135" s="32">
        <v>0</v>
      </c>
      <c r="P135" s="1">
        <v>2</v>
      </c>
      <c r="Q135" s="1" t="s">
        <v>1331</v>
      </c>
      <c r="R135" s="1" t="s">
        <v>1332</v>
      </c>
    </row>
    <row r="136" spans="1:18">
      <c r="A136" s="23">
        <v>135</v>
      </c>
      <c r="B136" s="27">
        <f t="shared" si="3"/>
        <v>98616151111</v>
      </c>
      <c r="C136" s="23" t="s">
        <v>735</v>
      </c>
      <c r="D136" s="28">
        <v>98600000</v>
      </c>
      <c r="E136" s="23" t="s">
        <v>735</v>
      </c>
      <c r="F136" s="28">
        <v>98000000</v>
      </c>
      <c r="G136" s="30" t="s">
        <v>885</v>
      </c>
      <c r="H136" s="28">
        <v>98616000</v>
      </c>
      <c r="I136" s="23" t="s">
        <v>1323</v>
      </c>
      <c r="J136" s="23" t="s">
        <v>1327</v>
      </c>
      <c r="K136" s="23" t="s">
        <v>754</v>
      </c>
      <c r="L136" s="23" t="str">
        <f>VLOOKUP(K136,Матрицы!B:C,2,0)</f>
        <v>село</v>
      </c>
      <c r="M136" s="31" t="s">
        <v>622</v>
      </c>
      <c r="N136" s="28">
        <v>98616151111</v>
      </c>
      <c r="O136" s="32">
        <v>0</v>
      </c>
      <c r="P136" s="1">
        <v>2</v>
      </c>
      <c r="Q136" s="1" t="s">
        <v>1333</v>
      </c>
      <c r="R136" s="1" t="s">
        <v>1334</v>
      </c>
    </row>
    <row r="137" spans="1:18">
      <c r="A137" s="23">
        <v>136</v>
      </c>
      <c r="B137" s="27">
        <f t="shared" si="3"/>
        <v>98616156051</v>
      </c>
      <c r="C137" s="23" t="s">
        <v>735</v>
      </c>
      <c r="D137" s="28">
        <v>98600000</v>
      </c>
      <c r="E137" s="23" t="s">
        <v>735</v>
      </c>
      <c r="F137" s="28">
        <v>98000000</v>
      </c>
      <c r="G137" s="30" t="s">
        <v>885</v>
      </c>
      <c r="H137" s="28">
        <v>98616000</v>
      </c>
      <c r="I137" s="23" t="s">
        <v>1323</v>
      </c>
      <c r="J137" s="23" t="s">
        <v>1335</v>
      </c>
      <c r="K137" s="23" t="s">
        <v>819</v>
      </c>
      <c r="L137" s="23" t="str">
        <f>VLOOKUP(K137,Матрицы!B:C,2,0)</f>
        <v>поселок</v>
      </c>
      <c r="M137" s="31" t="s">
        <v>1336</v>
      </c>
      <c r="N137" s="28">
        <v>98616156051</v>
      </c>
      <c r="O137" s="36">
        <v>156</v>
      </c>
      <c r="P137" s="1">
        <v>1</v>
      </c>
      <c r="Q137" s="1" t="s">
        <v>1337</v>
      </c>
      <c r="R137" s="1" t="s">
        <v>1338</v>
      </c>
    </row>
    <row r="138" spans="1:18">
      <c r="A138" s="23">
        <v>137</v>
      </c>
      <c r="B138" s="27">
        <f t="shared" si="3"/>
        <v>98616404101</v>
      </c>
      <c r="C138" s="23" t="s">
        <v>735</v>
      </c>
      <c r="D138" s="28">
        <v>98600000</v>
      </c>
      <c r="E138" s="23" t="s">
        <v>735</v>
      </c>
      <c r="F138" s="28">
        <v>98000000</v>
      </c>
      <c r="G138" s="30" t="s">
        <v>885</v>
      </c>
      <c r="H138" s="28">
        <v>98616000</v>
      </c>
      <c r="I138" s="23" t="s">
        <v>1339</v>
      </c>
      <c r="J138" s="23" t="s">
        <v>1340</v>
      </c>
      <c r="K138" s="23" t="s">
        <v>754</v>
      </c>
      <c r="L138" s="23" t="str">
        <f>VLOOKUP(K138,Матрицы!B:C,2,0)</f>
        <v>село</v>
      </c>
      <c r="M138" s="31" t="s">
        <v>1341</v>
      </c>
      <c r="N138" s="28">
        <v>98616404101</v>
      </c>
      <c r="O138" s="36">
        <v>619</v>
      </c>
      <c r="P138" s="1">
        <v>2</v>
      </c>
      <c r="Q138" s="1" t="s">
        <v>1342</v>
      </c>
      <c r="R138" s="1" t="s">
        <v>1343</v>
      </c>
    </row>
    <row r="139" spans="1:18">
      <c r="A139" s="23">
        <v>138</v>
      </c>
      <c r="B139" s="27">
        <f t="shared" si="3"/>
        <v>98616404106</v>
      </c>
      <c r="C139" s="23" t="s">
        <v>735</v>
      </c>
      <c r="D139" s="28">
        <v>98600000</v>
      </c>
      <c r="E139" s="23" t="s">
        <v>735</v>
      </c>
      <c r="F139" s="28">
        <v>98000000</v>
      </c>
      <c r="G139" s="30" t="s">
        <v>885</v>
      </c>
      <c r="H139" s="28">
        <v>98616000</v>
      </c>
      <c r="I139" s="23" t="s">
        <v>1339</v>
      </c>
      <c r="J139" s="23" t="s">
        <v>1340</v>
      </c>
      <c r="K139" s="23" t="s">
        <v>754</v>
      </c>
      <c r="L139" s="23" t="str">
        <f>VLOOKUP(K139,Матрицы!B:C,2,0)</f>
        <v>село</v>
      </c>
      <c r="M139" s="31" t="s">
        <v>1344</v>
      </c>
      <c r="N139" s="28">
        <v>98616404106</v>
      </c>
      <c r="O139" s="36">
        <v>97</v>
      </c>
      <c r="P139" s="1">
        <v>2</v>
      </c>
      <c r="Q139" s="1" t="s">
        <v>1345</v>
      </c>
      <c r="R139" s="1" t="s">
        <v>1346</v>
      </c>
    </row>
    <row r="140" spans="1:18">
      <c r="A140" s="23">
        <v>139</v>
      </c>
      <c r="B140" s="27">
        <f t="shared" si="3"/>
        <v>98616404111</v>
      </c>
      <c r="C140" s="23" t="s">
        <v>735</v>
      </c>
      <c r="D140" s="28">
        <v>98600000</v>
      </c>
      <c r="E140" s="23" t="s">
        <v>735</v>
      </c>
      <c r="F140" s="28">
        <v>98000000</v>
      </c>
      <c r="G140" s="30" t="s">
        <v>885</v>
      </c>
      <c r="H140" s="28">
        <v>98616000</v>
      </c>
      <c r="I140" s="23" t="s">
        <v>1339</v>
      </c>
      <c r="J140" s="23" t="s">
        <v>1340</v>
      </c>
      <c r="K140" s="23" t="s">
        <v>754</v>
      </c>
      <c r="L140" s="23" t="str">
        <f>VLOOKUP(K140,Матрицы!B:C,2,0)</f>
        <v>село</v>
      </c>
      <c r="M140" s="31" t="s">
        <v>1347</v>
      </c>
      <c r="N140" s="28">
        <v>98616404111</v>
      </c>
      <c r="O140" s="32">
        <v>0</v>
      </c>
      <c r="P140" s="1">
        <v>2</v>
      </c>
      <c r="Q140" s="1" t="s">
        <v>1348</v>
      </c>
      <c r="R140" s="1" t="s">
        <v>1349</v>
      </c>
    </row>
    <row r="141" spans="1:18">
      <c r="A141" s="23">
        <v>140</v>
      </c>
      <c r="B141" s="27">
        <f t="shared" si="3"/>
        <v>98616409101</v>
      </c>
      <c r="C141" s="23" t="s">
        <v>735</v>
      </c>
      <c r="D141" s="28">
        <v>98600000</v>
      </c>
      <c r="E141" s="23" t="s">
        <v>735</v>
      </c>
      <c r="F141" s="28">
        <v>98000000</v>
      </c>
      <c r="G141" s="30" t="s">
        <v>885</v>
      </c>
      <c r="H141" s="28">
        <v>98616000</v>
      </c>
      <c r="I141" s="23" t="s">
        <v>1339</v>
      </c>
      <c r="J141" s="23" t="s">
        <v>1302</v>
      </c>
      <c r="K141" s="23" t="s">
        <v>754</v>
      </c>
      <c r="L141" s="23" t="str">
        <f>VLOOKUP(K141,Матрицы!B:C,2,0)</f>
        <v>село</v>
      </c>
      <c r="M141" s="31" t="s">
        <v>614</v>
      </c>
      <c r="N141" s="28">
        <v>98616409101</v>
      </c>
      <c r="O141" s="36">
        <v>327</v>
      </c>
      <c r="P141" s="1">
        <v>2</v>
      </c>
      <c r="Q141" s="1" t="s">
        <v>1350</v>
      </c>
      <c r="R141" s="1" t="s">
        <v>1351</v>
      </c>
    </row>
    <row r="142" spans="1:18">
      <c r="A142" s="23">
        <v>141</v>
      </c>
      <c r="B142" s="27">
        <f t="shared" si="3"/>
        <v>98616409106</v>
      </c>
      <c r="C142" s="23" t="s">
        <v>735</v>
      </c>
      <c r="D142" s="28">
        <v>98600000</v>
      </c>
      <c r="E142" s="23" t="s">
        <v>735</v>
      </c>
      <c r="F142" s="28">
        <v>98000000</v>
      </c>
      <c r="G142" s="30" t="s">
        <v>885</v>
      </c>
      <c r="H142" s="28">
        <v>98616000</v>
      </c>
      <c r="I142" s="23" t="s">
        <v>1339</v>
      </c>
      <c r="J142" s="23" t="s">
        <v>1302</v>
      </c>
      <c r="K142" s="23" t="s">
        <v>754</v>
      </c>
      <c r="L142" s="23" t="str">
        <f>VLOOKUP(K142,Матрицы!B:C,2,0)</f>
        <v>село</v>
      </c>
      <c r="M142" s="31" t="s">
        <v>1352</v>
      </c>
      <c r="N142" s="28">
        <v>98616409106</v>
      </c>
      <c r="O142" s="32">
        <v>0</v>
      </c>
      <c r="P142" s="1">
        <v>2</v>
      </c>
      <c r="Q142" s="1" t="s">
        <v>1353</v>
      </c>
      <c r="R142" s="1" t="s">
        <v>1354</v>
      </c>
    </row>
    <row r="143" spans="1:18">
      <c r="A143" s="23">
        <v>142</v>
      </c>
      <c r="B143" s="27">
        <f t="shared" si="3"/>
        <v>98616412101</v>
      </c>
      <c r="C143" s="23" t="s">
        <v>735</v>
      </c>
      <c r="D143" s="28">
        <v>98600000</v>
      </c>
      <c r="E143" s="23" t="s">
        <v>735</v>
      </c>
      <c r="F143" s="28">
        <v>98000000</v>
      </c>
      <c r="G143" s="30" t="s">
        <v>885</v>
      </c>
      <c r="H143" s="28">
        <v>98616000</v>
      </c>
      <c r="I143" s="23" t="s">
        <v>1339</v>
      </c>
      <c r="J143" s="23" t="s">
        <v>1355</v>
      </c>
      <c r="K143" s="23" t="s">
        <v>754</v>
      </c>
      <c r="L143" s="23" t="str">
        <f>VLOOKUP(K143,Матрицы!B:C,2,0)</f>
        <v>село</v>
      </c>
      <c r="M143" s="31" t="s">
        <v>1356</v>
      </c>
      <c r="N143" s="28">
        <v>98616412101</v>
      </c>
      <c r="O143" s="36">
        <v>91</v>
      </c>
      <c r="P143" s="1">
        <v>2</v>
      </c>
      <c r="Q143" s="1" t="s">
        <v>1357</v>
      </c>
      <c r="R143" s="1" t="s">
        <v>1358</v>
      </c>
    </row>
    <row r="144" spans="1:18">
      <c r="A144" s="23">
        <v>143</v>
      </c>
      <c r="B144" s="27">
        <f t="shared" si="3"/>
        <v>98616414101</v>
      </c>
      <c r="C144" s="23" t="s">
        <v>735</v>
      </c>
      <c r="D144" s="28">
        <v>98600000</v>
      </c>
      <c r="E144" s="23" t="s">
        <v>735</v>
      </c>
      <c r="F144" s="28">
        <v>98000000</v>
      </c>
      <c r="G144" s="30" t="s">
        <v>885</v>
      </c>
      <c r="H144" s="28">
        <v>98616000</v>
      </c>
      <c r="I144" s="23" t="s">
        <v>1339</v>
      </c>
      <c r="J144" s="23" t="s">
        <v>1359</v>
      </c>
      <c r="K144" s="23" t="s">
        <v>754</v>
      </c>
      <c r="L144" s="23" t="str">
        <f>VLOOKUP(K144,Матрицы!B:C,2,0)</f>
        <v>село</v>
      </c>
      <c r="M144" s="31" t="s">
        <v>618</v>
      </c>
      <c r="N144" s="28">
        <v>98616414101</v>
      </c>
      <c r="O144" s="36">
        <v>499</v>
      </c>
      <c r="P144" s="1">
        <v>2</v>
      </c>
      <c r="Q144" s="11" t="s">
        <v>1360</v>
      </c>
      <c r="R144" s="11" t="s">
        <v>1361</v>
      </c>
    </row>
    <row r="145" spans="1:18">
      <c r="A145" s="23">
        <v>144</v>
      </c>
      <c r="B145" s="27">
        <f t="shared" si="3"/>
        <v>98616414106</v>
      </c>
      <c r="C145" s="23" t="s">
        <v>735</v>
      </c>
      <c r="D145" s="28">
        <v>98600000</v>
      </c>
      <c r="E145" s="23" t="s">
        <v>735</v>
      </c>
      <c r="F145" s="28">
        <v>98000000</v>
      </c>
      <c r="G145" s="30" t="s">
        <v>885</v>
      </c>
      <c r="H145" s="28">
        <v>98616000</v>
      </c>
      <c r="I145" s="23" t="s">
        <v>1339</v>
      </c>
      <c r="J145" s="23" t="s">
        <v>1359</v>
      </c>
      <c r="K145" s="23" t="s">
        <v>754</v>
      </c>
      <c r="L145" s="23" t="str">
        <f>VLOOKUP(K145,Матрицы!B:C,2,0)</f>
        <v>село</v>
      </c>
      <c r="M145" s="31" t="s">
        <v>1362</v>
      </c>
      <c r="N145" s="28">
        <v>98616414106</v>
      </c>
      <c r="O145" s="36">
        <v>156</v>
      </c>
      <c r="P145" s="1">
        <v>2</v>
      </c>
      <c r="Q145" s="1" t="s">
        <v>1363</v>
      </c>
      <c r="R145" s="1" t="s">
        <v>1364</v>
      </c>
    </row>
    <row r="146" spans="1:18">
      <c r="A146" s="23">
        <v>145</v>
      </c>
      <c r="B146" s="27">
        <f t="shared" si="3"/>
        <v>98616425101</v>
      </c>
      <c r="C146" s="23" t="s">
        <v>735</v>
      </c>
      <c r="D146" s="28">
        <v>98600000</v>
      </c>
      <c r="E146" s="23" t="s">
        <v>735</v>
      </c>
      <c r="F146" s="28">
        <v>98000000</v>
      </c>
      <c r="G146" s="30" t="s">
        <v>885</v>
      </c>
      <c r="H146" s="28">
        <v>98616000</v>
      </c>
      <c r="I146" s="23" t="s">
        <v>1339</v>
      </c>
      <c r="J146" s="23" t="s">
        <v>1365</v>
      </c>
      <c r="K146" s="23" t="s">
        <v>754</v>
      </c>
      <c r="L146" s="23" t="str">
        <f>VLOOKUP(K146,Матрицы!B:C,2,0)</f>
        <v>село</v>
      </c>
      <c r="M146" s="31" t="s">
        <v>618</v>
      </c>
      <c r="N146" s="28">
        <v>98616425101</v>
      </c>
      <c r="O146" s="36">
        <v>281</v>
      </c>
      <c r="P146" s="1">
        <v>2</v>
      </c>
      <c r="Q146" s="1" t="s">
        <v>1366</v>
      </c>
      <c r="R146" s="1" t="s">
        <v>1367</v>
      </c>
    </row>
    <row r="147" spans="1:18">
      <c r="A147" s="23">
        <v>146</v>
      </c>
      <c r="B147" s="27">
        <f t="shared" si="3"/>
        <v>98616442101</v>
      </c>
      <c r="C147" s="23" t="s">
        <v>735</v>
      </c>
      <c r="D147" s="28">
        <v>98600000</v>
      </c>
      <c r="E147" s="23" t="s">
        <v>735</v>
      </c>
      <c r="F147" s="28">
        <v>98000000</v>
      </c>
      <c r="G147" s="30" t="s">
        <v>885</v>
      </c>
      <c r="H147" s="28">
        <v>98616000</v>
      </c>
      <c r="I147" s="23" t="s">
        <v>1339</v>
      </c>
      <c r="J147" s="23" t="s">
        <v>1368</v>
      </c>
      <c r="K147" s="23" t="s">
        <v>754</v>
      </c>
      <c r="L147" s="23" t="str">
        <f>VLOOKUP(K147,Матрицы!B:C,2,0)</f>
        <v>село</v>
      </c>
      <c r="M147" s="31" t="s">
        <v>611</v>
      </c>
      <c r="N147" s="28">
        <v>98616442101</v>
      </c>
      <c r="O147" s="36">
        <v>435</v>
      </c>
      <c r="P147" s="1">
        <v>2</v>
      </c>
      <c r="Q147" s="1" t="s">
        <v>1369</v>
      </c>
      <c r="R147" s="1" t="s">
        <v>1370</v>
      </c>
    </row>
    <row r="148" spans="1:18">
      <c r="A148" s="23">
        <v>147</v>
      </c>
      <c r="B148" s="27">
        <f t="shared" si="3"/>
        <v>98616442106</v>
      </c>
      <c r="C148" s="23" t="s">
        <v>735</v>
      </c>
      <c r="D148" s="28">
        <v>98600000</v>
      </c>
      <c r="E148" s="23" t="s">
        <v>735</v>
      </c>
      <c r="F148" s="28">
        <v>98000000</v>
      </c>
      <c r="G148" s="30" t="s">
        <v>885</v>
      </c>
      <c r="H148" s="28">
        <v>98616000</v>
      </c>
      <c r="I148" s="23" t="s">
        <v>1339</v>
      </c>
      <c r="J148" s="23" t="s">
        <v>1368</v>
      </c>
      <c r="K148" s="23" t="s">
        <v>754</v>
      </c>
      <c r="L148" s="23" t="str">
        <f>VLOOKUP(K148,Матрицы!B:C,2,0)</f>
        <v>село</v>
      </c>
      <c r="M148" s="31" t="s">
        <v>1371</v>
      </c>
      <c r="N148" s="28">
        <v>98616442106</v>
      </c>
      <c r="O148" s="36">
        <v>25</v>
      </c>
      <c r="P148" s="1">
        <v>2</v>
      </c>
      <c r="Q148" s="1" t="s">
        <v>1372</v>
      </c>
      <c r="R148" s="1" t="s">
        <v>1373</v>
      </c>
    </row>
    <row r="149" spans="1:18">
      <c r="A149" s="23">
        <v>148</v>
      </c>
      <c r="B149" s="27">
        <f t="shared" si="3"/>
        <v>98616445101</v>
      </c>
      <c r="C149" s="23" t="s">
        <v>735</v>
      </c>
      <c r="D149" s="28">
        <v>98600000</v>
      </c>
      <c r="E149" s="23" t="s">
        <v>735</v>
      </c>
      <c r="F149" s="28">
        <v>98000000</v>
      </c>
      <c r="G149" s="30" t="s">
        <v>885</v>
      </c>
      <c r="H149" s="28">
        <v>98616000</v>
      </c>
      <c r="I149" s="23" t="s">
        <v>1339</v>
      </c>
      <c r="J149" s="23" t="s">
        <v>1374</v>
      </c>
      <c r="K149" s="23" t="s">
        <v>754</v>
      </c>
      <c r="L149" s="23" t="str">
        <f>VLOOKUP(K149,Матрицы!B:C,2,0)</f>
        <v>село</v>
      </c>
      <c r="M149" s="31" t="s">
        <v>1375</v>
      </c>
      <c r="N149" s="28">
        <v>98616445101</v>
      </c>
      <c r="O149" s="36">
        <v>286</v>
      </c>
      <c r="P149" s="1">
        <v>2</v>
      </c>
      <c r="Q149" s="1" t="s">
        <v>1376</v>
      </c>
      <c r="R149" s="1" t="s">
        <v>1377</v>
      </c>
    </row>
    <row r="150" spans="1:18">
      <c r="A150" s="23">
        <v>149</v>
      </c>
      <c r="B150" s="27">
        <f t="shared" si="3"/>
        <v>98616448101</v>
      </c>
      <c r="C150" s="23" t="s">
        <v>735</v>
      </c>
      <c r="D150" s="28">
        <v>98600000</v>
      </c>
      <c r="E150" s="23" t="s">
        <v>735</v>
      </c>
      <c r="F150" s="28">
        <v>98000000</v>
      </c>
      <c r="G150" s="30" t="s">
        <v>885</v>
      </c>
      <c r="H150" s="28">
        <v>98616000</v>
      </c>
      <c r="I150" s="23" t="s">
        <v>1339</v>
      </c>
      <c r="J150" s="23" t="s">
        <v>1378</v>
      </c>
      <c r="K150" s="23" t="s">
        <v>754</v>
      </c>
      <c r="L150" s="23" t="str">
        <f>VLOOKUP(K150,Матрицы!B:C,2,0)</f>
        <v>село</v>
      </c>
      <c r="M150" s="31" t="s">
        <v>1379</v>
      </c>
      <c r="N150" s="28">
        <v>98616448101</v>
      </c>
      <c r="O150" s="36">
        <v>333</v>
      </c>
      <c r="P150" s="1">
        <v>2</v>
      </c>
      <c r="Q150" s="1" t="s">
        <v>1380</v>
      </c>
      <c r="R150" s="1" t="s">
        <v>1381</v>
      </c>
    </row>
    <row r="151" spans="1:18">
      <c r="A151" s="23">
        <v>150</v>
      </c>
      <c r="B151" s="27">
        <f t="shared" si="3"/>
        <v>98616453101</v>
      </c>
      <c r="C151" s="23" t="s">
        <v>735</v>
      </c>
      <c r="D151" s="28">
        <v>98600000</v>
      </c>
      <c r="E151" s="23" t="s">
        <v>735</v>
      </c>
      <c r="F151" s="28">
        <v>98000000</v>
      </c>
      <c r="G151" s="30" t="s">
        <v>885</v>
      </c>
      <c r="H151" s="28">
        <v>98616000</v>
      </c>
      <c r="I151" s="23" t="s">
        <v>1339</v>
      </c>
      <c r="J151" s="23" t="s">
        <v>1382</v>
      </c>
      <c r="K151" s="23" t="s">
        <v>754</v>
      </c>
      <c r="L151" s="23" t="str">
        <f>VLOOKUP(K151,Матрицы!B:C,2,0)</f>
        <v>село</v>
      </c>
      <c r="M151" s="31" t="s">
        <v>1383</v>
      </c>
      <c r="N151" s="28">
        <v>98616453101</v>
      </c>
      <c r="O151" s="36">
        <v>776</v>
      </c>
      <c r="P151" s="1">
        <v>2</v>
      </c>
      <c r="Q151" s="1" t="s">
        <v>1384</v>
      </c>
      <c r="R151" s="1" t="s">
        <v>1385</v>
      </c>
    </row>
    <row r="152" spans="1:18">
      <c r="A152" s="23">
        <v>151</v>
      </c>
      <c r="B152" s="27">
        <f t="shared" si="3"/>
        <v>98616453106</v>
      </c>
      <c r="C152" s="23" t="s">
        <v>735</v>
      </c>
      <c r="D152" s="28">
        <v>98600000</v>
      </c>
      <c r="E152" s="23" t="s">
        <v>735</v>
      </c>
      <c r="F152" s="28">
        <v>98000000</v>
      </c>
      <c r="G152" s="30" t="s">
        <v>885</v>
      </c>
      <c r="H152" s="28">
        <v>98616000</v>
      </c>
      <c r="I152" s="23" t="s">
        <v>1339</v>
      </c>
      <c r="J152" s="23" t="s">
        <v>1382</v>
      </c>
      <c r="K152" s="23" t="s">
        <v>754</v>
      </c>
      <c r="L152" s="23" t="str">
        <f>VLOOKUP(K152,Матрицы!B:C,2,0)</f>
        <v>село</v>
      </c>
      <c r="M152" s="31" t="s">
        <v>1386</v>
      </c>
      <c r="N152" s="28">
        <v>98616453106</v>
      </c>
      <c r="O152" s="32">
        <v>0</v>
      </c>
      <c r="P152" s="1">
        <v>2</v>
      </c>
      <c r="Q152" s="1" t="s">
        <v>1387</v>
      </c>
      <c r="R152" s="1" t="s">
        <v>1388</v>
      </c>
    </row>
    <row r="153" spans="1:18">
      <c r="A153" s="23">
        <v>152</v>
      </c>
      <c r="B153" s="27">
        <f t="shared" si="3"/>
        <v>98616460101</v>
      </c>
      <c r="C153" s="23" t="s">
        <v>735</v>
      </c>
      <c r="D153" s="28">
        <v>98600000</v>
      </c>
      <c r="E153" s="23" t="s">
        <v>735</v>
      </c>
      <c r="F153" s="28">
        <v>98000000</v>
      </c>
      <c r="G153" s="30" t="s">
        <v>885</v>
      </c>
      <c r="H153" s="28">
        <v>98616000</v>
      </c>
      <c r="I153" s="23" t="s">
        <v>1339</v>
      </c>
      <c r="J153" s="23" t="s">
        <v>1389</v>
      </c>
      <c r="K153" s="23" t="s">
        <v>754</v>
      </c>
      <c r="L153" s="23" t="str">
        <f>VLOOKUP(K153,Матрицы!B:C,2,0)</f>
        <v>село</v>
      </c>
      <c r="M153" s="31" t="s">
        <v>1390</v>
      </c>
      <c r="N153" s="28">
        <v>98616460101</v>
      </c>
      <c r="O153" s="36">
        <v>223</v>
      </c>
      <c r="P153" s="1">
        <v>2</v>
      </c>
      <c r="Q153" s="1" t="s">
        <v>1391</v>
      </c>
      <c r="R153" s="1" t="s">
        <v>1392</v>
      </c>
    </row>
    <row r="154" spans="1:18">
      <c r="A154" s="23">
        <v>153</v>
      </c>
      <c r="B154" s="27">
        <f t="shared" si="3"/>
        <v>98616464101</v>
      </c>
      <c r="C154" s="23" t="s">
        <v>735</v>
      </c>
      <c r="D154" s="28">
        <v>98600000</v>
      </c>
      <c r="E154" s="23" t="s">
        <v>735</v>
      </c>
      <c r="F154" s="28">
        <v>98000000</v>
      </c>
      <c r="G154" s="30" t="s">
        <v>885</v>
      </c>
      <c r="H154" s="28">
        <v>98616000</v>
      </c>
      <c r="I154" s="23" t="s">
        <v>1339</v>
      </c>
      <c r="J154" s="23" t="s">
        <v>1393</v>
      </c>
      <c r="K154" s="23" t="s">
        <v>754</v>
      </c>
      <c r="L154" s="23" t="str">
        <f>VLOOKUP(K154,Матрицы!B:C,2,0)</f>
        <v>село</v>
      </c>
      <c r="M154" s="31" t="s">
        <v>595</v>
      </c>
      <c r="N154" s="28">
        <v>98616464101</v>
      </c>
      <c r="O154" s="36">
        <v>429</v>
      </c>
      <c r="P154" s="1">
        <v>2</v>
      </c>
      <c r="Q154" s="1" t="s">
        <v>1394</v>
      </c>
      <c r="R154" s="1" t="s">
        <v>1395</v>
      </c>
    </row>
    <row r="155" spans="1:18">
      <c r="A155" s="23">
        <v>154</v>
      </c>
      <c r="B155" s="27">
        <f t="shared" si="3"/>
        <v>98616464106</v>
      </c>
      <c r="C155" s="23" t="s">
        <v>735</v>
      </c>
      <c r="D155" s="28">
        <v>98600000</v>
      </c>
      <c r="E155" s="23" t="s">
        <v>735</v>
      </c>
      <c r="F155" s="28">
        <v>98000000</v>
      </c>
      <c r="G155" s="30" t="s">
        <v>885</v>
      </c>
      <c r="H155" s="28">
        <v>98616000</v>
      </c>
      <c r="I155" s="23" t="s">
        <v>1339</v>
      </c>
      <c r="J155" s="23" t="s">
        <v>1393</v>
      </c>
      <c r="K155" s="23" t="s">
        <v>754</v>
      </c>
      <c r="L155" s="23" t="str">
        <f>VLOOKUP(K155,Матрицы!B:C,2,0)</f>
        <v>село</v>
      </c>
      <c r="M155" s="31" t="s">
        <v>1396</v>
      </c>
      <c r="N155" s="28">
        <v>98616464106</v>
      </c>
      <c r="O155" s="36">
        <v>110</v>
      </c>
      <c r="P155" s="1">
        <v>2</v>
      </c>
      <c r="Q155" s="1" t="s">
        <v>1397</v>
      </c>
      <c r="R155" s="1" t="s">
        <v>1398</v>
      </c>
    </row>
    <row r="156" spans="1:18">
      <c r="A156" s="23">
        <v>155</v>
      </c>
      <c r="B156" s="27">
        <f t="shared" si="3"/>
        <v>98616470101</v>
      </c>
      <c r="C156" s="23" t="s">
        <v>735</v>
      </c>
      <c r="D156" s="28">
        <v>98600000</v>
      </c>
      <c r="E156" s="23" t="s">
        <v>735</v>
      </c>
      <c r="F156" s="28">
        <v>98000000</v>
      </c>
      <c r="G156" s="30" t="s">
        <v>885</v>
      </c>
      <c r="H156" s="28">
        <v>98616000</v>
      </c>
      <c r="I156" s="23" t="s">
        <v>1339</v>
      </c>
      <c r="J156" s="23" t="s">
        <v>1399</v>
      </c>
      <c r="K156" s="23" t="s">
        <v>754</v>
      </c>
      <c r="L156" s="23" t="str">
        <f>VLOOKUP(K156,Матрицы!B:C,2,0)</f>
        <v>село</v>
      </c>
      <c r="M156" s="31" t="s">
        <v>1400</v>
      </c>
      <c r="N156" s="28">
        <v>98616470101</v>
      </c>
      <c r="O156" s="36">
        <v>364</v>
      </c>
      <c r="P156" s="1">
        <v>2</v>
      </c>
      <c r="Q156" s="1" t="s">
        <v>1401</v>
      </c>
      <c r="R156" s="1" t="s">
        <v>1402</v>
      </c>
    </row>
    <row r="157" spans="1:18">
      <c r="A157" s="23">
        <v>156</v>
      </c>
      <c r="B157" s="27">
        <f t="shared" si="3"/>
        <v>98616470106</v>
      </c>
      <c r="C157" s="23" t="s">
        <v>735</v>
      </c>
      <c r="D157" s="28">
        <v>98600000</v>
      </c>
      <c r="E157" s="23" t="s">
        <v>735</v>
      </c>
      <c r="F157" s="28">
        <v>98000000</v>
      </c>
      <c r="G157" s="30" t="s">
        <v>885</v>
      </c>
      <c r="H157" s="28">
        <v>98616000</v>
      </c>
      <c r="I157" s="23" t="s">
        <v>1339</v>
      </c>
      <c r="J157" s="23" t="s">
        <v>1399</v>
      </c>
      <c r="K157" s="23" t="s">
        <v>754</v>
      </c>
      <c r="L157" s="23" t="str">
        <f>VLOOKUP(K157,Матрицы!B:C,2,0)</f>
        <v>село</v>
      </c>
      <c r="M157" s="31" t="s">
        <v>780</v>
      </c>
      <c r="N157" s="28">
        <v>98616470106</v>
      </c>
      <c r="O157" s="36">
        <v>1</v>
      </c>
      <c r="P157" s="1">
        <v>2</v>
      </c>
      <c r="Q157" s="11" t="s">
        <v>1403</v>
      </c>
      <c r="R157" s="11" t="s">
        <v>1404</v>
      </c>
    </row>
    <row r="158" spans="1:18">
      <c r="A158" s="23">
        <v>157</v>
      </c>
      <c r="B158" s="27">
        <f t="shared" si="3"/>
        <v>98616477101</v>
      </c>
      <c r="C158" s="23" t="s">
        <v>735</v>
      </c>
      <c r="D158" s="28">
        <v>98600000</v>
      </c>
      <c r="E158" s="23" t="s">
        <v>735</v>
      </c>
      <c r="F158" s="28">
        <v>98000000</v>
      </c>
      <c r="G158" s="30" t="s">
        <v>885</v>
      </c>
      <c r="H158" s="28">
        <v>98616000</v>
      </c>
      <c r="I158" s="23" t="s">
        <v>1339</v>
      </c>
      <c r="J158" s="23" t="s">
        <v>1405</v>
      </c>
      <c r="K158" s="23" t="s">
        <v>754</v>
      </c>
      <c r="L158" s="23" t="str">
        <f>VLOOKUP(K158,Матрицы!B:C,2,0)</f>
        <v>село</v>
      </c>
      <c r="M158" s="31" t="s">
        <v>1406</v>
      </c>
      <c r="N158" s="28">
        <v>98616477101</v>
      </c>
      <c r="O158" s="36">
        <v>260</v>
      </c>
      <c r="P158" s="1">
        <v>2</v>
      </c>
      <c r="Q158" s="1" t="s">
        <v>1407</v>
      </c>
      <c r="R158" s="1" t="s">
        <v>1408</v>
      </c>
    </row>
    <row r="159" spans="1:18">
      <c r="A159" s="23">
        <v>158</v>
      </c>
      <c r="B159" s="27">
        <f t="shared" si="3"/>
        <v>98616477106</v>
      </c>
      <c r="C159" s="23" t="s">
        <v>735</v>
      </c>
      <c r="D159" s="28">
        <v>98600000</v>
      </c>
      <c r="E159" s="23" t="s">
        <v>735</v>
      </c>
      <c r="F159" s="28">
        <v>98000000</v>
      </c>
      <c r="G159" s="30" t="s">
        <v>885</v>
      </c>
      <c r="H159" s="28">
        <v>98616000</v>
      </c>
      <c r="I159" s="23" t="s">
        <v>1339</v>
      </c>
      <c r="J159" s="23" t="s">
        <v>1405</v>
      </c>
      <c r="K159" s="23" t="s">
        <v>754</v>
      </c>
      <c r="L159" s="23" t="str">
        <f>VLOOKUP(K159,Матрицы!B:C,2,0)</f>
        <v>село</v>
      </c>
      <c r="M159" s="31" t="s">
        <v>1409</v>
      </c>
      <c r="N159" s="28">
        <v>98616477106</v>
      </c>
      <c r="O159" s="36">
        <v>83</v>
      </c>
      <c r="P159" s="1">
        <v>2</v>
      </c>
      <c r="Q159" s="1" t="s">
        <v>1410</v>
      </c>
      <c r="R159" s="1" t="s">
        <v>1411</v>
      </c>
    </row>
    <row r="160" spans="1:18">
      <c r="A160" s="23">
        <v>159</v>
      </c>
      <c r="B160" s="27">
        <f t="shared" si="3"/>
        <v>98616488101</v>
      </c>
      <c r="C160" s="23" t="s">
        <v>735</v>
      </c>
      <c r="D160" s="28">
        <v>98600000</v>
      </c>
      <c r="E160" s="23" t="s">
        <v>735</v>
      </c>
      <c r="F160" s="28">
        <v>98000000</v>
      </c>
      <c r="G160" s="30" t="s">
        <v>885</v>
      </c>
      <c r="H160" s="28">
        <v>98616000</v>
      </c>
      <c r="I160" s="23" t="s">
        <v>1339</v>
      </c>
      <c r="J160" s="23" t="s">
        <v>1412</v>
      </c>
      <c r="K160" s="23" t="s">
        <v>754</v>
      </c>
      <c r="L160" s="23" t="str">
        <f>VLOOKUP(K160,Матрицы!B:C,2,0)</f>
        <v>село</v>
      </c>
      <c r="M160" s="31" t="s">
        <v>1413</v>
      </c>
      <c r="N160" s="28">
        <v>98616488101</v>
      </c>
      <c r="O160" s="36">
        <v>130</v>
      </c>
      <c r="P160" s="1">
        <v>2</v>
      </c>
      <c r="Q160" s="1" t="s">
        <v>1414</v>
      </c>
      <c r="R160" s="1" t="s">
        <v>1415</v>
      </c>
    </row>
    <row r="161" spans="1:18">
      <c r="A161" s="23">
        <v>160</v>
      </c>
      <c r="B161" s="27">
        <f t="shared" si="3"/>
        <v>98616488106</v>
      </c>
      <c r="C161" s="23" t="s">
        <v>735</v>
      </c>
      <c r="D161" s="28">
        <v>98600000</v>
      </c>
      <c r="E161" s="23" t="s">
        <v>735</v>
      </c>
      <c r="F161" s="28">
        <v>98000000</v>
      </c>
      <c r="G161" s="30" t="s">
        <v>885</v>
      </c>
      <c r="H161" s="28">
        <v>98616000</v>
      </c>
      <c r="I161" s="23" t="s">
        <v>1339</v>
      </c>
      <c r="J161" s="23" t="s">
        <v>1412</v>
      </c>
      <c r="K161" s="23" t="s">
        <v>754</v>
      </c>
      <c r="L161" s="23" t="str">
        <f>VLOOKUP(K161,Матрицы!B:C,2,0)</f>
        <v>село</v>
      </c>
      <c r="M161" s="31" t="s">
        <v>1416</v>
      </c>
      <c r="N161" s="28">
        <v>98616488106</v>
      </c>
      <c r="O161" s="32">
        <v>0</v>
      </c>
      <c r="P161" s="1">
        <v>2</v>
      </c>
      <c r="Q161" s="1" t="s">
        <v>1417</v>
      </c>
      <c r="R161" s="1" t="s">
        <v>1418</v>
      </c>
    </row>
    <row r="162" spans="1:18">
      <c r="A162" s="23">
        <v>161</v>
      </c>
      <c r="B162" s="27">
        <f t="shared" si="3"/>
        <v>98618101001</v>
      </c>
      <c r="C162" s="23" t="s">
        <v>735</v>
      </c>
      <c r="D162" s="28">
        <v>98600000</v>
      </c>
      <c r="E162" s="23" t="s">
        <v>735</v>
      </c>
      <c r="F162" s="28">
        <v>98000000</v>
      </c>
      <c r="G162" s="30" t="s">
        <v>892</v>
      </c>
      <c r="H162" s="28">
        <v>98618000</v>
      </c>
      <c r="I162" s="23" t="s">
        <v>1419</v>
      </c>
      <c r="J162" s="23" t="s">
        <v>1420</v>
      </c>
      <c r="K162" s="23" t="s">
        <v>740</v>
      </c>
      <c r="L162" s="23" t="str">
        <f>VLOOKUP(K162,Матрицы!B:C,2,0)</f>
        <v>город</v>
      </c>
      <c r="M162" s="31" t="s">
        <v>513</v>
      </c>
      <c r="N162" s="28">
        <v>98618101001</v>
      </c>
      <c r="O162" s="36">
        <v>10045</v>
      </c>
      <c r="P162" s="1">
        <v>1</v>
      </c>
      <c r="Q162" s="1" t="s">
        <v>1421</v>
      </c>
      <c r="R162" s="1" t="s">
        <v>1422</v>
      </c>
    </row>
    <row r="163" spans="1:18">
      <c r="A163" s="23">
        <v>162</v>
      </c>
      <c r="B163" s="27">
        <f t="shared" si="3"/>
        <v>98618101106</v>
      </c>
      <c r="C163" s="23" t="s">
        <v>735</v>
      </c>
      <c r="D163" s="28">
        <v>98600000</v>
      </c>
      <c r="E163" s="23" t="s">
        <v>735</v>
      </c>
      <c r="F163" s="28">
        <v>98000000</v>
      </c>
      <c r="G163" s="30" t="s">
        <v>892</v>
      </c>
      <c r="H163" s="28">
        <v>98618000</v>
      </c>
      <c r="I163" s="23" t="s">
        <v>1419</v>
      </c>
      <c r="J163" s="23" t="s">
        <v>1420</v>
      </c>
      <c r="K163" s="23" t="s">
        <v>754</v>
      </c>
      <c r="L163" s="23" t="str">
        <f>VLOOKUP(K163,Матрицы!B:C,2,0)</f>
        <v>село</v>
      </c>
      <c r="M163" s="31" t="s">
        <v>1423</v>
      </c>
      <c r="N163" s="28">
        <v>98618101106</v>
      </c>
      <c r="O163" s="36">
        <v>318</v>
      </c>
      <c r="P163" s="1">
        <v>2</v>
      </c>
      <c r="Q163" s="1" t="s">
        <v>1424</v>
      </c>
      <c r="R163" s="1" t="s">
        <v>1425</v>
      </c>
    </row>
    <row r="164" spans="1:18">
      <c r="A164" s="23">
        <v>163</v>
      </c>
      <c r="B164" s="27">
        <f t="shared" si="3"/>
        <v>98618153051</v>
      </c>
      <c r="C164" s="23" t="s">
        <v>735</v>
      </c>
      <c r="D164" s="28">
        <v>98600000</v>
      </c>
      <c r="E164" s="23" t="s">
        <v>735</v>
      </c>
      <c r="F164" s="28">
        <v>98000000</v>
      </c>
      <c r="G164" s="30" t="s">
        <v>892</v>
      </c>
      <c r="H164" s="28">
        <v>98618000</v>
      </c>
      <c r="I164" s="23" t="s">
        <v>1419</v>
      </c>
      <c r="J164" s="23" t="s">
        <v>1426</v>
      </c>
      <c r="K164" s="23" t="s">
        <v>819</v>
      </c>
      <c r="L164" s="23" t="str">
        <f>VLOOKUP(K164,Матрицы!B:C,2,0)</f>
        <v>поселок</v>
      </c>
      <c r="M164" s="31" t="s">
        <v>1427</v>
      </c>
      <c r="N164" s="28">
        <v>98618153051</v>
      </c>
      <c r="O164" s="36">
        <v>2798</v>
      </c>
      <c r="P164" s="1">
        <v>1</v>
      </c>
      <c r="Q164" s="1" t="s">
        <v>1428</v>
      </c>
      <c r="R164" s="1" t="s">
        <v>1429</v>
      </c>
    </row>
    <row r="165" spans="1:18">
      <c r="A165" s="23">
        <v>164</v>
      </c>
      <c r="B165" s="27">
        <f t="shared" si="3"/>
        <v>98618404101</v>
      </c>
      <c r="C165" s="23" t="s">
        <v>735</v>
      </c>
      <c r="D165" s="28">
        <v>98600000</v>
      </c>
      <c r="E165" s="23" t="s">
        <v>735</v>
      </c>
      <c r="F165" s="28">
        <v>98000000</v>
      </c>
      <c r="G165" s="30" t="s">
        <v>892</v>
      </c>
      <c r="H165" s="28">
        <v>98618000</v>
      </c>
      <c r="I165" s="23" t="s">
        <v>1430</v>
      </c>
      <c r="J165" s="23" t="s">
        <v>1302</v>
      </c>
      <c r="K165" s="23" t="s">
        <v>754</v>
      </c>
      <c r="L165" s="23" t="str">
        <f>VLOOKUP(K165,Матрицы!B:C,2,0)</f>
        <v>село</v>
      </c>
      <c r="M165" s="31" t="s">
        <v>1431</v>
      </c>
      <c r="N165" s="28">
        <v>98618404101</v>
      </c>
      <c r="O165" s="36">
        <v>1012</v>
      </c>
      <c r="P165" s="1">
        <v>2</v>
      </c>
      <c r="Q165" s="1" t="s">
        <v>1432</v>
      </c>
      <c r="R165" s="1" t="s">
        <v>1433</v>
      </c>
    </row>
    <row r="166" spans="1:18">
      <c r="A166" s="23">
        <v>165</v>
      </c>
      <c r="B166" s="27">
        <f t="shared" si="3"/>
        <v>98618408101</v>
      </c>
      <c r="C166" s="23" t="s">
        <v>735</v>
      </c>
      <c r="D166" s="28">
        <v>98600000</v>
      </c>
      <c r="E166" s="23" t="s">
        <v>735</v>
      </c>
      <c r="F166" s="28">
        <v>98000000</v>
      </c>
      <c r="G166" s="30" t="s">
        <v>892</v>
      </c>
      <c r="H166" s="28">
        <v>98618000</v>
      </c>
      <c r="I166" s="23" t="s">
        <v>1430</v>
      </c>
      <c r="J166" s="23" t="s">
        <v>1434</v>
      </c>
      <c r="K166" s="23" t="s">
        <v>754</v>
      </c>
      <c r="L166" s="23" t="str">
        <f>VLOOKUP(K166,Матрицы!B:C,2,0)</f>
        <v>село</v>
      </c>
      <c r="M166" s="31" t="s">
        <v>1435</v>
      </c>
      <c r="N166" s="28">
        <v>98618408101</v>
      </c>
      <c r="O166" s="36">
        <v>637</v>
      </c>
      <c r="P166" s="1">
        <v>2</v>
      </c>
      <c r="Q166" s="1" t="s">
        <v>1436</v>
      </c>
      <c r="R166" s="1" t="s">
        <v>1437</v>
      </c>
    </row>
    <row r="167" spans="1:18">
      <c r="A167" s="23">
        <v>166</v>
      </c>
      <c r="B167" s="27">
        <f t="shared" si="3"/>
        <v>98618408106</v>
      </c>
      <c r="C167" s="23" t="s">
        <v>735</v>
      </c>
      <c r="D167" s="28">
        <v>98600000</v>
      </c>
      <c r="E167" s="23" t="s">
        <v>735</v>
      </c>
      <c r="F167" s="28">
        <v>98000000</v>
      </c>
      <c r="G167" s="30" t="s">
        <v>892</v>
      </c>
      <c r="H167" s="28">
        <v>98618000</v>
      </c>
      <c r="I167" s="23" t="s">
        <v>1430</v>
      </c>
      <c r="J167" s="23" t="s">
        <v>1434</v>
      </c>
      <c r="K167" s="23" t="s">
        <v>754</v>
      </c>
      <c r="L167" s="23" t="str">
        <f>VLOOKUP(K167,Матрицы!B:C,2,0)</f>
        <v>село</v>
      </c>
      <c r="M167" s="31" t="s">
        <v>856</v>
      </c>
      <c r="N167" s="28">
        <v>98618408106</v>
      </c>
      <c r="O167" s="32">
        <v>0</v>
      </c>
      <c r="P167" s="1">
        <v>2</v>
      </c>
      <c r="Q167" s="1" t="s">
        <v>1438</v>
      </c>
      <c r="R167" s="1" t="s">
        <v>1439</v>
      </c>
    </row>
    <row r="168" spans="1:18">
      <c r="A168" s="23">
        <v>167</v>
      </c>
      <c r="B168" s="27">
        <f t="shared" si="3"/>
        <v>98618408111</v>
      </c>
      <c r="C168" s="23" t="s">
        <v>735</v>
      </c>
      <c r="D168" s="28">
        <v>98600000</v>
      </c>
      <c r="E168" s="23" t="s">
        <v>735</v>
      </c>
      <c r="F168" s="28">
        <v>98000000</v>
      </c>
      <c r="G168" s="30" t="s">
        <v>892</v>
      </c>
      <c r="H168" s="28">
        <v>98618000</v>
      </c>
      <c r="I168" s="23" t="s">
        <v>1430</v>
      </c>
      <c r="J168" s="23" t="s">
        <v>1434</v>
      </c>
      <c r="K168" s="23" t="s">
        <v>754</v>
      </c>
      <c r="L168" s="23" t="str">
        <f>VLOOKUP(K168,Матрицы!B:C,2,0)</f>
        <v>село</v>
      </c>
      <c r="M168" s="31" t="s">
        <v>787</v>
      </c>
      <c r="N168" s="28">
        <v>98618408111</v>
      </c>
      <c r="O168" s="40">
        <v>0</v>
      </c>
      <c r="P168" s="1">
        <v>2</v>
      </c>
      <c r="Q168" s="11" t="s">
        <v>1440</v>
      </c>
      <c r="R168" s="11" t="s">
        <v>1441</v>
      </c>
    </row>
    <row r="169" spans="1:18">
      <c r="A169" s="23">
        <v>168</v>
      </c>
      <c r="B169" s="27">
        <f t="shared" si="3"/>
        <v>98618412101</v>
      </c>
      <c r="C169" s="23" t="s">
        <v>735</v>
      </c>
      <c r="D169" s="28">
        <v>98600000</v>
      </c>
      <c r="E169" s="23" t="s">
        <v>735</v>
      </c>
      <c r="F169" s="28">
        <v>98000000</v>
      </c>
      <c r="G169" s="30" t="s">
        <v>892</v>
      </c>
      <c r="H169" s="28">
        <v>98618000</v>
      </c>
      <c r="I169" s="23" t="s">
        <v>1430</v>
      </c>
      <c r="J169" s="23" t="s">
        <v>1442</v>
      </c>
      <c r="K169" s="23" t="s">
        <v>754</v>
      </c>
      <c r="L169" s="23" t="str">
        <f>VLOOKUP(K169,Матрицы!B:C,2,0)</f>
        <v>село</v>
      </c>
      <c r="M169" s="31" t="s">
        <v>1443</v>
      </c>
      <c r="N169" s="28">
        <v>98618412101</v>
      </c>
      <c r="O169" s="36">
        <v>407</v>
      </c>
      <c r="P169" s="1">
        <v>2</v>
      </c>
      <c r="Q169" s="1" t="s">
        <v>1444</v>
      </c>
      <c r="R169" s="1" t="s">
        <v>1445</v>
      </c>
    </row>
    <row r="170" spans="1:18">
      <c r="A170" s="23">
        <v>169</v>
      </c>
      <c r="B170" s="27">
        <f t="shared" si="3"/>
        <v>98618416101</v>
      </c>
      <c r="C170" s="23" t="s">
        <v>735</v>
      </c>
      <c r="D170" s="28">
        <v>98600000</v>
      </c>
      <c r="E170" s="23" t="s">
        <v>735</v>
      </c>
      <c r="F170" s="28">
        <v>98000000</v>
      </c>
      <c r="G170" s="30" t="s">
        <v>892</v>
      </c>
      <c r="H170" s="28">
        <v>98618000</v>
      </c>
      <c r="I170" s="23" t="s">
        <v>1430</v>
      </c>
      <c r="J170" s="23" t="s">
        <v>1161</v>
      </c>
      <c r="K170" s="23" t="s">
        <v>754</v>
      </c>
      <c r="L170" s="23" t="str">
        <f>VLOOKUP(K170,Матрицы!B:C,2,0)</f>
        <v>село</v>
      </c>
      <c r="M170" s="31" t="s">
        <v>1446</v>
      </c>
      <c r="N170" s="28">
        <v>98618416101</v>
      </c>
      <c r="O170" s="36">
        <v>430</v>
      </c>
      <c r="P170" s="1">
        <v>2</v>
      </c>
      <c r="Q170" s="1" t="s">
        <v>1447</v>
      </c>
      <c r="R170" s="1" t="s">
        <v>1448</v>
      </c>
    </row>
    <row r="171" spans="1:18">
      <c r="A171" s="23">
        <v>170</v>
      </c>
      <c r="B171" s="27">
        <f t="shared" si="3"/>
        <v>98618418101</v>
      </c>
      <c r="C171" s="23" t="s">
        <v>735</v>
      </c>
      <c r="D171" s="28">
        <v>98600000</v>
      </c>
      <c r="E171" s="23" t="s">
        <v>735</v>
      </c>
      <c r="F171" s="28">
        <v>98000000</v>
      </c>
      <c r="G171" s="30" t="s">
        <v>892</v>
      </c>
      <c r="H171" s="28">
        <v>98618000</v>
      </c>
      <c r="I171" s="23" t="s">
        <v>1430</v>
      </c>
      <c r="J171" s="23" t="s">
        <v>1449</v>
      </c>
      <c r="K171" s="23" t="s">
        <v>754</v>
      </c>
      <c r="L171" s="23" t="str">
        <f>VLOOKUP(K171,Матрицы!B:C,2,0)</f>
        <v>село</v>
      </c>
      <c r="M171" s="31" t="s">
        <v>1450</v>
      </c>
      <c r="N171" s="28">
        <v>98618418101</v>
      </c>
      <c r="O171" s="36">
        <v>277</v>
      </c>
      <c r="P171" s="1">
        <v>2</v>
      </c>
      <c r="Q171" s="1" t="s">
        <v>1451</v>
      </c>
      <c r="R171" s="1" t="s">
        <v>1452</v>
      </c>
    </row>
    <row r="172" spans="1:18">
      <c r="A172" s="23">
        <v>171</v>
      </c>
      <c r="B172" s="27">
        <f t="shared" si="3"/>
        <v>98618420101</v>
      </c>
      <c r="C172" s="23" t="s">
        <v>735</v>
      </c>
      <c r="D172" s="28">
        <v>98600000</v>
      </c>
      <c r="E172" s="23" t="s">
        <v>735</v>
      </c>
      <c r="F172" s="28">
        <v>98000000</v>
      </c>
      <c r="G172" s="30" t="s">
        <v>892</v>
      </c>
      <c r="H172" s="28">
        <v>98618000</v>
      </c>
      <c r="I172" s="23" t="s">
        <v>1430</v>
      </c>
      <c r="J172" s="23" t="s">
        <v>1453</v>
      </c>
      <c r="K172" s="23" t="s">
        <v>754</v>
      </c>
      <c r="L172" s="23" t="str">
        <f>VLOOKUP(K172,Матрицы!B:C,2,0)</f>
        <v>село</v>
      </c>
      <c r="M172" s="31" t="s">
        <v>1454</v>
      </c>
      <c r="N172" s="28">
        <v>98618420101</v>
      </c>
      <c r="O172" s="36">
        <v>454</v>
      </c>
      <c r="P172" s="1">
        <v>2</v>
      </c>
      <c r="Q172" s="1" t="s">
        <v>1455</v>
      </c>
      <c r="R172" s="1" t="s">
        <v>1456</v>
      </c>
    </row>
    <row r="173" spans="1:18">
      <c r="A173" s="23">
        <v>172</v>
      </c>
      <c r="B173" s="27">
        <f t="shared" si="3"/>
        <v>98618426101</v>
      </c>
      <c r="C173" s="23" t="s">
        <v>735</v>
      </c>
      <c r="D173" s="28">
        <v>98600000</v>
      </c>
      <c r="E173" s="23" t="s">
        <v>735</v>
      </c>
      <c r="F173" s="28">
        <v>98000000</v>
      </c>
      <c r="G173" s="30" t="s">
        <v>892</v>
      </c>
      <c r="H173" s="28">
        <v>98618000</v>
      </c>
      <c r="I173" s="23" t="s">
        <v>1430</v>
      </c>
      <c r="J173" s="23" t="s">
        <v>1457</v>
      </c>
      <c r="K173" s="23" t="s">
        <v>754</v>
      </c>
      <c r="L173" s="23" t="str">
        <f>VLOOKUP(K173,Матрицы!B:C,2,0)</f>
        <v>село</v>
      </c>
      <c r="M173" s="31" t="s">
        <v>1113</v>
      </c>
      <c r="N173" s="28">
        <v>98618426101</v>
      </c>
      <c r="O173" s="36">
        <v>518</v>
      </c>
      <c r="P173" s="1">
        <v>2</v>
      </c>
      <c r="Q173" s="1" t="s">
        <v>1458</v>
      </c>
      <c r="R173" s="1" t="s">
        <v>1459</v>
      </c>
    </row>
    <row r="174" spans="1:18">
      <c r="A174" s="23">
        <v>173</v>
      </c>
      <c r="B174" s="27">
        <f t="shared" si="3"/>
        <v>98618430101</v>
      </c>
      <c r="C174" s="23" t="s">
        <v>735</v>
      </c>
      <c r="D174" s="28">
        <v>98600000</v>
      </c>
      <c r="E174" s="23" t="s">
        <v>735</v>
      </c>
      <c r="F174" s="28">
        <v>98000000</v>
      </c>
      <c r="G174" s="30" t="s">
        <v>892</v>
      </c>
      <c r="H174" s="28">
        <v>98618000</v>
      </c>
      <c r="I174" s="23" t="s">
        <v>1430</v>
      </c>
      <c r="J174" s="23" t="s">
        <v>1460</v>
      </c>
      <c r="K174" s="23" t="s">
        <v>754</v>
      </c>
      <c r="L174" s="23" t="str">
        <f>VLOOKUP(K174,Матрицы!B:C,2,0)</f>
        <v>село</v>
      </c>
      <c r="M174" s="31" t="s">
        <v>1461</v>
      </c>
      <c r="N174" s="28">
        <v>98618430101</v>
      </c>
      <c r="O174" s="36">
        <v>801</v>
      </c>
      <c r="P174" s="1">
        <v>2</v>
      </c>
      <c r="Q174" s="1" t="s">
        <v>1462</v>
      </c>
      <c r="R174" s="1" t="s">
        <v>1463</v>
      </c>
    </row>
    <row r="175" spans="1:18">
      <c r="A175" s="23">
        <v>174</v>
      </c>
      <c r="B175" s="27">
        <f t="shared" si="3"/>
        <v>98618431101</v>
      </c>
      <c r="C175" s="23" t="s">
        <v>735</v>
      </c>
      <c r="D175" s="28">
        <v>98600000</v>
      </c>
      <c r="E175" s="23" t="s">
        <v>735</v>
      </c>
      <c r="F175" s="28">
        <v>98000000</v>
      </c>
      <c r="G175" s="30" t="s">
        <v>892</v>
      </c>
      <c r="H175" s="28">
        <v>98618000</v>
      </c>
      <c r="I175" s="23" t="s">
        <v>1430</v>
      </c>
      <c r="J175" s="23" t="s">
        <v>1464</v>
      </c>
      <c r="K175" s="23" t="s">
        <v>754</v>
      </c>
      <c r="L175" s="23" t="str">
        <f>VLOOKUP(K175,Матрицы!B:C,2,0)</f>
        <v>село</v>
      </c>
      <c r="M175" s="31" t="s">
        <v>1465</v>
      </c>
      <c r="N175" s="28">
        <v>98618431101</v>
      </c>
      <c r="O175" s="36">
        <v>375</v>
      </c>
      <c r="P175" s="1">
        <v>2</v>
      </c>
      <c r="Q175" s="1" t="s">
        <v>1466</v>
      </c>
      <c r="R175" s="1" t="s">
        <v>1467</v>
      </c>
    </row>
    <row r="176" spans="1:18">
      <c r="A176" s="23">
        <v>175</v>
      </c>
      <c r="B176" s="27">
        <f t="shared" si="3"/>
        <v>98618433101</v>
      </c>
      <c r="C176" s="23" t="s">
        <v>735</v>
      </c>
      <c r="D176" s="28">
        <v>98600000</v>
      </c>
      <c r="E176" s="23" t="s">
        <v>735</v>
      </c>
      <c r="F176" s="28">
        <v>98000000</v>
      </c>
      <c r="G176" s="30" t="s">
        <v>892</v>
      </c>
      <c r="H176" s="28">
        <v>98618000</v>
      </c>
      <c r="I176" s="23" t="s">
        <v>1430</v>
      </c>
      <c r="J176" s="23" t="s">
        <v>1468</v>
      </c>
      <c r="K176" s="23" t="s">
        <v>754</v>
      </c>
      <c r="L176" s="23" t="str">
        <f>VLOOKUP(K176,Матрицы!B:C,2,0)</f>
        <v>село</v>
      </c>
      <c r="M176" s="31" t="s">
        <v>1469</v>
      </c>
      <c r="N176" s="28">
        <v>98618433101</v>
      </c>
      <c r="O176" s="36">
        <v>436</v>
      </c>
      <c r="P176" s="1">
        <v>2</v>
      </c>
      <c r="Q176" s="1" t="s">
        <v>1470</v>
      </c>
      <c r="R176" s="1" t="s">
        <v>1471</v>
      </c>
    </row>
    <row r="177" spans="1:18">
      <c r="A177" s="23">
        <v>176</v>
      </c>
      <c r="B177" s="27">
        <f t="shared" si="3"/>
        <v>98618435101</v>
      </c>
      <c r="C177" s="23" t="s">
        <v>735</v>
      </c>
      <c r="D177" s="28">
        <v>98600000</v>
      </c>
      <c r="E177" s="23" t="s">
        <v>735</v>
      </c>
      <c r="F177" s="28">
        <v>98000000</v>
      </c>
      <c r="G177" s="30" t="s">
        <v>892</v>
      </c>
      <c r="H177" s="28">
        <v>98618000</v>
      </c>
      <c r="I177" s="23" t="s">
        <v>1430</v>
      </c>
      <c r="J177" s="23" t="s">
        <v>1472</v>
      </c>
      <c r="K177" s="23" t="s">
        <v>754</v>
      </c>
      <c r="L177" s="23" t="str">
        <f>VLOOKUP(K177,Матрицы!B:C,2,0)</f>
        <v>село</v>
      </c>
      <c r="M177" s="31" t="s">
        <v>1473</v>
      </c>
      <c r="N177" s="28">
        <v>98618435101</v>
      </c>
      <c r="O177" s="36">
        <v>483</v>
      </c>
      <c r="P177" s="1">
        <v>2</v>
      </c>
      <c r="Q177" s="1" t="s">
        <v>1474</v>
      </c>
      <c r="R177" s="1" t="s">
        <v>1475</v>
      </c>
    </row>
    <row r="178" spans="1:18">
      <c r="A178" s="23">
        <v>177</v>
      </c>
      <c r="B178" s="27">
        <f t="shared" si="3"/>
        <v>98618445101</v>
      </c>
      <c r="C178" s="23" t="s">
        <v>735</v>
      </c>
      <c r="D178" s="28">
        <v>98600000</v>
      </c>
      <c r="E178" s="23" t="s">
        <v>735</v>
      </c>
      <c r="F178" s="28">
        <v>98000000</v>
      </c>
      <c r="G178" s="30" t="s">
        <v>892</v>
      </c>
      <c r="H178" s="28">
        <v>98618000</v>
      </c>
      <c r="I178" s="23" t="s">
        <v>1430</v>
      </c>
      <c r="J178" s="23" t="s">
        <v>1476</v>
      </c>
      <c r="K178" s="23" t="s">
        <v>754</v>
      </c>
      <c r="L178" s="23" t="str">
        <f>VLOOKUP(K178,Матрицы!B:C,2,0)</f>
        <v>село</v>
      </c>
      <c r="M178" s="31" t="s">
        <v>1477</v>
      </c>
      <c r="N178" s="28">
        <v>98618445101</v>
      </c>
      <c r="O178" s="36">
        <v>555</v>
      </c>
      <c r="P178" s="1">
        <v>2</v>
      </c>
      <c r="Q178" s="1" t="s">
        <v>1478</v>
      </c>
      <c r="R178" s="1" t="s">
        <v>1479</v>
      </c>
    </row>
    <row r="179" spans="1:18">
      <c r="A179" s="23">
        <v>178</v>
      </c>
      <c r="B179" s="27">
        <f t="shared" si="3"/>
        <v>98618449101</v>
      </c>
      <c r="C179" s="23" t="s">
        <v>735</v>
      </c>
      <c r="D179" s="28">
        <v>98600000</v>
      </c>
      <c r="E179" s="23" t="s">
        <v>735</v>
      </c>
      <c r="F179" s="28">
        <v>98000000</v>
      </c>
      <c r="G179" s="30" t="s">
        <v>892</v>
      </c>
      <c r="H179" s="28">
        <v>98618000</v>
      </c>
      <c r="I179" s="23" t="s">
        <v>1430</v>
      </c>
      <c r="J179" s="23" t="s">
        <v>1480</v>
      </c>
      <c r="K179" s="23" t="s">
        <v>754</v>
      </c>
      <c r="L179" s="23" t="str">
        <f>VLOOKUP(K179,Матрицы!B:C,2,0)</f>
        <v>село</v>
      </c>
      <c r="M179" s="31" t="s">
        <v>1481</v>
      </c>
      <c r="N179" s="28">
        <v>98618449101</v>
      </c>
      <c r="O179" s="36">
        <v>554</v>
      </c>
      <c r="P179" s="1">
        <v>2</v>
      </c>
      <c r="Q179" s="1" t="s">
        <v>1482</v>
      </c>
      <c r="R179" s="1" t="s">
        <v>1483</v>
      </c>
    </row>
    <row r="180" spans="1:18">
      <c r="A180" s="23">
        <v>179</v>
      </c>
      <c r="B180" s="27">
        <f t="shared" si="3"/>
        <v>98618449106</v>
      </c>
      <c r="C180" s="23" t="s">
        <v>735</v>
      </c>
      <c r="D180" s="28">
        <v>98600000</v>
      </c>
      <c r="E180" s="23" t="s">
        <v>735</v>
      </c>
      <c r="F180" s="28">
        <v>98000000</v>
      </c>
      <c r="G180" s="30" t="s">
        <v>892</v>
      </c>
      <c r="H180" s="28">
        <v>98618000</v>
      </c>
      <c r="I180" s="23" t="s">
        <v>1430</v>
      </c>
      <c r="J180" s="23" t="s">
        <v>1480</v>
      </c>
      <c r="K180" s="23" t="s">
        <v>754</v>
      </c>
      <c r="L180" s="23" t="str">
        <f>VLOOKUP(K180,Матрицы!B:C,2,0)</f>
        <v>село</v>
      </c>
      <c r="M180" s="31" t="s">
        <v>792</v>
      </c>
      <c r="N180" s="28">
        <v>98618449106</v>
      </c>
      <c r="O180" s="40">
        <v>0</v>
      </c>
      <c r="P180" s="1">
        <v>2</v>
      </c>
      <c r="Q180" s="11" t="s">
        <v>1484</v>
      </c>
      <c r="R180" s="11" t="s">
        <v>1485</v>
      </c>
    </row>
    <row r="181" spans="1:18">
      <c r="A181" s="23">
        <v>180</v>
      </c>
      <c r="B181" s="27">
        <f t="shared" si="3"/>
        <v>98618453101</v>
      </c>
      <c r="C181" s="23" t="s">
        <v>735</v>
      </c>
      <c r="D181" s="28">
        <v>98600000</v>
      </c>
      <c r="E181" s="23" t="s">
        <v>735</v>
      </c>
      <c r="F181" s="28">
        <v>98000000</v>
      </c>
      <c r="G181" s="30" t="s">
        <v>892</v>
      </c>
      <c r="H181" s="28">
        <v>98618000</v>
      </c>
      <c r="I181" s="23" t="s">
        <v>1430</v>
      </c>
      <c r="J181" s="23" t="s">
        <v>1486</v>
      </c>
      <c r="K181" s="23" t="s">
        <v>754</v>
      </c>
      <c r="L181" s="23" t="str">
        <f>VLOOKUP(K181,Матрицы!B:C,2,0)</f>
        <v>село</v>
      </c>
      <c r="M181" s="31" t="s">
        <v>1487</v>
      </c>
      <c r="N181" s="28">
        <v>98618453101</v>
      </c>
      <c r="O181" s="36">
        <v>626</v>
      </c>
      <c r="P181" s="1">
        <v>2</v>
      </c>
      <c r="Q181" s="1" t="s">
        <v>1488</v>
      </c>
      <c r="R181" s="1" t="s">
        <v>1489</v>
      </c>
    </row>
    <row r="182" spans="1:18">
      <c r="A182" s="23">
        <v>181</v>
      </c>
      <c r="B182" s="27">
        <f t="shared" si="3"/>
        <v>98618458101</v>
      </c>
      <c r="C182" s="23" t="s">
        <v>735</v>
      </c>
      <c r="D182" s="28">
        <v>98600000</v>
      </c>
      <c r="E182" s="23" t="s">
        <v>735</v>
      </c>
      <c r="F182" s="28">
        <v>98000000</v>
      </c>
      <c r="G182" s="30" t="s">
        <v>892</v>
      </c>
      <c r="H182" s="28">
        <v>98618000</v>
      </c>
      <c r="I182" s="23" t="s">
        <v>1430</v>
      </c>
      <c r="J182" s="23" t="s">
        <v>1490</v>
      </c>
      <c r="K182" s="23" t="s">
        <v>754</v>
      </c>
      <c r="L182" s="23" t="str">
        <f>VLOOKUP(K182,Матрицы!B:C,2,0)</f>
        <v>село</v>
      </c>
      <c r="M182" s="31" t="s">
        <v>1491</v>
      </c>
      <c r="N182" s="28">
        <v>98618458101</v>
      </c>
      <c r="O182" s="36">
        <v>389</v>
      </c>
      <c r="P182" s="1">
        <v>2</v>
      </c>
      <c r="Q182" s="1" t="s">
        <v>1492</v>
      </c>
      <c r="R182" s="1" t="s">
        <v>1493</v>
      </c>
    </row>
    <row r="183" spans="1:18">
      <c r="A183" s="23">
        <v>182</v>
      </c>
      <c r="B183" s="27">
        <f t="shared" si="3"/>
        <v>98618462101</v>
      </c>
      <c r="C183" s="23" t="s">
        <v>735</v>
      </c>
      <c r="D183" s="28">
        <v>98600000</v>
      </c>
      <c r="E183" s="23" t="s">
        <v>735</v>
      </c>
      <c r="F183" s="28">
        <v>98000000</v>
      </c>
      <c r="G183" s="30" t="s">
        <v>892</v>
      </c>
      <c r="H183" s="28">
        <v>98618000</v>
      </c>
      <c r="I183" s="23" t="s">
        <v>1430</v>
      </c>
      <c r="J183" s="23" t="s">
        <v>1494</v>
      </c>
      <c r="K183" s="23" t="s">
        <v>754</v>
      </c>
      <c r="L183" s="23" t="str">
        <f>VLOOKUP(K183,Матрицы!B:C,2,0)</f>
        <v>село</v>
      </c>
      <c r="M183" s="31" t="s">
        <v>1495</v>
      </c>
      <c r="N183" s="28">
        <v>98618462101</v>
      </c>
      <c r="O183" s="36">
        <v>813</v>
      </c>
      <c r="P183" s="1">
        <v>2</v>
      </c>
      <c r="Q183" s="1" t="s">
        <v>1496</v>
      </c>
      <c r="R183" s="1" t="s">
        <v>1497</v>
      </c>
    </row>
    <row r="184" spans="1:18">
      <c r="A184" s="23">
        <v>183</v>
      </c>
      <c r="B184" s="27">
        <f t="shared" si="3"/>
        <v>98618462106</v>
      </c>
      <c r="C184" s="23" t="s">
        <v>735</v>
      </c>
      <c r="D184" s="28">
        <v>98600000</v>
      </c>
      <c r="E184" s="23" t="s">
        <v>735</v>
      </c>
      <c r="F184" s="28">
        <v>98000000</v>
      </c>
      <c r="G184" s="30" t="s">
        <v>892</v>
      </c>
      <c r="H184" s="28">
        <v>98618000</v>
      </c>
      <c r="I184" s="23" t="s">
        <v>1430</v>
      </c>
      <c r="J184" s="23" t="s">
        <v>1494</v>
      </c>
      <c r="K184" s="23" t="s">
        <v>754</v>
      </c>
      <c r="L184" s="23" t="str">
        <f>VLOOKUP(K184,Матрицы!B:C,2,0)</f>
        <v>село</v>
      </c>
      <c r="M184" s="31" t="s">
        <v>1498</v>
      </c>
      <c r="N184" s="28">
        <v>98618462106</v>
      </c>
      <c r="O184" s="36">
        <v>71</v>
      </c>
      <c r="P184" s="1">
        <v>2</v>
      </c>
      <c r="Q184" s="1" t="s">
        <v>1499</v>
      </c>
      <c r="R184" s="1" t="s">
        <v>1500</v>
      </c>
    </row>
    <row r="185" spans="1:18">
      <c r="A185" s="23">
        <v>184</v>
      </c>
      <c r="B185" s="27">
        <f t="shared" si="3"/>
        <v>98618466101</v>
      </c>
      <c r="C185" s="23" t="s">
        <v>735</v>
      </c>
      <c r="D185" s="28">
        <v>98600000</v>
      </c>
      <c r="E185" s="23" t="s">
        <v>735</v>
      </c>
      <c r="F185" s="28">
        <v>98000000</v>
      </c>
      <c r="G185" s="30" t="s">
        <v>892</v>
      </c>
      <c r="H185" s="28">
        <v>98618000</v>
      </c>
      <c r="I185" s="23" t="s">
        <v>1430</v>
      </c>
      <c r="J185" s="23" t="s">
        <v>1501</v>
      </c>
      <c r="K185" s="23" t="s">
        <v>754</v>
      </c>
      <c r="L185" s="23" t="str">
        <f>VLOOKUP(K185,Матрицы!B:C,2,0)</f>
        <v>село</v>
      </c>
      <c r="M185" s="31" t="s">
        <v>1502</v>
      </c>
      <c r="N185" s="28">
        <v>98618466101</v>
      </c>
      <c r="O185" s="36">
        <v>868</v>
      </c>
      <c r="P185" s="1">
        <v>2</v>
      </c>
      <c r="Q185" s="1" t="s">
        <v>1503</v>
      </c>
      <c r="R185" s="1" t="s">
        <v>1504</v>
      </c>
    </row>
    <row r="186" spans="1:18">
      <c r="A186" s="23">
        <v>185</v>
      </c>
      <c r="B186" s="27">
        <f t="shared" si="3"/>
        <v>98618470101</v>
      </c>
      <c r="C186" s="23" t="s">
        <v>735</v>
      </c>
      <c r="D186" s="28">
        <v>98600000</v>
      </c>
      <c r="E186" s="23" t="s">
        <v>735</v>
      </c>
      <c r="F186" s="28">
        <v>98000000</v>
      </c>
      <c r="G186" s="30" t="s">
        <v>892</v>
      </c>
      <c r="H186" s="28">
        <v>98618000</v>
      </c>
      <c r="I186" s="23" t="s">
        <v>1430</v>
      </c>
      <c r="J186" s="23" t="s">
        <v>1505</v>
      </c>
      <c r="K186" s="23" t="s">
        <v>754</v>
      </c>
      <c r="L186" s="23" t="str">
        <f>VLOOKUP(K186,Матрицы!B:C,2,0)</f>
        <v>село</v>
      </c>
      <c r="M186" s="31" t="s">
        <v>1506</v>
      </c>
      <c r="N186" s="28">
        <v>98618470101</v>
      </c>
      <c r="O186" s="36">
        <v>742</v>
      </c>
      <c r="P186" s="1">
        <v>2</v>
      </c>
      <c r="Q186" s="1" t="s">
        <v>1507</v>
      </c>
      <c r="R186" s="1" t="s">
        <v>1508</v>
      </c>
    </row>
    <row r="187" spans="1:18">
      <c r="A187" s="23">
        <v>186</v>
      </c>
      <c r="B187" s="27">
        <f t="shared" si="3"/>
        <v>98618470106</v>
      </c>
      <c r="C187" s="23" t="s">
        <v>735</v>
      </c>
      <c r="D187" s="28">
        <v>98600000</v>
      </c>
      <c r="E187" s="23" t="s">
        <v>735</v>
      </c>
      <c r="F187" s="28">
        <v>98000000</v>
      </c>
      <c r="G187" s="30" t="s">
        <v>892</v>
      </c>
      <c r="H187" s="28">
        <v>98618000</v>
      </c>
      <c r="I187" s="23" t="s">
        <v>1430</v>
      </c>
      <c r="J187" s="23" t="s">
        <v>1505</v>
      </c>
      <c r="K187" s="23" t="s">
        <v>754</v>
      </c>
      <c r="L187" s="23" t="str">
        <f>VLOOKUP(K187,Матрицы!B:C,2,0)</f>
        <v>село</v>
      </c>
      <c r="M187" s="31" t="s">
        <v>1509</v>
      </c>
      <c r="N187" s="28">
        <v>98618470106</v>
      </c>
      <c r="O187" s="36">
        <v>207</v>
      </c>
      <c r="P187" s="1">
        <v>2</v>
      </c>
      <c r="Q187" s="1" t="s">
        <v>1510</v>
      </c>
      <c r="R187" s="1" t="s">
        <v>1511</v>
      </c>
    </row>
    <row r="188" spans="1:18">
      <c r="A188" s="23">
        <v>187</v>
      </c>
      <c r="B188" s="27">
        <f t="shared" si="3"/>
        <v>98618474101</v>
      </c>
      <c r="C188" s="23" t="s">
        <v>735</v>
      </c>
      <c r="D188" s="28">
        <v>98600000</v>
      </c>
      <c r="E188" s="23" t="s">
        <v>735</v>
      </c>
      <c r="F188" s="28">
        <v>98000000</v>
      </c>
      <c r="G188" s="30" t="s">
        <v>892</v>
      </c>
      <c r="H188" s="28">
        <v>98618000</v>
      </c>
      <c r="I188" s="23" t="s">
        <v>1430</v>
      </c>
      <c r="J188" s="23" t="s">
        <v>1512</v>
      </c>
      <c r="K188" s="23" t="s">
        <v>754</v>
      </c>
      <c r="L188" s="23" t="str">
        <f>VLOOKUP(K188,Матрицы!B:C,2,0)</f>
        <v>село</v>
      </c>
      <c r="M188" s="31" t="s">
        <v>1513</v>
      </c>
      <c r="N188" s="28">
        <v>98618474101</v>
      </c>
      <c r="O188" s="36">
        <v>560</v>
      </c>
      <c r="P188" s="1">
        <v>2</v>
      </c>
      <c r="Q188" s="1" t="s">
        <v>1514</v>
      </c>
      <c r="R188" s="1" t="s">
        <v>1515</v>
      </c>
    </row>
    <row r="189" spans="1:18">
      <c r="A189" s="23">
        <v>188</v>
      </c>
      <c r="B189" s="27">
        <f t="shared" si="3"/>
        <v>98620405101</v>
      </c>
      <c r="C189" s="23" t="s">
        <v>735</v>
      </c>
      <c r="D189" s="28">
        <v>98600000</v>
      </c>
      <c r="E189" s="23" t="s">
        <v>735</v>
      </c>
      <c r="F189" s="28">
        <v>98000000</v>
      </c>
      <c r="G189" s="30" t="s">
        <v>897</v>
      </c>
      <c r="H189" s="28">
        <v>98620000</v>
      </c>
      <c r="I189" s="23" t="s">
        <v>1516</v>
      </c>
      <c r="J189" s="23" t="s">
        <v>1517</v>
      </c>
      <c r="K189" s="23" t="s">
        <v>754</v>
      </c>
      <c r="L189" s="23" t="str">
        <f>VLOOKUP(K189,Матрицы!B:C,2,0)</f>
        <v>село</v>
      </c>
      <c r="M189" s="31" t="s">
        <v>1518</v>
      </c>
      <c r="N189" s="28">
        <v>98620405101</v>
      </c>
      <c r="O189" s="36">
        <v>695</v>
      </c>
      <c r="P189" s="1">
        <v>2</v>
      </c>
      <c r="Q189" s="1" t="s">
        <v>1519</v>
      </c>
      <c r="R189" s="1" t="s">
        <v>1520</v>
      </c>
    </row>
    <row r="190" spans="1:18">
      <c r="A190" s="23">
        <v>189</v>
      </c>
      <c r="B190" s="27">
        <f t="shared" si="3"/>
        <v>98620410101</v>
      </c>
      <c r="C190" s="23" t="s">
        <v>735</v>
      </c>
      <c r="D190" s="28">
        <v>98600000</v>
      </c>
      <c r="E190" s="23" t="s">
        <v>735</v>
      </c>
      <c r="F190" s="28">
        <v>98000000</v>
      </c>
      <c r="G190" s="30" t="s">
        <v>897</v>
      </c>
      <c r="H190" s="28">
        <v>98620000</v>
      </c>
      <c r="I190" s="23" t="s">
        <v>1516</v>
      </c>
      <c r="J190" s="23" t="s">
        <v>1521</v>
      </c>
      <c r="K190" s="23" t="s">
        <v>754</v>
      </c>
      <c r="L190" s="23" t="str">
        <f>VLOOKUP(K190,Матрицы!B:C,2,0)</f>
        <v>село</v>
      </c>
      <c r="M190" s="31" t="s">
        <v>1522</v>
      </c>
      <c r="N190" s="28">
        <v>98620410101</v>
      </c>
      <c r="O190" s="36">
        <v>6956</v>
      </c>
      <c r="P190" s="1">
        <v>2</v>
      </c>
      <c r="Q190" s="1" t="s">
        <v>1523</v>
      </c>
      <c r="R190" s="1" t="s">
        <v>1524</v>
      </c>
    </row>
    <row r="191" spans="1:18">
      <c r="A191" s="23">
        <v>190</v>
      </c>
      <c r="B191" s="27">
        <f t="shared" si="3"/>
        <v>98620410106</v>
      </c>
      <c r="C191" s="23" t="s">
        <v>735</v>
      </c>
      <c r="D191" s="28">
        <v>98600000</v>
      </c>
      <c r="E191" s="23" t="s">
        <v>735</v>
      </c>
      <c r="F191" s="28">
        <v>98000000</v>
      </c>
      <c r="G191" s="30" t="s">
        <v>897</v>
      </c>
      <c r="H191" s="28">
        <v>98620000</v>
      </c>
      <c r="I191" s="23" t="s">
        <v>1516</v>
      </c>
      <c r="J191" s="23" t="s">
        <v>1521</v>
      </c>
      <c r="K191" s="23" t="s">
        <v>754</v>
      </c>
      <c r="L191" s="23" t="str">
        <f>VLOOKUP(K191,Матрицы!B:C,2,0)</f>
        <v>село</v>
      </c>
      <c r="M191" s="31" t="s">
        <v>1254</v>
      </c>
      <c r="N191" s="28">
        <v>98620410106</v>
      </c>
      <c r="O191" s="36">
        <v>8</v>
      </c>
      <c r="P191" s="1">
        <v>2</v>
      </c>
      <c r="Q191" s="1" t="s">
        <v>1525</v>
      </c>
      <c r="R191" s="1" t="s">
        <v>1526</v>
      </c>
    </row>
    <row r="192" spans="1:18">
      <c r="A192" s="23">
        <v>191</v>
      </c>
      <c r="B192" s="27">
        <f t="shared" si="3"/>
        <v>98620417101</v>
      </c>
      <c r="C192" s="23" t="s">
        <v>735</v>
      </c>
      <c r="D192" s="28">
        <v>98600000</v>
      </c>
      <c r="E192" s="23" t="s">
        <v>735</v>
      </c>
      <c r="F192" s="28">
        <v>98000000</v>
      </c>
      <c r="G192" s="30" t="s">
        <v>897</v>
      </c>
      <c r="H192" s="28">
        <v>98620000</v>
      </c>
      <c r="I192" s="23" t="s">
        <v>1516</v>
      </c>
      <c r="J192" s="23" t="s">
        <v>1527</v>
      </c>
      <c r="K192" s="23" t="s">
        <v>754</v>
      </c>
      <c r="L192" s="23" t="str">
        <f>VLOOKUP(K192,Матрицы!B:C,2,0)</f>
        <v>село</v>
      </c>
      <c r="M192" s="31" t="s">
        <v>1528</v>
      </c>
      <c r="N192" s="28">
        <v>98620417101</v>
      </c>
      <c r="O192" s="36">
        <v>608</v>
      </c>
      <c r="P192" s="1">
        <v>2</v>
      </c>
      <c r="Q192" s="1" t="s">
        <v>1529</v>
      </c>
      <c r="R192" s="1" t="s">
        <v>1530</v>
      </c>
    </row>
    <row r="193" spans="1:18">
      <c r="A193" s="23">
        <v>192</v>
      </c>
      <c r="B193" s="27">
        <f t="shared" si="3"/>
        <v>98620417106</v>
      </c>
      <c r="C193" s="23" t="s">
        <v>735</v>
      </c>
      <c r="D193" s="28">
        <v>98600000</v>
      </c>
      <c r="E193" s="23" t="s">
        <v>735</v>
      </c>
      <c r="F193" s="28">
        <v>98000000</v>
      </c>
      <c r="G193" s="30" t="s">
        <v>897</v>
      </c>
      <c r="H193" s="28">
        <v>98620000</v>
      </c>
      <c r="I193" s="23" t="s">
        <v>1516</v>
      </c>
      <c r="J193" s="23" t="s">
        <v>1527</v>
      </c>
      <c r="K193" s="23" t="s">
        <v>754</v>
      </c>
      <c r="L193" s="23" t="str">
        <f>VLOOKUP(K193,Матрицы!B:C,2,0)</f>
        <v>село</v>
      </c>
      <c r="M193" s="31" t="s">
        <v>1531</v>
      </c>
      <c r="N193" s="28">
        <v>98620417106</v>
      </c>
      <c r="O193" s="32">
        <v>0</v>
      </c>
      <c r="P193" s="1">
        <v>2</v>
      </c>
      <c r="Q193" s="1" t="s">
        <v>1532</v>
      </c>
      <c r="R193" s="1" t="s">
        <v>1533</v>
      </c>
    </row>
    <row r="194" spans="1:18">
      <c r="A194" s="23">
        <v>193</v>
      </c>
      <c r="B194" s="27">
        <f t="shared" si="3"/>
        <v>98620426101</v>
      </c>
      <c r="C194" s="23" t="s">
        <v>735</v>
      </c>
      <c r="D194" s="28">
        <v>98600000</v>
      </c>
      <c r="E194" s="23" t="s">
        <v>735</v>
      </c>
      <c r="F194" s="28">
        <v>98000000</v>
      </c>
      <c r="G194" s="30" t="s">
        <v>897</v>
      </c>
      <c r="H194" s="28">
        <v>98620000</v>
      </c>
      <c r="I194" s="23" t="s">
        <v>1516</v>
      </c>
      <c r="J194" s="23" t="s">
        <v>1534</v>
      </c>
      <c r="K194" s="23" t="s">
        <v>754</v>
      </c>
      <c r="L194" s="23" t="str">
        <f>VLOOKUP(K194,Матрицы!B:C,2,0)</f>
        <v>село</v>
      </c>
      <c r="M194" s="31" t="s">
        <v>1535</v>
      </c>
      <c r="N194" s="28">
        <v>98620426101</v>
      </c>
      <c r="O194" s="36">
        <v>591</v>
      </c>
      <c r="P194" s="1">
        <v>2</v>
      </c>
      <c r="Q194" s="1" t="s">
        <v>1536</v>
      </c>
      <c r="R194" s="1" t="s">
        <v>1537</v>
      </c>
    </row>
    <row r="195" spans="1:18">
      <c r="A195" s="23">
        <v>194</v>
      </c>
      <c r="B195" s="27">
        <f t="shared" ref="B195:B258" si="4">N195</f>
        <v>98620433101</v>
      </c>
      <c r="C195" s="23" t="s">
        <v>735</v>
      </c>
      <c r="D195" s="28">
        <v>98600000</v>
      </c>
      <c r="E195" s="23" t="s">
        <v>735</v>
      </c>
      <c r="F195" s="28">
        <v>98000000</v>
      </c>
      <c r="G195" s="30" t="s">
        <v>897</v>
      </c>
      <c r="H195" s="28">
        <v>98620000</v>
      </c>
      <c r="I195" s="23" t="s">
        <v>1516</v>
      </c>
      <c r="J195" s="23" t="s">
        <v>1538</v>
      </c>
      <c r="K195" s="23" t="s">
        <v>754</v>
      </c>
      <c r="L195" s="23" t="str">
        <f>VLOOKUP(K195,Матрицы!B:C,2,0)</f>
        <v>село</v>
      </c>
      <c r="M195" s="31" t="s">
        <v>1539</v>
      </c>
      <c r="N195" s="28">
        <v>98620433101</v>
      </c>
      <c r="O195" s="36">
        <v>612</v>
      </c>
      <c r="P195" s="1">
        <v>2</v>
      </c>
      <c r="Q195" s="1" t="s">
        <v>1540</v>
      </c>
      <c r="R195" s="1" t="s">
        <v>1541</v>
      </c>
    </row>
    <row r="196" spans="1:18">
      <c r="A196" s="23">
        <v>195</v>
      </c>
      <c r="B196" s="27">
        <f t="shared" si="4"/>
        <v>98620433106</v>
      </c>
      <c r="C196" s="23" t="s">
        <v>735</v>
      </c>
      <c r="D196" s="28">
        <v>98600000</v>
      </c>
      <c r="E196" s="23" t="s">
        <v>735</v>
      </c>
      <c r="F196" s="28">
        <v>98000000</v>
      </c>
      <c r="G196" s="30" t="s">
        <v>897</v>
      </c>
      <c r="H196" s="28">
        <v>98620000</v>
      </c>
      <c r="I196" s="23" t="s">
        <v>1516</v>
      </c>
      <c r="J196" s="23" t="s">
        <v>1538</v>
      </c>
      <c r="K196" s="23" t="s">
        <v>754</v>
      </c>
      <c r="L196" s="23" t="str">
        <f>VLOOKUP(K196,Матрицы!B:C,2,0)</f>
        <v>село</v>
      </c>
      <c r="M196" s="31" t="s">
        <v>1542</v>
      </c>
      <c r="N196" s="28">
        <v>98620433106</v>
      </c>
      <c r="O196" s="36">
        <v>15</v>
      </c>
      <c r="P196" s="1">
        <v>2</v>
      </c>
      <c r="Q196" s="1" t="s">
        <v>1543</v>
      </c>
      <c r="R196" s="1" t="s">
        <v>1544</v>
      </c>
    </row>
    <row r="197" spans="1:18">
      <c r="A197" s="23">
        <v>196</v>
      </c>
      <c r="B197" s="27">
        <f t="shared" si="4"/>
        <v>98620433111</v>
      </c>
      <c r="C197" s="23" t="s">
        <v>735</v>
      </c>
      <c r="D197" s="28">
        <v>98600000</v>
      </c>
      <c r="E197" s="23" t="s">
        <v>735</v>
      </c>
      <c r="F197" s="28">
        <v>98000000</v>
      </c>
      <c r="G197" s="30" t="s">
        <v>897</v>
      </c>
      <c r="H197" s="28">
        <v>98620000</v>
      </c>
      <c r="I197" s="23" t="s">
        <v>1516</v>
      </c>
      <c r="J197" s="23" t="s">
        <v>1538</v>
      </c>
      <c r="K197" s="23" t="s">
        <v>754</v>
      </c>
      <c r="L197" s="23" t="str">
        <f>VLOOKUP(K197,Матрицы!B:C,2,0)</f>
        <v>село</v>
      </c>
      <c r="M197" s="31" t="s">
        <v>1545</v>
      </c>
      <c r="N197" s="28">
        <v>98620433111</v>
      </c>
      <c r="O197" s="32">
        <v>0</v>
      </c>
      <c r="P197" s="1">
        <v>2</v>
      </c>
      <c r="Q197" s="1" t="s">
        <v>1546</v>
      </c>
      <c r="R197" s="1" t="s">
        <v>1547</v>
      </c>
    </row>
    <row r="198" spans="1:18">
      <c r="A198" s="23">
        <v>197</v>
      </c>
      <c r="B198" s="27">
        <f t="shared" si="4"/>
        <v>98620440101</v>
      </c>
      <c r="C198" s="23" t="s">
        <v>735</v>
      </c>
      <c r="D198" s="28">
        <v>98600000</v>
      </c>
      <c r="E198" s="23" t="s">
        <v>735</v>
      </c>
      <c r="F198" s="28">
        <v>98000000</v>
      </c>
      <c r="G198" s="30" t="s">
        <v>897</v>
      </c>
      <c r="H198" s="28">
        <v>98620000</v>
      </c>
      <c r="I198" s="23" t="s">
        <v>1516</v>
      </c>
      <c r="J198" s="23" t="s">
        <v>1548</v>
      </c>
      <c r="K198" s="23" t="s">
        <v>754</v>
      </c>
      <c r="L198" s="23" t="str">
        <f>VLOOKUP(K198,Матрицы!B:C,2,0)</f>
        <v>село</v>
      </c>
      <c r="M198" s="31" t="s">
        <v>1549</v>
      </c>
      <c r="N198" s="28">
        <v>98620440101</v>
      </c>
      <c r="O198" s="36">
        <v>653</v>
      </c>
      <c r="P198" s="1">
        <v>2</v>
      </c>
      <c r="Q198" s="1" t="s">
        <v>1550</v>
      </c>
      <c r="R198" s="1" t="s">
        <v>1551</v>
      </c>
    </row>
    <row r="199" spans="1:18">
      <c r="A199" s="23">
        <v>198</v>
      </c>
      <c r="B199" s="27">
        <f t="shared" si="4"/>
        <v>98620440106</v>
      </c>
      <c r="C199" s="23" t="s">
        <v>735</v>
      </c>
      <c r="D199" s="28">
        <v>98600000</v>
      </c>
      <c r="E199" s="23" t="s">
        <v>735</v>
      </c>
      <c r="F199" s="28">
        <v>98000000</v>
      </c>
      <c r="G199" s="30" t="s">
        <v>897</v>
      </c>
      <c r="H199" s="28">
        <v>98620000</v>
      </c>
      <c r="I199" s="23" t="s">
        <v>1516</v>
      </c>
      <c r="J199" s="23" t="s">
        <v>1548</v>
      </c>
      <c r="K199" s="23" t="s">
        <v>754</v>
      </c>
      <c r="L199" s="23" t="str">
        <f>VLOOKUP(K199,Матрицы!B:C,2,0)</f>
        <v>село</v>
      </c>
      <c r="M199" s="31" t="s">
        <v>1454</v>
      </c>
      <c r="N199" s="28">
        <v>98620440106</v>
      </c>
      <c r="O199" s="36">
        <v>7</v>
      </c>
      <c r="P199" s="1">
        <v>2</v>
      </c>
      <c r="Q199" s="1" t="s">
        <v>1552</v>
      </c>
      <c r="R199" s="1" t="s">
        <v>1553</v>
      </c>
    </row>
    <row r="200" spans="1:18">
      <c r="A200" s="23">
        <v>199</v>
      </c>
      <c r="B200" s="27">
        <f t="shared" si="4"/>
        <v>98620449101</v>
      </c>
      <c r="C200" s="23" t="s">
        <v>735</v>
      </c>
      <c r="D200" s="28">
        <v>98600000</v>
      </c>
      <c r="E200" s="23" t="s">
        <v>735</v>
      </c>
      <c r="F200" s="28">
        <v>98000000</v>
      </c>
      <c r="G200" s="30" t="s">
        <v>897</v>
      </c>
      <c r="H200" s="28">
        <v>98620000</v>
      </c>
      <c r="I200" s="23" t="s">
        <v>1516</v>
      </c>
      <c r="J200" s="23" t="s">
        <v>1554</v>
      </c>
      <c r="K200" s="23" t="s">
        <v>754</v>
      </c>
      <c r="L200" s="23" t="str">
        <f>VLOOKUP(K200,Матрицы!B:C,2,0)</f>
        <v>село</v>
      </c>
      <c r="M200" s="31" t="s">
        <v>1555</v>
      </c>
      <c r="N200" s="28">
        <v>98620449101</v>
      </c>
      <c r="O200" s="36">
        <v>1006</v>
      </c>
      <c r="P200" s="1">
        <v>2</v>
      </c>
      <c r="Q200" s="1" t="s">
        <v>1556</v>
      </c>
      <c r="R200" s="1" t="s">
        <v>1557</v>
      </c>
    </row>
    <row r="201" spans="1:18">
      <c r="A201" s="23">
        <v>200</v>
      </c>
      <c r="B201" s="27">
        <f t="shared" si="4"/>
        <v>98620449106</v>
      </c>
      <c r="C201" s="23" t="s">
        <v>735</v>
      </c>
      <c r="D201" s="28">
        <v>98600000</v>
      </c>
      <c r="E201" s="23" t="s">
        <v>735</v>
      </c>
      <c r="F201" s="28">
        <v>98000000</v>
      </c>
      <c r="G201" s="30" t="s">
        <v>897</v>
      </c>
      <c r="H201" s="28">
        <v>98620000</v>
      </c>
      <c r="I201" s="23" t="s">
        <v>1516</v>
      </c>
      <c r="J201" s="23" t="s">
        <v>1554</v>
      </c>
      <c r="K201" s="23" t="s">
        <v>754</v>
      </c>
      <c r="L201" s="23" t="str">
        <f>VLOOKUP(K201,Матрицы!B:C,2,0)</f>
        <v>село</v>
      </c>
      <c r="M201" s="31" t="s">
        <v>1558</v>
      </c>
      <c r="N201" s="28">
        <v>98620449106</v>
      </c>
      <c r="O201" s="36">
        <v>5</v>
      </c>
      <c r="P201" s="1">
        <v>2</v>
      </c>
      <c r="Q201" s="1" t="s">
        <v>1559</v>
      </c>
      <c r="R201" s="1" t="s">
        <v>1560</v>
      </c>
    </row>
    <row r="202" spans="1:18">
      <c r="A202" s="23">
        <v>201</v>
      </c>
      <c r="B202" s="27">
        <f t="shared" si="4"/>
        <v>98620449111</v>
      </c>
      <c r="C202" s="23" t="s">
        <v>735</v>
      </c>
      <c r="D202" s="28">
        <v>98600000</v>
      </c>
      <c r="E202" s="23" t="s">
        <v>735</v>
      </c>
      <c r="F202" s="28">
        <v>98000000</v>
      </c>
      <c r="G202" s="30" t="s">
        <v>897</v>
      </c>
      <c r="H202" s="28">
        <v>98620000</v>
      </c>
      <c r="I202" s="23" t="s">
        <v>1516</v>
      </c>
      <c r="J202" s="23" t="s">
        <v>1554</v>
      </c>
      <c r="K202" s="23" t="s">
        <v>754</v>
      </c>
      <c r="L202" s="23" t="str">
        <f>VLOOKUP(K202,Матрицы!B:C,2,0)</f>
        <v>село</v>
      </c>
      <c r="M202" s="31" t="s">
        <v>1240</v>
      </c>
      <c r="N202" s="28">
        <v>98620449111</v>
      </c>
      <c r="O202" s="36">
        <v>9</v>
      </c>
      <c r="P202" s="1">
        <v>2</v>
      </c>
      <c r="Q202" s="1" t="s">
        <v>1561</v>
      </c>
      <c r="R202" s="1" t="s">
        <v>1562</v>
      </c>
    </row>
    <row r="203" spans="1:18">
      <c r="A203" s="23">
        <v>202</v>
      </c>
      <c r="B203" s="27">
        <f t="shared" si="4"/>
        <v>98620452101</v>
      </c>
      <c r="C203" s="23" t="s">
        <v>735</v>
      </c>
      <c r="D203" s="28">
        <v>98600000</v>
      </c>
      <c r="E203" s="23" t="s">
        <v>735</v>
      </c>
      <c r="F203" s="28">
        <v>98000000</v>
      </c>
      <c r="G203" s="30" t="s">
        <v>897</v>
      </c>
      <c r="H203" s="28">
        <v>98620000</v>
      </c>
      <c r="I203" s="23" t="s">
        <v>1516</v>
      </c>
      <c r="J203" s="23" t="s">
        <v>1013</v>
      </c>
      <c r="K203" s="23" t="s">
        <v>754</v>
      </c>
      <c r="L203" s="23" t="str">
        <f>VLOOKUP(K203,Матрицы!B:C,2,0)</f>
        <v>село</v>
      </c>
      <c r="M203" s="31" t="s">
        <v>1563</v>
      </c>
      <c r="N203" s="28">
        <v>98620452101</v>
      </c>
      <c r="O203" s="36">
        <v>539</v>
      </c>
      <c r="P203" s="1">
        <v>2</v>
      </c>
      <c r="Q203" s="1" t="s">
        <v>1564</v>
      </c>
      <c r="R203" s="1" t="s">
        <v>1565</v>
      </c>
    </row>
    <row r="204" spans="1:18">
      <c r="A204" s="23">
        <v>203</v>
      </c>
      <c r="B204" s="27">
        <f t="shared" si="4"/>
        <v>98620465101</v>
      </c>
      <c r="C204" s="23" t="s">
        <v>735</v>
      </c>
      <c r="D204" s="28">
        <v>98600000</v>
      </c>
      <c r="E204" s="23" t="s">
        <v>735</v>
      </c>
      <c r="F204" s="28">
        <v>98000000</v>
      </c>
      <c r="G204" s="30" t="s">
        <v>897</v>
      </c>
      <c r="H204" s="28">
        <v>98620000</v>
      </c>
      <c r="I204" s="23" t="s">
        <v>1516</v>
      </c>
      <c r="J204" s="23" t="s">
        <v>1566</v>
      </c>
      <c r="K204" s="23" t="s">
        <v>754</v>
      </c>
      <c r="L204" s="23" t="str">
        <f>VLOOKUP(K204,Матрицы!B:C,2,0)</f>
        <v>село</v>
      </c>
      <c r="M204" s="31" t="s">
        <v>1567</v>
      </c>
      <c r="N204" s="28">
        <v>98620465101</v>
      </c>
      <c r="O204" s="36">
        <v>529</v>
      </c>
      <c r="P204" s="1">
        <v>2</v>
      </c>
      <c r="Q204" s="1" t="s">
        <v>1568</v>
      </c>
      <c r="R204" s="1" t="s">
        <v>1569</v>
      </c>
    </row>
    <row r="205" spans="1:18" ht="30">
      <c r="A205" s="23">
        <v>204</v>
      </c>
      <c r="B205" s="27">
        <f t="shared" si="4"/>
        <v>98622405101</v>
      </c>
      <c r="C205" s="23" t="s">
        <v>735</v>
      </c>
      <c r="D205" s="28">
        <v>98600000</v>
      </c>
      <c r="E205" s="23" t="s">
        <v>735</v>
      </c>
      <c r="F205" s="28">
        <v>98000000</v>
      </c>
      <c r="G205" s="30" t="s">
        <v>903</v>
      </c>
      <c r="H205" s="28">
        <v>98622000</v>
      </c>
      <c r="I205" s="30" t="s">
        <v>1570</v>
      </c>
      <c r="J205" s="23" t="s">
        <v>1571</v>
      </c>
      <c r="K205" s="23" t="s">
        <v>754</v>
      </c>
      <c r="L205" s="23" t="str">
        <f>VLOOKUP(K205,Матрицы!B:C,2,0)</f>
        <v>село</v>
      </c>
      <c r="M205" s="31" t="s">
        <v>1572</v>
      </c>
      <c r="N205" s="28">
        <v>98622405101</v>
      </c>
      <c r="O205" s="36">
        <v>129</v>
      </c>
      <c r="P205" s="1">
        <v>2</v>
      </c>
      <c r="Q205" s="1" t="s">
        <v>1573</v>
      </c>
      <c r="R205" s="1" t="s">
        <v>1574</v>
      </c>
    </row>
    <row r="206" spans="1:18" ht="30">
      <c r="A206" s="23">
        <v>205</v>
      </c>
      <c r="B206" s="27">
        <f t="shared" si="4"/>
        <v>98622410101</v>
      </c>
      <c r="C206" s="23" t="s">
        <v>735</v>
      </c>
      <c r="D206" s="28">
        <v>98600000</v>
      </c>
      <c r="E206" s="23" t="s">
        <v>735</v>
      </c>
      <c r="F206" s="28">
        <v>98000000</v>
      </c>
      <c r="G206" s="30" t="s">
        <v>903</v>
      </c>
      <c r="H206" s="28">
        <v>98622000</v>
      </c>
      <c r="I206" s="30" t="s">
        <v>1570</v>
      </c>
      <c r="J206" s="23" t="s">
        <v>1575</v>
      </c>
      <c r="K206" s="23" t="s">
        <v>754</v>
      </c>
      <c r="L206" s="23" t="str">
        <f>VLOOKUP(K206,Матрицы!B:C,2,0)</f>
        <v>село</v>
      </c>
      <c r="M206" s="31" t="s">
        <v>216</v>
      </c>
      <c r="N206" s="28">
        <v>98622410101</v>
      </c>
      <c r="O206" s="36">
        <v>3382</v>
      </c>
      <c r="P206" s="1">
        <v>2</v>
      </c>
      <c r="Q206" s="1" t="s">
        <v>1576</v>
      </c>
      <c r="R206" s="1" t="s">
        <v>1577</v>
      </c>
    </row>
    <row r="207" spans="1:18" ht="30">
      <c r="A207" s="23">
        <v>206</v>
      </c>
      <c r="B207" s="27">
        <f t="shared" si="4"/>
        <v>98622417101</v>
      </c>
      <c r="C207" s="23" t="s">
        <v>735</v>
      </c>
      <c r="D207" s="28">
        <v>98600000</v>
      </c>
      <c r="E207" s="23" t="s">
        <v>735</v>
      </c>
      <c r="F207" s="28">
        <v>98000000</v>
      </c>
      <c r="G207" s="30" t="s">
        <v>903</v>
      </c>
      <c r="H207" s="28">
        <v>98622000</v>
      </c>
      <c r="I207" s="30" t="s">
        <v>1570</v>
      </c>
      <c r="J207" s="23" t="s">
        <v>1578</v>
      </c>
      <c r="K207" s="23" t="s">
        <v>754</v>
      </c>
      <c r="L207" s="23" t="str">
        <f>VLOOKUP(K207,Матрицы!B:C,2,0)</f>
        <v>село</v>
      </c>
      <c r="M207" s="31" t="s">
        <v>1579</v>
      </c>
      <c r="N207" s="28">
        <v>98622417101</v>
      </c>
      <c r="O207" s="36">
        <v>408</v>
      </c>
      <c r="P207" s="1">
        <v>2</v>
      </c>
      <c r="Q207" s="1" t="s">
        <v>1580</v>
      </c>
      <c r="R207" s="1" t="s">
        <v>1581</v>
      </c>
    </row>
    <row r="208" spans="1:18" ht="30">
      <c r="A208" s="23">
        <v>207</v>
      </c>
      <c r="B208" s="27">
        <f t="shared" si="4"/>
        <v>98622422101</v>
      </c>
      <c r="C208" s="23" t="s">
        <v>735</v>
      </c>
      <c r="D208" s="28">
        <v>98600000</v>
      </c>
      <c r="E208" s="23" t="s">
        <v>735</v>
      </c>
      <c r="F208" s="28">
        <v>98000000</v>
      </c>
      <c r="G208" s="30" t="s">
        <v>903</v>
      </c>
      <c r="H208" s="28">
        <v>98622000</v>
      </c>
      <c r="I208" s="30" t="s">
        <v>1570</v>
      </c>
      <c r="J208" s="23" t="s">
        <v>1582</v>
      </c>
      <c r="K208" s="23" t="s">
        <v>754</v>
      </c>
      <c r="L208" s="23" t="str">
        <f>VLOOKUP(K208,Матрицы!B:C,2,0)</f>
        <v>село</v>
      </c>
      <c r="M208" s="31" t="s">
        <v>1583</v>
      </c>
      <c r="N208" s="28">
        <v>98622422101</v>
      </c>
      <c r="O208" s="36">
        <v>260</v>
      </c>
      <c r="P208" s="1">
        <v>2</v>
      </c>
      <c r="Q208" s="1" t="s">
        <v>1584</v>
      </c>
      <c r="R208" s="1" t="s">
        <v>1585</v>
      </c>
    </row>
    <row r="209" spans="1:18" ht="45">
      <c r="A209" s="23">
        <v>208</v>
      </c>
      <c r="B209" s="29">
        <v>0</v>
      </c>
      <c r="C209" s="23" t="s">
        <v>735</v>
      </c>
      <c r="D209" s="28">
        <v>98600000</v>
      </c>
      <c r="E209" s="23" t="s">
        <v>735</v>
      </c>
      <c r="F209" s="28">
        <v>98000000</v>
      </c>
      <c r="G209" s="30" t="s">
        <v>903</v>
      </c>
      <c r="H209" s="28">
        <v>98622000</v>
      </c>
      <c r="I209" s="30" t="s">
        <v>1586</v>
      </c>
      <c r="J209" s="30" t="s">
        <v>1587</v>
      </c>
      <c r="K209" s="29">
        <v>0</v>
      </c>
      <c r="L209" s="29">
        <v>0</v>
      </c>
      <c r="M209" s="29">
        <v>0</v>
      </c>
      <c r="N209" s="29">
        <v>0</v>
      </c>
      <c r="O209" s="39">
        <v>0</v>
      </c>
      <c r="P209" s="1">
        <v>2</v>
      </c>
    </row>
    <row r="210" spans="1:18">
      <c r="A210" s="23">
        <v>209</v>
      </c>
      <c r="B210" s="27">
        <f t="shared" si="4"/>
        <v>98624151051</v>
      </c>
      <c r="C210" s="23" t="s">
        <v>735</v>
      </c>
      <c r="D210" s="28">
        <v>98600000</v>
      </c>
      <c r="E210" s="23" t="s">
        <v>735</v>
      </c>
      <c r="F210" s="28">
        <v>98000000</v>
      </c>
      <c r="G210" s="30" t="s">
        <v>911</v>
      </c>
      <c r="H210" s="28">
        <v>98624000</v>
      </c>
      <c r="I210" s="30" t="s">
        <v>1588</v>
      </c>
      <c r="J210" s="23" t="s">
        <v>1589</v>
      </c>
      <c r="K210" s="23" t="s">
        <v>819</v>
      </c>
      <c r="L210" s="23" t="str">
        <f>VLOOKUP(K210,Матрицы!B:C,2,0)</f>
        <v>поселок</v>
      </c>
      <c r="M210" s="31" t="s">
        <v>1590</v>
      </c>
      <c r="N210" s="28">
        <v>98624151051</v>
      </c>
      <c r="O210" s="36">
        <v>3270</v>
      </c>
      <c r="P210" s="1">
        <v>1</v>
      </c>
      <c r="Q210" s="1" t="s">
        <v>1591</v>
      </c>
      <c r="R210" s="1" t="s">
        <v>1592</v>
      </c>
    </row>
    <row r="211" spans="1:18">
      <c r="A211" s="23">
        <v>210</v>
      </c>
      <c r="B211" s="27">
        <f t="shared" si="4"/>
        <v>98624151106</v>
      </c>
      <c r="C211" s="23" t="s">
        <v>735</v>
      </c>
      <c r="D211" s="28">
        <v>98600000</v>
      </c>
      <c r="E211" s="23" t="s">
        <v>735</v>
      </c>
      <c r="F211" s="28">
        <v>98000000</v>
      </c>
      <c r="G211" s="30" t="s">
        <v>911</v>
      </c>
      <c r="H211" s="28">
        <v>98624000</v>
      </c>
      <c r="I211" s="30" t="s">
        <v>1588</v>
      </c>
      <c r="J211" s="23" t="s">
        <v>1589</v>
      </c>
      <c r="K211" s="23" t="s">
        <v>754</v>
      </c>
      <c r="L211" s="23" t="str">
        <f>VLOOKUP(K211,Матрицы!B:C,2,0)</f>
        <v>село</v>
      </c>
      <c r="M211" s="31" t="s">
        <v>1593</v>
      </c>
      <c r="N211" s="28">
        <v>98624151106</v>
      </c>
      <c r="O211" s="36">
        <v>152</v>
      </c>
      <c r="P211" s="1">
        <v>2</v>
      </c>
      <c r="Q211" s="1" t="s">
        <v>1594</v>
      </c>
      <c r="R211" s="1" t="s">
        <v>1595</v>
      </c>
    </row>
    <row r="212" spans="1:18">
      <c r="A212" s="23">
        <v>211</v>
      </c>
      <c r="B212" s="27">
        <f t="shared" si="4"/>
        <v>98624151111</v>
      </c>
      <c r="C212" s="23" t="s">
        <v>735</v>
      </c>
      <c r="D212" s="28">
        <v>98600000</v>
      </c>
      <c r="E212" s="23" t="s">
        <v>735</v>
      </c>
      <c r="F212" s="28">
        <v>98000000</v>
      </c>
      <c r="G212" s="30" t="s">
        <v>911</v>
      </c>
      <c r="H212" s="28">
        <v>98624000</v>
      </c>
      <c r="I212" s="30" t="s">
        <v>1588</v>
      </c>
      <c r="J212" s="23" t="s">
        <v>1589</v>
      </c>
      <c r="K212" s="23" t="s">
        <v>754</v>
      </c>
      <c r="L212" s="23" t="str">
        <f>VLOOKUP(K212,Матрицы!B:C,2,0)</f>
        <v>село</v>
      </c>
      <c r="M212" s="31" t="s">
        <v>1596</v>
      </c>
      <c r="N212" s="28">
        <v>98624151111</v>
      </c>
      <c r="O212" s="32">
        <v>0</v>
      </c>
      <c r="P212" s="1">
        <v>2</v>
      </c>
      <c r="Q212" s="1" t="s">
        <v>1597</v>
      </c>
      <c r="R212" s="1" t="s">
        <v>1598</v>
      </c>
    </row>
    <row r="213" spans="1:18">
      <c r="A213" s="23">
        <v>212</v>
      </c>
      <c r="B213" s="27">
        <f t="shared" si="4"/>
        <v>98624405101</v>
      </c>
      <c r="C213" s="23" t="s">
        <v>735</v>
      </c>
      <c r="D213" s="28">
        <v>98600000</v>
      </c>
      <c r="E213" s="23" t="s">
        <v>735</v>
      </c>
      <c r="F213" s="28">
        <v>98000000</v>
      </c>
      <c r="G213" s="30" t="s">
        <v>911</v>
      </c>
      <c r="H213" s="28">
        <v>98624000</v>
      </c>
      <c r="I213" s="30" t="s">
        <v>1599</v>
      </c>
      <c r="J213" s="23" t="s">
        <v>1600</v>
      </c>
      <c r="K213" s="23" t="s">
        <v>754</v>
      </c>
      <c r="L213" s="23" t="str">
        <f>VLOOKUP(K213,Матрицы!B:C,2,0)</f>
        <v>село</v>
      </c>
      <c r="M213" s="31" t="s">
        <v>1601</v>
      </c>
      <c r="N213" s="28">
        <v>98624405101</v>
      </c>
      <c r="O213" s="36">
        <v>342</v>
      </c>
      <c r="P213" s="1">
        <v>2</v>
      </c>
      <c r="Q213" s="1" t="s">
        <v>1602</v>
      </c>
      <c r="R213" s="1" t="s">
        <v>1603</v>
      </c>
    </row>
    <row r="214" spans="1:18">
      <c r="A214" s="23">
        <v>213</v>
      </c>
      <c r="B214" s="27">
        <f t="shared" si="4"/>
        <v>98624405106</v>
      </c>
      <c r="C214" s="23" t="s">
        <v>735</v>
      </c>
      <c r="D214" s="28">
        <v>98600000</v>
      </c>
      <c r="E214" s="23" t="s">
        <v>735</v>
      </c>
      <c r="F214" s="28">
        <v>98000000</v>
      </c>
      <c r="G214" s="30" t="s">
        <v>911</v>
      </c>
      <c r="H214" s="28">
        <v>98624000</v>
      </c>
      <c r="I214" s="30" t="s">
        <v>1599</v>
      </c>
      <c r="J214" s="23" t="s">
        <v>1600</v>
      </c>
      <c r="K214" s="23" t="s">
        <v>754</v>
      </c>
      <c r="L214" s="23" t="str">
        <f>VLOOKUP(K214,Матрицы!B:C,2,0)</f>
        <v>село</v>
      </c>
      <c r="M214" s="31" t="s">
        <v>1604</v>
      </c>
      <c r="N214" s="28">
        <v>98624405106</v>
      </c>
      <c r="O214" s="36">
        <v>228</v>
      </c>
      <c r="P214" s="1">
        <v>2</v>
      </c>
      <c r="Q214" s="1" t="s">
        <v>1605</v>
      </c>
      <c r="R214" s="1" t="s">
        <v>1606</v>
      </c>
    </row>
    <row r="215" spans="1:18">
      <c r="A215" s="23">
        <v>214</v>
      </c>
      <c r="B215" s="27">
        <f t="shared" si="4"/>
        <v>98624405111</v>
      </c>
      <c r="C215" s="23" t="s">
        <v>735</v>
      </c>
      <c r="D215" s="28">
        <v>98600000</v>
      </c>
      <c r="E215" s="23" t="s">
        <v>735</v>
      </c>
      <c r="F215" s="28">
        <v>98000000</v>
      </c>
      <c r="G215" s="30" t="s">
        <v>911</v>
      </c>
      <c r="H215" s="28">
        <v>98624000</v>
      </c>
      <c r="I215" s="30" t="s">
        <v>1599</v>
      </c>
      <c r="J215" s="23" t="s">
        <v>1600</v>
      </c>
      <c r="K215" s="23" t="s">
        <v>754</v>
      </c>
      <c r="L215" s="23" t="str">
        <f>VLOOKUP(K215,Матрицы!B:C,2,0)</f>
        <v>село</v>
      </c>
      <c r="M215" s="31" t="s">
        <v>516</v>
      </c>
      <c r="N215" s="28">
        <v>98624405111</v>
      </c>
      <c r="O215" s="32">
        <v>0</v>
      </c>
      <c r="P215" s="1">
        <v>2</v>
      </c>
      <c r="Q215" s="1" t="s">
        <v>1607</v>
      </c>
      <c r="R215" s="1" t="s">
        <v>1608</v>
      </c>
    </row>
    <row r="216" spans="1:18">
      <c r="A216" s="23">
        <v>215</v>
      </c>
      <c r="B216" s="27">
        <f t="shared" si="4"/>
        <v>98624414101</v>
      </c>
      <c r="C216" s="23" t="s">
        <v>735</v>
      </c>
      <c r="D216" s="28">
        <v>98600000</v>
      </c>
      <c r="E216" s="23" t="s">
        <v>735</v>
      </c>
      <c r="F216" s="28">
        <v>98000000</v>
      </c>
      <c r="G216" s="30" t="s">
        <v>911</v>
      </c>
      <c r="H216" s="28">
        <v>98624000</v>
      </c>
      <c r="I216" s="30" t="s">
        <v>1599</v>
      </c>
      <c r="J216" s="23" t="s">
        <v>1609</v>
      </c>
      <c r="K216" s="23" t="s">
        <v>754</v>
      </c>
      <c r="L216" s="23" t="str">
        <f>VLOOKUP(K216,Матрицы!B:C,2,0)</f>
        <v>село</v>
      </c>
      <c r="M216" s="31" t="s">
        <v>1610</v>
      </c>
      <c r="N216" s="28">
        <v>98624414101</v>
      </c>
      <c r="O216" s="36">
        <v>242</v>
      </c>
      <c r="P216" s="1">
        <v>2</v>
      </c>
      <c r="Q216" s="1" t="s">
        <v>1611</v>
      </c>
      <c r="R216" s="1" t="s">
        <v>1612</v>
      </c>
    </row>
    <row r="217" spans="1:18">
      <c r="A217" s="23">
        <v>216</v>
      </c>
      <c r="B217" s="27">
        <f t="shared" si="4"/>
        <v>98624414106</v>
      </c>
      <c r="C217" s="23" t="s">
        <v>735</v>
      </c>
      <c r="D217" s="28">
        <v>98600000</v>
      </c>
      <c r="E217" s="23" t="s">
        <v>735</v>
      </c>
      <c r="F217" s="28">
        <v>98000000</v>
      </c>
      <c r="G217" s="30" t="s">
        <v>911</v>
      </c>
      <c r="H217" s="28">
        <v>98624000</v>
      </c>
      <c r="I217" s="30" t="s">
        <v>1599</v>
      </c>
      <c r="J217" s="23" t="s">
        <v>1609</v>
      </c>
      <c r="K217" s="23" t="s">
        <v>754</v>
      </c>
      <c r="L217" s="23" t="str">
        <f>VLOOKUP(K217,Матрицы!B:C,2,0)</f>
        <v>село</v>
      </c>
      <c r="M217" s="31" t="s">
        <v>387</v>
      </c>
      <c r="N217" s="28">
        <v>98624414106</v>
      </c>
      <c r="O217" s="36">
        <v>210</v>
      </c>
      <c r="P217" s="1">
        <v>2</v>
      </c>
      <c r="Q217" s="1" t="s">
        <v>1613</v>
      </c>
      <c r="R217" s="1" t="s">
        <v>1614</v>
      </c>
    </row>
    <row r="218" spans="1:18">
      <c r="A218" s="23">
        <v>217</v>
      </c>
      <c r="B218" s="27">
        <f t="shared" si="4"/>
        <v>98624419101</v>
      </c>
      <c r="C218" s="23" t="s">
        <v>735</v>
      </c>
      <c r="D218" s="28">
        <v>98600000</v>
      </c>
      <c r="E218" s="23" t="s">
        <v>735</v>
      </c>
      <c r="F218" s="28">
        <v>98000000</v>
      </c>
      <c r="G218" s="30" t="s">
        <v>911</v>
      </c>
      <c r="H218" s="28">
        <v>98624000</v>
      </c>
      <c r="I218" s="30" t="s">
        <v>1599</v>
      </c>
      <c r="J218" s="23" t="s">
        <v>1615</v>
      </c>
      <c r="K218" s="23" t="s">
        <v>754</v>
      </c>
      <c r="L218" s="23" t="str">
        <f>VLOOKUP(K218,Матрицы!B:C,2,0)</f>
        <v>село</v>
      </c>
      <c r="M218" s="31" t="s">
        <v>1616</v>
      </c>
      <c r="N218" s="28">
        <v>98624419101</v>
      </c>
      <c r="O218" s="36">
        <v>2172</v>
      </c>
      <c r="P218" s="1">
        <v>2</v>
      </c>
      <c r="Q218" s="1" t="s">
        <v>1617</v>
      </c>
      <c r="R218" s="1" t="s">
        <v>1618</v>
      </c>
    </row>
    <row r="219" spans="1:18">
      <c r="A219" s="23">
        <v>218</v>
      </c>
      <c r="B219" s="27">
        <f t="shared" si="4"/>
        <v>98624419106</v>
      </c>
      <c r="C219" s="23" t="s">
        <v>735</v>
      </c>
      <c r="D219" s="28">
        <v>98600000</v>
      </c>
      <c r="E219" s="23" t="s">
        <v>735</v>
      </c>
      <c r="F219" s="28">
        <v>98000000</v>
      </c>
      <c r="G219" s="30" t="s">
        <v>911</v>
      </c>
      <c r="H219" s="28">
        <v>98624000</v>
      </c>
      <c r="I219" s="30" t="s">
        <v>1599</v>
      </c>
      <c r="J219" s="23" t="s">
        <v>1615</v>
      </c>
      <c r="K219" s="23" t="s">
        <v>754</v>
      </c>
      <c r="L219" s="23" t="str">
        <f>VLOOKUP(K219,Матрицы!B:C,2,0)</f>
        <v>село</v>
      </c>
      <c r="M219" s="31" t="s">
        <v>1619</v>
      </c>
      <c r="N219" s="28">
        <v>98624419106</v>
      </c>
      <c r="O219" s="32">
        <v>0</v>
      </c>
      <c r="P219" s="1">
        <v>2</v>
      </c>
      <c r="Q219" s="1" t="s">
        <v>1620</v>
      </c>
      <c r="R219" s="1" t="s">
        <v>1621</v>
      </c>
    </row>
    <row r="220" spans="1:18">
      <c r="A220" s="23">
        <v>219</v>
      </c>
      <c r="B220" s="27">
        <f t="shared" si="4"/>
        <v>98624419111</v>
      </c>
      <c r="C220" s="23" t="s">
        <v>735</v>
      </c>
      <c r="D220" s="28">
        <v>98600000</v>
      </c>
      <c r="E220" s="23" t="s">
        <v>735</v>
      </c>
      <c r="F220" s="28">
        <v>98000000</v>
      </c>
      <c r="G220" s="30" t="s">
        <v>911</v>
      </c>
      <c r="H220" s="28">
        <v>98624000</v>
      </c>
      <c r="I220" s="30" t="s">
        <v>1599</v>
      </c>
      <c r="J220" s="23" t="s">
        <v>1615</v>
      </c>
      <c r="K220" s="23" t="s">
        <v>754</v>
      </c>
      <c r="L220" s="23" t="str">
        <f>VLOOKUP(K220,Матрицы!B:C,2,0)</f>
        <v>село</v>
      </c>
      <c r="M220" s="31" t="s">
        <v>1622</v>
      </c>
      <c r="N220" s="28">
        <v>98624419111</v>
      </c>
      <c r="O220" s="32">
        <v>0</v>
      </c>
      <c r="P220" s="1">
        <v>2</v>
      </c>
      <c r="Q220" s="1" t="s">
        <v>1623</v>
      </c>
      <c r="R220" s="1" t="s">
        <v>1624</v>
      </c>
    </row>
    <row r="221" spans="1:18">
      <c r="A221" s="23">
        <v>220</v>
      </c>
      <c r="B221" s="27">
        <f t="shared" si="4"/>
        <v>98624424101</v>
      </c>
      <c r="C221" s="23" t="s">
        <v>735</v>
      </c>
      <c r="D221" s="28">
        <v>98600000</v>
      </c>
      <c r="E221" s="23" t="s">
        <v>735</v>
      </c>
      <c r="F221" s="28">
        <v>98000000</v>
      </c>
      <c r="G221" s="30" t="s">
        <v>911</v>
      </c>
      <c r="H221" s="28">
        <v>98624000</v>
      </c>
      <c r="I221" s="30" t="s">
        <v>1599</v>
      </c>
      <c r="J221" s="23" t="s">
        <v>1625</v>
      </c>
      <c r="K221" s="23" t="s">
        <v>754</v>
      </c>
      <c r="L221" s="23" t="str">
        <f>VLOOKUP(K221,Матрицы!B:C,2,0)</f>
        <v>село</v>
      </c>
      <c r="M221" s="31" t="s">
        <v>1626</v>
      </c>
      <c r="N221" s="28">
        <v>98624424101</v>
      </c>
      <c r="O221" s="36">
        <v>556</v>
      </c>
      <c r="P221" s="1">
        <v>2</v>
      </c>
      <c r="Q221" s="1" t="s">
        <v>1627</v>
      </c>
      <c r="R221" s="1" t="s">
        <v>1628</v>
      </c>
    </row>
    <row r="222" spans="1:18">
      <c r="A222" s="23">
        <v>221</v>
      </c>
      <c r="B222" s="27">
        <f t="shared" si="4"/>
        <v>98624424106</v>
      </c>
      <c r="C222" s="23" t="s">
        <v>735</v>
      </c>
      <c r="D222" s="28">
        <v>98600000</v>
      </c>
      <c r="E222" s="23" t="s">
        <v>735</v>
      </c>
      <c r="F222" s="28">
        <v>98000000</v>
      </c>
      <c r="G222" s="30" t="s">
        <v>911</v>
      </c>
      <c r="H222" s="28">
        <v>98624000</v>
      </c>
      <c r="I222" s="30" t="s">
        <v>1599</v>
      </c>
      <c r="J222" s="23" t="s">
        <v>1625</v>
      </c>
      <c r="K222" s="23" t="s">
        <v>754</v>
      </c>
      <c r="L222" s="23" t="str">
        <f>VLOOKUP(K222,Матрицы!B:C,2,0)</f>
        <v>село</v>
      </c>
      <c r="M222" s="31" t="s">
        <v>1629</v>
      </c>
      <c r="N222" s="28">
        <v>98624424106</v>
      </c>
      <c r="O222" s="36">
        <v>149</v>
      </c>
      <c r="P222" s="1">
        <v>2</v>
      </c>
      <c r="Q222" s="1" t="s">
        <v>1630</v>
      </c>
      <c r="R222" s="1" t="s">
        <v>1631</v>
      </c>
    </row>
    <row r="223" spans="1:18">
      <c r="A223" s="23">
        <v>222</v>
      </c>
      <c r="B223" s="27">
        <f t="shared" si="4"/>
        <v>98624429101</v>
      </c>
      <c r="C223" s="23" t="s">
        <v>735</v>
      </c>
      <c r="D223" s="28">
        <v>98600000</v>
      </c>
      <c r="E223" s="23" t="s">
        <v>735</v>
      </c>
      <c r="F223" s="28">
        <v>98000000</v>
      </c>
      <c r="G223" s="30" t="s">
        <v>911</v>
      </c>
      <c r="H223" s="28">
        <v>98624000</v>
      </c>
      <c r="I223" s="30" t="s">
        <v>1599</v>
      </c>
      <c r="J223" s="23" t="s">
        <v>1632</v>
      </c>
      <c r="K223" s="23" t="s">
        <v>754</v>
      </c>
      <c r="L223" s="23" t="str">
        <f>VLOOKUP(K223,Матрицы!B:C,2,0)</f>
        <v>село</v>
      </c>
      <c r="M223" s="31" t="s">
        <v>1633</v>
      </c>
      <c r="N223" s="28">
        <v>98624429101</v>
      </c>
      <c r="O223" s="36">
        <v>774</v>
      </c>
      <c r="P223" s="1">
        <v>2</v>
      </c>
      <c r="Q223" s="1" t="s">
        <v>1634</v>
      </c>
      <c r="R223" s="1" t="s">
        <v>1635</v>
      </c>
    </row>
    <row r="224" spans="1:18">
      <c r="A224" s="23">
        <v>223</v>
      </c>
      <c r="B224" s="27">
        <f t="shared" si="4"/>
        <v>98624434101</v>
      </c>
      <c r="C224" s="23" t="s">
        <v>735</v>
      </c>
      <c r="D224" s="28">
        <v>98600000</v>
      </c>
      <c r="E224" s="23" t="s">
        <v>735</v>
      </c>
      <c r="F224" s="28">
        <v>98000000</v>
      </c>
      <c r="G224" s="30" t="s">
        <v>911</v>
      </c>
      <c r="H224" s="28">
        <v>98624000</v>
      </c>
      <c r="I224" s="30" t="s">
        <v>1599</v>
      </c>
      <c r="J224" s="23" t="s">
        <v>1636</v>
      </c>
      <c r="K224" s="23" t="s">
        <v>754</v>
      </c>
      <c r="L224" s="23" t="str">
        <f>VLOOKUP(K224,Матрицы!B:C,2,0)</f>
        <v>село</v>
      </c>
      <c r="M224" s="31" t="s">
        <v>1273</v>
      </c>
      <c r="N224" s="28">
        <v>98624434101</v>
      </c>
      <c r="O224" s="36">
        <v>180</v>
      </c>
      <c r="P224" s="1">
        <v>2</v>
      </c>
      <c r="Q224" s="1" t="s">
        <v>1637</v>
      </c>
      <c r="R224" s="1" t="s">
        <v>1638</v>
      </c>
    </row>
    <row r="225" spans="1:18">
      <c r="A225" s="23">
        <v>224</v>
      </c>
      <c r="B225" s="27">
        <f t="shared" si="4"/>
        <v>98624434106</v>
      </c>
      <c r="C225" s="23" t="s">
        <v>735</v>
      </c>
      <c r="D225" s="28">
        <v>98600000</v>
      </c>
      <c r="E225" s="23" t="s">
        <v>735</v>
      </c>
      <c r="F225" s="28">
        <v>98000000</v>
      </c>
      <c r="G225" s="30" t="s">
        <v>911</v>
      </c>
      <c r="H225" s="28">
        <v>98624000</v>
      </c>
      <c r="I225" s="30" t="s">
        <v>1599</v>
      </c>
      <c r="J225" s="23" t="s">
        <v>1636</v>
      </c>
      <c r="K225" s="23" t="s">
        <v>754</v>
      </c>
      <c r="L225" s="23" t="str">
        <f>VLOOKUP(K225,Матрицы!B:C,2,0)</f>
        <v>село</v>
      </c>
      <c r="M225" s="31" t="s">
        <v>856</v>
      </c>
      <c r="N225" s="28">
        <v>98624434106</v>
      </c>
      <c r="O225" s="36">
        <v>125</v>
      </c>
      <c r="P225" s="1">
        <v>2</v>
      </c>
      <c r="Q225" s="1" t="s">
        <v>1639</v>
      </c>
      <c r="R225" s="1" t="s">
        <v>1640</v>
      </c>
    </row>
    <row r="226" spans="1:18">
      <c r="A226" s="23">
        <v>225</v>
      </c>
      <c r="B226" s="27">
        <f t="shared" si="4"/>
        <v>98624435101</v>
      </c>
      <c r="C226" s="23" t="s">
        <v>735</v>
      </c>
      <c r="D226" s="28">
        <v>98600000</v>
      </c>
      <c r="E226" s="23" t="s">
        <v>735</v>
      </c>
      <c r="F226" s="28">
        <v>98000000</v>
      </c>
      <c r="G226" s="30" t="s">
        <v>911</v>
      </c>
      <c r="H226" s="28">
        <v>98624000</v>
      </c>
      <c r="I226" s="30" t="s">
        <v>1599</v>
      </c>
      <c r="J226" s="23" t="s">
        <v>1641</v>
      </c>
      <c r="K226" s="23" t="s">
        <v>754</v>
      </c>
      <c r="L226" s="23" t="str">
        <f>VLOOKUP(K226,Матрицы!B:C,2,0)</f>
        <v>село</v>
      </c>
      <c r="M226" s="31" t="s">
        <v>1642</v>
      </c>
      <c r="N226" s="28">
        <v>98624435101</v>
      </c>
      <c r="O226" s="36">
        <v>465</v>
      </c>
      <c r="P226" s="1">
        <v>2</v>
      </c>
      <c r="Q226" s="1" t="s">
        <v>1643</v>
      </c>
      <c r="R226" s="1" t="s">
        <v>1644</v>
      </c>
    </row>
    <row r="227" spans="1:18">
      <c r="A227" s="23">
        <v>226</v>
      </c>
      <c r="B227" s="27">
        <f t="shared" si="4"/>
        <v>98624435106</v>
      </c>
      <c r="C227" s="23" t="s">
        <v>735</v>
      </c>
      <c r="D227" s="28">
        <v>98600000</v>
      </c>
      <c r="E227" s="23" t="s">
        <v>735</v>
      </c>
      <c r="F227" s="28">
        <v>98000000</v>
      </c>
      <c r="G227" s="30" t="s">
        <v>911</v>
      </c>
      <c r="H227" s="28">
        <v>98624000</v>
      </c>
      <c r="I227" s="30" t="s">
        <v>1599</v>
      </c>
      <c r="J227" s="23" t="s">
        <v>1641</v>
      </c>
      <c r="K227" s="23" t="s">
        <v>754</v>
      </c>
      <c r="L227" s="23" t="str">
        <f>VLOOKUP(K227,Матрицы!B:C,2,0)</f>
        <v>село</v>
      </c>
      <c r="M227" s="31" t="s">
        <v>1645</v>
      </c>
      <c r="N227" s="28">
        <v>98624435106</v>
      </c>
      <c r="O227" s="32">
        <v>0</v>
      </c>
      <c r="P227" s="1">
        <v>2</v>
      </c>
      <c r="Q227" s="1" t="s">
        <v>1646</v>
      </c>
      <c r="R227" s="1" t="s">
        <v>1647</v>
      </c>
    </row>
    <row r="228" spans="1:18">
      <c r="A228" s="23">
        <v>227</v>
      </c>
      <c r="B228" s="27">
        <f t="shared" si="4"/>
        <v>98624435111</v>
      </c>
      <c r="C228" s="23" t="s">
        <v>735</v>
      </c>
      <c r="D228" s="28">
        <v>98600000</v>
      </c>
      <c r="E228" s="23" t="s">
        <v>735</v>
      </c>
      <c r="F228" s="28">
        <v>98000000</v>
      </c>
      <c r="G228" s="30" t="s">
        <v>911</v>
      </c>
      <c r="H228" s="28">
        <v>98624000</v>
      </c>
      <c r="I228" s="30" t="s">
        <v>1599</v>
      </c>
      <c r="J228" s="23" t="s">
        <v>1641</v>
      </c>
      <c r="K228" s="23" t="s">
        <v>754</v>
      </c>
      <c r="L228" s="23" t="str">
        <f>VLOOKUP(K228,Матрицы!B:C,2,0)</f>
        <v>село</v>
      </c>
      <c r="M228" s="31" t="s">
        <v>1648</v>
      </c>
      <c r="N228" s="28">
        <v>98624435111</v>
      </c>
      <c r="O228" s="32">
        <v>0</v>
      </c>
      <c r="P228" s="1">
        <v>2</v>
      </c>
      <c r="Q228" s="1" t="s">
        <v>1649</v>
      </c>
      <c r="R228" s="1" t="s">
        <v>1650</v>
      </c>
    </row>
    <row r="229" spans="1:18">
      <c r="A229" s="23">
        <v>228</v>
      </c>
      <c r="B229" s="27">
        <f t="shared" si="4"/>
        <v>98624440101</v>
      </c>
      <c r="C229" s="23" t="s">
        <v>735</v>
      </c>
      <c r="D229" s="28">
        <v>98600000</v>
      </c>
      <c r="E229" s="23" t="s">
        <v>735</v>
      </c>
      <c r="F229" s="28">
        <v>98000000</v>
      </c>
      <c r="G229" s="30" t="s">
        <v>911</v>
      </c>
      <c r="H229" s="28">
        <v>98624000</v>
      </c>
      <c r="I229" s="30" t="s">
        <v>1599</v>
      </c>
      <c r="J229" s="23" t="s">
        <v>1651</v>
      </c>
      <c r="K229" s="23" t="s">
        <v>754</v>
      </c>
      <c r="L229" s="23" t="str">
        <f>VLOOKUP(K229,Матрицы!B:C,2,0)</f>
        <v>село</v>
      </c>
      <c r="M229" s="31" t="s">
        <v>1251</v>
      </c>
      <c r="N229" s="28">
        <v>98624440101</v>
      </c>
      <c r="O229" s="36">
        <v>1128</v>
      </c>
      <c r="P229" s="1">
        <v>2</v>
      </c>
      <c r="Q229" s="1" t="s">
        <v>1652</v>
      </c>
      <c r="R229" s="1" t="s">
        <v>1653</v>
      </c>
    </row>
    <row r="230" spans="1:18">
      <c r="A230" s="23">
        <v>229</v>
      </c>
      <c r="B230" s="27">
        <f t="shared" si="4"/>
        <v>98624445101</v>
      </c>
      <c r="C230" s="23" t="s">
        <v>735</v>
      </c>
      <c r="D230" s="28">
        <v>98600000</v>
      </c>
      <c r="E230" s="23" t="s">
        <v>735</v>
      </c>
      <c r="F230" s="28">
        <v>98000000</v>
      </c>
      <c r="G230" s="30" t="s">
        <v>911</v>
      </c>
      <c r="H230" s="28">
        <v>98624000</v>
      </c>
      <c r="I230" s="30" t="s">
        <v>1599</v>
      </c>
      <c r="J230" s="23" t="s">
        <v>1654</v>
      </c>
      <c r="K230" s="23" t="s">
        <v>754</v>
      </c>
      <c r="L230" s="23" t="str">
        <f>VLOOKUP(K230,Матрицы!B:C,2,0)</f>
        <v>село</v>
      </c>
      <c r="M230" s="31" t="s">
        <v>971</v>
      </c>
      <c r="N230" s="28">
        <v>98624445101</v>
      </c>
      <c r="O230" s="36">
        <v>527</v>
      </c>
      <c r="P230" s="1">
        <v>2</v>
      </c>
      <c r="Q230" s="1" t="s">
        <v>1655</v>
      </c>
      <c r="R230" s="1" t="s">
        <v>1656</v>
      </c>
    </row>
    <row r="231" spans="1:18">
      <c r="A231" s="23">
        <v>230</v>
      </c>
      <c r="B231" s="27">
        <f t="shared" si="4"/>
        <v>98624450101</v>
      </c>
      <c r="C231" s="23" t="s">
        <v>735</v>
      </c>
      <c r="D231" s="28">
        <v>98600000</v>
      </c>
      <c r="E231" s="23" t="s">
        <v>735</v>
      </c>
      <c r="F231" s="28">
        <v>98000000</v>
      </c>
      <c r="G231" s="30" t="s">
        <v>911</v>
      </c>
      <c r="H231" s="28">
        <v>98624000</v>
      </c>
      <c r="I231" s="30" t="s">
        <v>1599</v>
      </c>
      <c r="J231" s="23" t="s">
        <v>1657</v>
      </c>
      <c r="K231" s="23" t="s">
        <v>754</v>
      </c>
      <c r="L231" s="23" t="str">
        <f>VLOOKUP(K231,Матрицы!B:C,2,0)</f>
        <v>село</v>
      </c>
      <c r="M231" s="31" t="s">
        <v>1658</v>
      </c>
      <c r="N231" s="28">
        <v>98624450101</v>
      </c>
      <c r="O231" s="36">
        <v>469</v>
      </c>
      <c r="P231" s="1">
        <v>2</v>
      </c>
      <c r="Q231" s="1" t="s">
        <v>1659</v>
      </c>
      <c r="R231" s="1" t="s">
        <v>1660</v>
      </c>
    </row>
    <row r="232" spans="1:18">
      <c r="A232" s="23">
        <v>231</v>
      </c>
      <c r="B232" s="27">
        <f t="shared" si="4"/>
        <v>98624455101</v>
      </c>
      <c r="C232" s="23" t="s">
        <v>735</v>
      </c>
      <c r="D232" s="28">
        <v>98600000</v>
      </c>
      <c r="E232" s="23" t="s">
        <v>735</v>
      </c>
      <c r="F232" s="28">
        <v>98000000</v>
      </c>
      <c r="G232" s="30" t="s">
        <v>911</v>
      </c>
      <c r="H232" s="28">
        <v>98624000</v>
      </c>
      <c r="I232" s="30" t="s">
        <v>1599</v>
      </c>
      <c r="J232" s="23" t="s">
        <v>1661</v>
      </c>
      <c r="K232" s="23" t="s">
        <v>754</v>
      </c>
      <c r="L232" s="23" t="str">
        <f>VLOOKUP(K232,Матрицы!B:C,2,0)</f>
        <v>село</v>
      </c>
      <c r="M232" s="31" t="s">
        <v>1662</v>
      </c>
      <c r="N232" s="28">
        <v>98624455101</v>
      </c>
      <c r="O232" s="36">
        <v>454</v>
      </c>
      <c r="P232" s="1">
        <v>2</v>
      </c>
      <c r="Q232" s="1" t="s">
        <v>1663</v>
      </c>
      <c r="R232" s="1" t="s">
        <v>1664</v>
      </c>
    </row>
    <row r="233" spans="1:18" ht="45">
      <c r="A233" s="23">
        <v>232</v>
      </c>
      <c r="B233" s="29">
        <v>0</v>
      </c>
      <c r="C233" s="23" t="s">
        <v>735</v>
      </c>
      <c r="D233" s="28">
        <v>98600000</v>
      </c>
      <c r="E233" s="23" t="s">
        <v>735</v>
      </c>
      <c r="F233" s="28">
        <v>98000000</v>
      </c>
      <c r="G233" s="30" t="s">
        <v>911</v>
      </c>
      <c r="H233" s="28">
        <v>98624000</v>
      </c>
      <c r="I233" s="23" t="s">
        <v>1665</v>
      </c>
      <c r="J233" s="30" t="s">
        <v>1666</v>
      </c>
      <c r="K233" s="29">
        <v>0</v>
      </c>
      <c r="L233" s="29">
        <v>0</v>
      </c>
      <c r="M233" s="29">
        <v>0</v>
      </c>
      <c r="N233" s="29">
        <v>0</v>
      </c>
      <c r="O233" s="39">
        <v>0</v>
      </c>
      <c r="P233" s="1">
        <v>2</v>
      </c>
    </row>
    <row r="234" spans="1:18">
      <c r="A234" s="23">
        <v>233</v>
      </c>
      <c r="B234" s="27">
        <f t="shared" si="4"/>
        <v>98626101001</v>
      </c>
      <c r="C234" s="23" t="s">
        <v>735</v>
      </c>
      <c r="D234" s="28">
        <v>98600000</v>
      </c>
      <c r="E234" s="23" t="s">
        <v>735</v>
      </c>
      <c r="F234" s="28">
        <v>98000000</v>
      </c>
      <c r="G234" s="30" t="s">
        <v>947</v>
      </c>
      <c r="H234" s="28">
        <v>98626000</v>
      </c>
      <c r="I234" s="30" t="s">
        <v>1667</v>
      </c>
      <c r="J234" s="23" t="s">
        <v>1668</v>
      </c>
      <c r="K234" s="23" t="s">
        <v>740</v>
      </c>
      <c r="L234" s="23" t="str">
        <f>VLOOKUP(K234,Матрицы!B:C,2,0)</f>
        <v>город</v>
      </c>
      <c r="M234" s="31" t="s">
        <v>504</v>
      </c>
      <c r="N234" s="28">
        <v>98626101001</v>
      </c>
      <c r="O234" s="36">
        <v>10055</v>
      </c>
      <c r="P234" s="1">
        <v>1</v>
      </c>
      <c r="Q234" s="1" t="s">
        <v>1669</v>
      </c>
      <c r="R234" s="1" t="s">
        <v>1670</v>
      </c>
    </row>
    <row r="235" spans="1:18">
      <c r="A235" s="23">
        <v>234</v>
      </c>
      <c r="B235" s="27">
        <f t="shared" si="4"/>
        <v>98626405101</v>
      </c>
      <c r="C235" s="23" t="s">
        <v>735</v>
      </c>
      <c r="D235" s="28">
        <v>98600000</v>
      </c>
      <c r="E235" s="23" t="s">
        <v>735</v>
      </c>
      <c r="F235" s="28">
        <v>98000000</v>
      </c>
      <c r="G235" s="30" t="s">
        <v>947</v>
      </c>
      <c r="H235" s="28">
        <v>98626000</v>
      </c>
      <c r="I235" s="30" t="s">
        <v>1671</v>
      </c>
      <c r="J235" s="23" t="s">
        <v>1672</v>
      </c>
      <c r="K235" s="23" t="s">
        <v>754</v>
      </c>
      <c r="L235" s="23" t="str">
        <f>VLOOKUP(K235,Матрицы!B:C,2,0)</f>
        <v>село</v>
      </c>
      <c r="M235" s="31" t="s">
        <v>1673</v>
      </c>
      <c r="N235" s="28">
        <v>98626405101</v>
      </c>
      <c r="O235" s="36">
        <v>396</v>
      </c>
      <c r="P235" s="1">
        <v>2</v>
      </c>
      <c r="Q235" s="1" t="s">
        <v>1674</v>
      </c>
      <c r="R235" s="1" t="s">
        <v>1675</v>
      </c>
    </row>
    <row r="236" spans="1:18">
      <c r="A236" s="23">
        <v>235</v>
      </c>
      <c r="B236" s="27">
        <f t="shared" si="4"/>
        <v>98626405106</v>
      </c>
      <c r="C236" s="23" t="s">
        <v>735</v>
      </c>
      <c r="D236" s="28">
        <v>98600000</v>
      </c>
      <c r="E236" s="23" t="s">
        <v>735</v>
      </c>
      <c r="F236" s="28">
        <v>98000000</v>
      </c>
      <c r="G236" s="30" t="s">
        <v>947</v>
      </c>
      <c r="H236" s="28">
        <v>98626000</v>
      </c>
      <c r="I236" s="30" t="s">
        <v>1671</v>
      </c>
      <c r="J236" s="23" t="s">
        <v>1672</v>
      </c>
      <c r="K236" s="23" t="s">
        <v>754</v>
      </c>
      <c r="L236" s="23" t="str">
        <f>VLOOKUP(K236,Матрицы!B:C,2,0)</f>
        <v>село</v>
      </c>
      <c r="M236" s="31" t="s">
        <v>1047</v>
      </c>
      <c r="N236" s="28">
        <v>98626405106</v>
      </c>
      <c r="O236" s="36">
        <v>30</v>
      </c>
      <c r="P236" s="1">
        <v>2</v>
      </c>
      <c r="Q236" s="1" t="s">
        <v>1676</v>
      </c>
      <c r="R236" s="1" t="s">
        <v>1677</v>
      </c>
    </row>
    <row r="237" spans="1:18">
      <c r="A237" s="23">
        <v>236</v>
      </c>
      <c r="B237" s="27">
        <f t="shared" si="4"/>
        <v>98626410101</v>
      </c>
      <c r="C237" s="23" t="s">
        <v>735</v>
      </c>
      <c r="D237" s="28">
        <v>98600000</v>
      </c>
      <c r="E237" s="23" t="s">
        <v>735</v>
      </c>
      <c r="F237" s="28">
        <v>98000000</v>
      </c>
      <c r="G237" s="30" t="s">
        <v>947</v>
      </c>
      <c r="H237" s="28">
        <v>98626000</v>
      </c>
      <c r="I237" s="30" t="s">
        <v>1671</v>
      </c>
      <c r="J237" s="23" t="s">
        <v>1678</v>
      </c>
      <c r="K237" s="23" t="s">
        <v>754</v>
      </c>
      <c r="L237" s="23" t="str">
        <f>VLOOKUP(K237,Матрицы!B:C,2,0)</f>
        <v>село</v>
      </c>
      <c r="M237" s="31" t="s">
        <v>555</v>
      </c>
      <c r="N237" s="28">
        <v>98626410101</v>
      </c>
      <c r="O237" s="36">
        <v>1697</v>
      </c>
      <c r="P237" s="1">
        <v>2</v>
      </c>
      <c r="Q237" s="1" t="s">
        <v>1679</v>
      </c>
      <c r="R237" s="1" t="s">
        <v>1680</v>
      </c>
    </row>
    <row r="238" spans="1:18">
      <c r="A238" s="23">
        <v>237</v>
      </c>
      <c r="B238" s="27">
        <f t="shared" si="4"/>
        <v>98626413101</v>
      </c>
      <c r="C238" s="23" t="s">
        <v>735</v>
      </c>
      <c r="D238" s="28">
        <v>98600000</v>
      </c>
      <c r="E238" s="23" t="s">
        <v>735</v>
      </c>
      <c r="F238" s="28">
        <v>98000000</v>
      </c>
      <c r="G238" s="30" t="s">
        <v>947</v>
      </c>
      <c r="H238" s="28">
        <v>98626000</v>
      </c>
      <c r="I238" s="30" t="s">
        <v>1671</v>
      </c>
      <c r="J238" s="23" t="s">
        <v>1681</v>
      </c>
      <c r="K238" s="23" t="s">
        <v>754</v>
      </c>
      <c r="L238" s="23" t="str">
        <f>VLOOKUP(K238,Матрицы!B:C,2,0)</f>
        <v>село</v>
      </c>
      <c r="M238" s="31" t="s">
        <v>1549</v>
      </c>
      <c r="N238" s="28">
        <v>98626413101</v>
      </c>
      <c r="O238" s="36">
        <v>333</v>
      </c>
      <c r="P238" s="1">
        <v>2</v>
      </c>
      <c r="Q238" s="1" t="s">
        <v>1682</v>
      </c>
      <c r="R238" s="1" t="s">
        <v>1683</v>
      </c>
    </row>
    <row r="239" spans="1:18">
      <c r="A239" s="23">
        <v>238</v>
      </c>
      <c r="B239" s="27">
        <f t="shared" si="4"/>
        <v>98626414101</v>
      </c>
      <c r="C239" s="23" t="s">
        <v>735</v>
      </c>
      <c r="D239" s="28">
        <v>98600000</v>
      </c>
      <c r="E239" s="23" t="s">
        <v>735</v>
      </c>
      <c r="F239" s="28">
        <v>98000000</v>
      </c>
      <c r="G239" s="30" t="s">
        <v>947</v>
      </c>
      <c r="H239" s="28">
        <v>98626000</v>
      </c>
      <c r="I239" s="30" t="s">
        <v>1671</v>
      </c>
      <c r="J239" s="23" t="s">
        <v>1684</v>
      </c>
      <c r="K239" s="23" t="s">
        <v>754</v>
      </c>
      <c r="L239" s="23" t="str">
        <f>VLOOKUP(K239,Матрицы!B:C,2,0)</f>
        <v>село</v>
      </c>
      <c r="M239" s="31" t="s">
        <v>1685</v>
      </c>
      <c r="N239" s="28">
        <v>98626414101</v>
      </c>
      <c r="O239" s="36">
        <v>186</v>
      </c>
      <c r="P239" s="1">
        <v>2</v>
      </c>
      <c r="Q239" s="1" t="s">
        <v>1686</v>
      </c>
      <c r="R239" s="1" t="s">
        <v>1687</v>
      </c>
    </row>
    <row r="240" spans="1:18">
      <c r="A240" s="23">
        <v>239</v>
      </c>
      <c r="B240" s="27">
        <f t="shared" si="4"/>
        <v>98626415101</v>
      </c>
      <c r="C240" s="23" t="s">
        <v>735</v>
      </c>
      <c r="D240" s="28">
        <v>98600000</v>
      </c>
      <c r="E240" s="23" t="s">
        <v>735</v>
      </c>
      <c r="F240" s="28">
        <v>98000000</v>
      </c>
      <c r="G240" s="30" t="s">
        <v>947</v>
      </c>
      <c r="H240" s="28">
        <v>98626000</v>
      </c>
      <c r="I240" s="30" t="s">
        <v>1671</v>
      </c>
      <c r="J240" s="23" t="s">
        <v>1688</v>
      </c>
      <c r="K240" s="23" t="s">
        <v>754</v>
      </c>
      <c r="L240" s="23" t="str">
        <f>VLOOKUP(K240,Матрицы!B:C,2,0)</f>
        <v>село</v>
      </c>
      <c r="M240" s="31" t="s">
        <v>1689</v>
      </c>
      <c r="N240" s="28">
        <v>98626415101</v>
      </c>
      <c r="O240" s="36">
        <v>363</v>
      </c>
      <c r="P240" s="1">
        <v>2</v>
      </c>
      <c r="Q240" s="1" t="s">
        <v>1690</v>
      </c>
      <c r="R240" s="1" t="s">
        <v>1691</v>
      </c>
    </row>
    <row r="241" spans="1:18">
      <c r="A241" s="23">
        <v>240</v>
      </c>
      <c r="B241" s="27">
        <f t="shared" si="4"/>
        <v>98626420101</v>
      </c>
      <c r="C241" s="23" t="s">
        <v>735</v>
      </c>
      <c r="D241" s="28">
        <v>98600000</v>
      </c>
      <c r="E241" s="23" t="s">
        <v>735</v>
      </c>
      <c r="F241" s="28">
        <v>98000000</v>
      </c>
      <c r="G241" s="30" t="s">
        <v>947</v>
      </c>
      <c r="H241" s="28">
        <v>98626000</v>
      </c>
      <c r="I241" s="30" t="s">
        <v>1671</v>
      </c>
      <c r="J241" s="23" t="s">
        <v>1692</v>
      </c>
      <c r="K241" s="23" t="s">
        <v>754</v>
      </c>
      <c r="L241" s="23" t="str">
        <f>VLOOKUP(K241,Матрицы!B:C,2,0)</f>
        <v>село</v>
      </c>
      <c r="M241" s="31" t="s">
        <v>1693</v>
      </c>
      <c r="N241" s="28">
        <v>98626420101</v>
      </c>
      <c r="O241" s="36">
        <v>582</v>
      </c>
      <c r="P241" s="1">
        <v>2</v>
      </c>
      <c r="Q241" s="1" t="s">
        <v>1694</v>
      </c>
      <c r="R241" s="1" t="s">
        <v>1695</v>
      </c>
    </row>
    <row r="242" spans="1:18">
      <c r="A242" s="23">
        <v>241</v>
      </c>
      <c r="B242" s="27">
        <f t="shared" si="4"/>
        <v>98626425101</v>
      </c>
      <c r="C242" s="23" t="s">
        <v>735</v>
      </c>
      <c r="D242" s="28">
        <v>98600000</v>
      </c>
      <c r="E242" s="23" t="s">
        <v>735</v>
      </c>
      <c r="F242" s="28">
        <v>98000000</v>
      </c>
      <c r="G242" s="30" t="s">
        <v>947</v>
      </c>
      <c r="H242" s="28">
        <v>98626000</v>
      </c>
      <c r="I242" s="30" t="s">
        <v>1671</v>
      </c>
      <c r="J242" s="23" t="s">
        <v>1696</v>
      </c>
      <c r="K242" s="23" t="s">
        <v>754</v>
      </c>
      <c r="L242" s="23" t="str">
        <f>VLOOKUP(K242,Матрицы!B:C,2,0)</f>
        <v>село</v>
      </c>
      <c r="M242" s="31" t="s">
        <v>1697</v>
      </c>
      <c r="N242" s="28">
        <v>98626425101</v>
      </c>
      <c r="O242" s="36">
        <v>789</v>
      </c>
      <c r="P242" s="1">
        <v>2</v>
      </c>
      <c r="Q242" s="1" t="s">
        <v>1698</v>
      </c>
      <c r="R242" s="1" t="s">
        <v>1699</v>
      </c>
    </row>
    <row r="243" spans="1:18">
      <c r="A243" s="23">
        <v>242</v>
      </c>
      <c r="B243" s="27">
        <f t="shared" si="4"/>
        <v>98626425106</v>
      </c>
      <c r="C243" s="23" t="s">
        <v>735</v>
      </c>
      <c r="D243" s="28">
        <v>98600000</v>
      </c>
      <c r="E243" s="23" t="s">
        <v>735</v>
      </c>
      <c r="F243" s="28">
        <v>98000000</v>
      </c>
      <c r="G243" s="30" t="s">
        <v>947</v>
      </c>
      <c r="H243" s="28">
        <v>98626000</v>
      </c>
      <c r="I243" s="30" t="s">
        <v>1671</v>
      </c>
      <c r="J243" s="23" t="s">
        <v>1696</v>
      </c>
      <c r="K243" s="23" t="s">
        <v>754</v>
      </c>
      <c r="L243" s="23" t="str">
        <f>VLOOKUP(K243,Матрицы!B:C,2,0)</f>
        <v>село</v>
      </c>
      <c r="M243" s="31" t="s">
        <v>1700</v>
      </c>
      <c r="N243" s="28">
        <v>98626425106</v>
      </c>
      <c r="O243" s="36">
        <v>24</v>
      </c>
      <c r="P243" s="1">
        <v>2</v>
      </c>
      <c r="Q243" s="1" t="s">
        <v>1701</v>
      </c>
      <c r="R243" s="1" t="s">
        <v>1702</v>
      </c>
    </row>
    <row r="244" spans="1:18">
      <c r="A244" s="23">
        <v>243</v>
      </c>
      <c r="B244" s="27">
        <f t="shared" si="4"/>
        <v>98626430101</v>
      </c>
      <c r="C244" s="23" t="s">
        <v>735</v>
      </c>
      <c r="D244" s="28">
        <v>98600000</v>
      </c>
      <c r="E244" s="23" t="s">
        <v>735</v>
      </c>
      <c r="F244" s="28">
        <v>98000000</v>
      </c>
      <c r="G244" s="30" t="s">
        <v>947</v>
      </c>
      <c r="H244" s="28">
        <v>98626000</v>
      </c>
      <c r="I244" s="30" t="s">
        <v>1671</v>
      </c>
      <c r="J244" s="23" t="s">
        <v>1703</v>
      </c>
      <c r="K244" s="23" t="s">
        <v>754</v>
      </c>
      <c r="L244" s="23" t="str">
        <f>VLOOKUP(K244,Матрицы!B:C,2,0)</f>
        <v>село</v>
      </c>
      <c r="M244" s="31" t="s">
        <v>1704</v>
      </c>
      <c r="N244" s="28">
        <v>98626430101</v>
      </c>
      <c r="O244" s="36">
        <v>525</v>
      </c>
      <c r="P244" s="1">
        <v>2</v>
      </c>
      <c r="Q244" s="1" t="s">
        <v>1705</v>
      </c>
      <c r="R244" s="1" t="s">
        <v>1706</v>
      </c>
    </row>
    <row r="245" spans="1:18">
      <c r="A245" s="23">
        <v>244</v>
      </c>
      <c r="B245" s="27">
        <f t="shared" si="4"/>
        <v>98626435101</v>
      </c>
      <c r="C245" s="23" t="s">
        <v>735</v>
      </c>
      <c r="D245" s="28">
        <v>98600000</v>
      </c>
      <c r="E245" s="23" t="s">
        <v>735</v>
      </c>
      <c r="F245" s="28">
        <v>98000000</v>
      </c>
      <c r="G245" s="30" t="s">
        <v>947</v>
      </c>
      <c r="H245" s="28">
        <v>98626000</v>
      </c>
      <c r="I245" s="30" t="s">
        <v>1671</v>
      </c>
      <c r="J245" s="23" t="s">
        <v>1707</v>
      </c>
      <c r="K245" s="23" t="s">
        <v>754</v>
      </c>
      <c r="L245" s="23" t="str">
        <f>VLOOKUP(K245,Матрицы!B:C,2,0)</f>
        <v>село</v>
      </c>
      <c r="M245" s="31" t="s">
        <v>1708</v>
      </c>
      <c r="N245" s="28">
        <v>98626435101</v>
      </c>
      <c r="O245" s="36">
        <v>484</v>
      </c>
      <c r="P245" s="1">
        <v>2</v>
      </c>
      <c r="Q245" s="1" t="s">
        <v>1709</v>
      </c>
      <c r="R245" s="1" t="s">
        <v>1710</v>
      </c>
    </row>
    <row r="246" spans="1:18">
      <c r="A246" s="23">
        <v>245</v>
      </c>
      <c r="B246" s="27">
        <f t="shared" si="4"/>
        <v>98626440101</v>
      </c>
      <c r="C246" s="23" t="s">
        <v>735</v>
      </c>
      <c r="D246" s="28">
        <v>98600000</v>
      </c>
      <c r="E246" s="23" t="s">
        <v>735</v>
      </c>
      <c r="F246" s="28">
        <v>98000000</v>
      </c>
      <c r="G246" s="30" t="s">
        <v>947</v>
      </c>
      <c r="H246" s="28">
        <v>98626000</v>
      </c>
      <c r="I246" s="30" t="s">
        <v>1671</v>
      </c>
      <c r="J246" s="23" t="s">
        <v>1711</v>
      </c>
      <c r="K246" s="23" t="s">
        <v>754</v>
      </c>
      <c r="L246" s="23" t="str">
        <f>VLOOKUP(K246,Матрицы!B:C,2,0)</f>
        <v>село</v>
      </c>
      <c r="M246" s="31" t="s">
        <v>1712</v>
      </c>
      <c r="N246" s="28">
        <v>98626440101</v>
      </c>
      <c r="O246" s="36">
        <v>431</v>
      </c>
      <c r="P246" s="1">
        <v>2</v>
      </c>
      <c r="Q246" s="1" t="s">
        <v>1713</v>
      </c>
      <c r="R246" s="1" t="s">
        <v>1714</v>
      </c>
    </row>
    <row r="247" spans="1:18">
      <c r="A247" s="23">
        <v>246</v>
      </c>
      <c r="B247" s="27">
        <f t="shared" si="4"/>
        <v>98626445101</v>
      </c>
      <c r="C247" s="23" t="s">
        <v>735</v>
      </c>
      <c r="D247" s="28">
        <v>98600000</v>
      </c>
      <c r="E247" s="23" t="s">
        <v>735</v>
      </c>
      <c r="F247" s="28">
        <v>98000000</v>
      </c>
      <c r="G247" s="30" t="s">
        <v>947</v>
      </c>
      <c r="H247" s="28">
        <v>98626000</v>
      </c>
      <c r="I247" s="30" t="s">
        <v>1671</v>
      </c>
      <c r="J247" s="23" t="s">
        <v>1013</v>
      </c>
      <c r="K247" s="23" t="s">
        <v>754</v>
      </c>
      <c r="L247" s="23" t="str">
        <f>VLOOKUP(K247,Матрицы!B:C,2,0)</f>
        <v>село</v>
      </c>
      <c r="M247" s="31" t="s">
        <v>1715</v>
      </c>
      <c r="N247" s="28">
        <v>98626445101</v>
      </c>
      <c r="O247" s="36">
        <v>3102</v>
      </c>
      <c r="P247" s="1">
        <v>2</v>
      </c>
      <c r="Q247" s="1" t="s">
        <v>1716</v>
      </c>
      <c r="R247" s="1" t="s">
        <v>1717</v>
      </c>
    </row>
    <row r="248" spans="1:18">
      <c r="A248" s="23">
        <v>247</v>
      </c>
      <c r="B248" s="27">
        <f t="shared" si="4"/>
        <v>98626445106</v>
      </c>
      <c r="C248" s="23" t="s">
        <v>735</v>
      </c>
      <c r="D248" s="28">
        <v>98600000</v>
      </c>
      <c r="E248" s="23" t="s">
        <v>735</v>
      </c>
      <c r="F248" s="28">
        <v>98000000</v>
      </c>
      <c r="G248" s="30" t="s">
        <v>947</v>
      </c>
      <c r="H248" s="28">
        <v>98626000</v>
      </c>
      <c r="I248" s="30" t="s">
        <v>1671</v>
      </c>
      <c r="J248" s="23" t="s">
        <v>1013</v>
      </c>
      <c r="K248" s="23" t="s">
        <v>754</v>
      </c>
      <c r="L248" s="23" t="str">
        <f>VLOOKUP(K248,Матрицы!B:C,2,0)</f>
        <v>село</v>
      </c>
      <c r="M248" s="31" t="s">
        <v>1718</v>
      </c>
      <c r="N248" s="28">
        <v>98626445106</v>
      </c>
      <c r="O248" s="36">
        <v>112</v>
      </c>
      <c r="P248" s="1">
        <v>2</v>
      </c>
      <c r="Q248" s="1" t="s">
        <v>1719</v>
      </c>
      <c r="R248" s="1" t="s">
        <v>1720</v>
      </c>
    </row>
    <row r="249" spans="1:18">
      <c r="A249" s="23">
        <v>248</v>
      </c>
      <c r="B249" s="27">
        <f t="shared" si="4"/>
        <v>98626450101</v>
      </c>
      <c r="C249" s="23" t="s">
        <v>735</v>
      </c>
      <c r="D249" s="28">
        <v>98600000</v>
      </c>
      <c r="E249" s="23" t="s">
        <v>735</v>
      </c>
      <c r="F249" s="28">
        <v>98000000</v>
      </c>
      <c r="G249" s="30" t="s">
        <v>947</v>
      </c>
      <c r="H249" s="28">
        <v>98626000</v>
      </c>
      <c r="I249" s="30" t="s">
        <v>1671</v>
      </c>
      <c r="J249" s="23" t="s">
        <v>1721</v>
      </c>
      <c r="K249" s="23" t="s">
        <v>754</v>
      </c>
      <c r="L249" s="23" t="str">
        <f>VLOOKUP(K249,Матрицы!B:C,2,0)</f>
        <v>село</v>
      </c>
      <c r="M249" s="31" t="s">
        <v>1722</v>
      </c>
      <c r="N249" s="28">
        <v>98626450101</v>
      </c>
      <c r="O249" s="36">
        <v>548</v>
      </c>
      <c r="P249" s="1">
        <v>2</v>
      </c>
      <c r="Q249" s="1" t="s">
        <v>1723</v>
      </c>
      <c r="R249" s="1" t="s">
        <v>1724</v>
      </c>
    </row>
    <row r="250" spans="1:18">
      <c r="A250" s="23">
        <v>249</v>
      </c>
      <c r="B250" s="27">
        <f t="shared" si="4"/>
        <v>98626452101</v>
      </c>
      <c r="C250" s="23" t="s">
        <v>735</v>
      </c>
      <c r="D250" s="28">
        <v>98600000</v>
      </c>
      <c r="E250" s="23" t="s">
        <v>735</v>
      </c>
      <c r="F250" s="28">
        <v>98000000</v>
      </c>
      <c r="G250" s="30" t="s">
        <v>947</v>
      </c>
      <c r="H250" s="28">
        <v>98626000</v>
      </c>
      <c r="I250" s="30" t="s">
        <v>1671</v>
      </c>
      <c r="J250" s="23" t="s">
        <v>1725</v>
      </c>
      <c r="K250" s="23" t="s">
        <v>754</v>
      </c>
      <c r="L250" s="23" t="str">
        <f>VLOOKUP(K250,Матрицы!B:C,2,0)</f>
        <v>село</v>
      </c>
      <c r="M250" s="31" t="s">
        <v>1726</v>
      </c>
      <c r="N250" s="28">
        <v>98626452101</v>
      </c>
      <c r="O250" s="36">
        <v>520</v>
      </c>
      <c r="P250" s="1">
        <v>2</v>
      </c>
      <c r="Q250" s="1" t="s">
        <v>1727</v>
      </c>
      <c r="R250" s="1" t="s">
        <v>1728</v>
      </c>
    </row>
    <row r="251" spans="1:18">
      <c r="A251" s="23">
        <v>250</v>
      </c>
      <c r="B251" s="27">
        <f t="shared" si="4"/>
        <v>98626455101</v>
      </c>
      <c r="C251" s="23" t="s">
        <v>735</v>
      </c>
      <c r="D251" s="28">
        <v>98600000</v>
      </c>
      <c r="E251" s="23" t="s">
        <v>735</v>
      </c>
      <c r="F251" s="28">
        <v>98000000</v>
      </c>
      <c r="G251" s="30" t="s">
        <v>947</v>
      </c>
      <c r="H251" s="28">
        <v>98626000</v>
      </c>
      <c r="I251" s="30" t="s">
        <v>1671</v>
      </c>
      <c r="J251" s="23" t="s">
        <v>1729</v>
      </c>
      <c r="K251" s="23" t="s">
        <v>754</v>
      </c>
      <c r="L251" s="23" t="str">
        <f>VLOOKUP(K251,Матрицы!B:C,2,0)</f>
        <v>село</v>
      </c>
      <c r="M251" s="31" t="s">
        <v>1730</v>
      </c>
      <c r="N251" s="28">
        <v>98626455101</v>
      </c>
      <c r="O251" s="36">
        <v>635</v>
      </c>
      <c r="P251" s="1">
        <v>2</v>
      </c>
      <c r="Q251" s="1" t="s">
        <v>1731</v>
      </c>
      <c r="R251" s="1" t="s">
        <v>1732</v>
      </c>
    </row>
    <row r="252" spans="1:18">
      <c r="A252" s="23">
        <v>251</v>
      </c>
      <c r="B252" s="27">
        <f t="shared" si="4"/>
        <v>98626455106</v>
      </c>
      <c r="C252" s="23" t="s">
        <v>735</v>
      </c>
      <c r="D252" s="28">
        <v>98600000</v>
      </c>
      <c r="E252" s="23" t="s">
        <v>735</v>
      </c>
      <c r="F252" s="28">
        <v>98000000</v>
      </c>
      <c r="G252" s="30" t="s">
        <v>947</v>
      </c>
      <c r="H252" s="28">
        <v>98626000</v>
      </c>
      <c r="I252" s="30" t="s">
        <v>1671</v>
      </c>
      <c r="J252" s="23" t="s">
        <v>1729</v>
      </c>
      <c r="K252" s="23" t="s">
        <v>754</v>
      </c>
      <c r="L252" s="23" t="str">
        <f>VLOOKUP(K252,Матрицы!B:C,2,0)</f>
        <v>село</v>
      </c>
      <c r="M252" s="31" t="s">
        <v>1733</v>
      </c>
      <c r="N252" s="28">
        <v>98626455106</v>
      </c>
      <c r="O252" s="36">
        <v>222</v>
      </c>
      <c r="P252" s="1">
        <v>2</v>
      </c>
      <c r="Q252" s="1" t="s">
        <v>1734</v>
      </c>
      <c r="R252" s="1" t="s">
        <v>1735</v>
      </c>
    </row>
    <row r="253" spans="1:18">
      <c r="A253" s="23">
        <v>252</v>
      </c>
      <c r="B253" s="27">
        <f t="shared" si="4"/>
        <v>98626460101</v>
      </c>
      <c r="C253" s="23" t="s">
        <v>735</v>
      </c>
      <c r="D253" s="28">
        <v>98600000</v>
      </c>
      <c r="E253" s="23" t="s">
        <v>735</v>
      </c>
      <c r="F253" s="28">
        <v>98000000</v>
      </c>
      <c r="G253" s="30" t="s">
        <v>947</v>
      </c>
      <c r="H253" s="28">
        <v>98626000</v>
      </c>
      <c r="I253" s="30" t="s">
        <v>1671</v>
      </c>
      <c r="J253" s="23" t="s">
        <v>1736</v>
      </c>
      <c r="K253" s="23" t="s">
        <v>754</v>
      </c>
      <c r="L253" s="23" t="str">
        <f>VLOOKUP(K253,Матрицы!B:C,2,0)</f>
        <v>село</v>
      </c>
      <c r="M253" s="31" t="s">
        <v>1737</v>
      </c>
      <c r="N253" s="28">
        <v>98626460101</v>
      </c>
      <c r="O253" s="36">
        <v>933</v>
      </c>
      <c r="P253" s="1">
        <v>2</v>
      </c>
      <c r="Q253" s="1" t="s">
        <v>1738</v>
      </c>
      <c r="R253" s="1" t="s">
        <v>1739</v>
      </c>
    </row>
    <row r="254" spans="1:18">
      <c r="A254" s="23">
        <v>253</v>
      </c>
      <c r="B254" s="27">
        <f t="shared" si="4"/>
        <v>98626465101</v>
      </c>
      <c r="C254" s="23" t="s">
        <v>735</v>
      </c>
      <c r="D254" s="28">
        <v>98600000</v>
      </c>
      <c r="E254" s="23" t="s">
        <v>735</v>
      </c>
      <c r="F254" s="28">
        <v>98000000</v>
      </c>
      <c r="G254" s="30" t="s">
        <v>947</v>
      </c>
      <c r="H254" s="28">
        <v>98626000</v>
      </c>
      <c r="I254" s="30" t="s">
        <v>1671</v>
      </c>
      <c r="J254" s="23" t="s">
        <v>1740</v>
      </c>
      <c r="K254" s="23" t="s">
        <v>754</v>
      </c>
      <c r="L254" s="23" t="str">
        <f>VLOOKUP(K254,Матрицы!B:C,2,0)</f>
        <v>село</v>
      </c>
      <c r="M254" s="31" t="s">
        <v>1251</v>
      </c>
      <c r="N254" s="28">
        <v>98626465101</v>
      </c>
      <c r="O254" s="36">
        <v>780</v>
      </c>
      <c r="P254" s="1">
        <v>2</v>
      </c>
      <c r="Q254" s="1" t="s">
        <v>1741</v>
      </c>
      <c r="R254" s="1" t="s">
        <v>1742</v>
      </c>
    </row>
    <row r="255" spans="1:18">
      <c r="A255" s="23">
        <v>254</v>
      </c>
      <c r="B255" s="27">
        <f t="shared" si="4"/>
        <v>98626470101</v>
      </c>
      <c r="C255" s="23" t="s">
        <v>735</v>
      </c>
      <c r="D255" s="28">
        <v>98600000</v>
      </c>
      <c r="E255" s="23" t="s">
        <v>735</v>
      </c>
      <c r="F255" s="28">
        <v>98000000</v>
      </c>
      <c r="G255" s="30" t="s">
        <v>947</v>
      </c>
      <c r="H255" s="28">
        <v>98626000</v>
      </c>
      <c r="I255" s="30" t="s">
        <v>1671</v>
      </c>
      <c r="J255" s="23" t="s">
        <v>1743</v>
      </c>
      <c r="K255" s="23" t="s">
        <v>754</v>
      </c>
      <c r="L255" s="23" t="str">
        <f>VLOOKUP(K255,Матрицы!B:C,2,0)</f>
        <v>село</v>
      </c>
      <c r="M255" s="31" t="s">
        <v>1744</v>
      </c>
      <c r="N255" s="28">
        <v>98626470101</v>
      </c>
      <c r="O255" s="36">
        <v>778</v>
      </c>
      <c r="P255" s="1">
        <v>2</v>
      </c>
      <c r="Q255" s="1" t="s">
        <v>1745</v>
      </c>
      <c r="R255" s="1" t="s">
        <v>1746</v>
      </c>
    </row>
    <row r="256" spans="1:18">
      <c r="A256" s="23">
        <v>255</v>
      </c>
      <c r="B256" s="27">
        <f t="shared" si="4"/>
        <v>98626470106</v>
      </c>
      <c r="C256" s="23" t="s">
        <v>735</v>
      </c>
      <c r="D256" s="28">
        <v>98600000</v>
      </c>
      <c r="E256" s="23" t="s">
        <v>735</v>
      </c>
      <c r="F256" s="28">
        <v>98000000</v>
      </c>
      <c r="G256" s="30" t="s">
        <v>947</v>
      </c>
      <c r="H256" s="28">
        <v>98626000</v>
      </c>
      <c r="I256" s="30" t="s">
        <v>1671</v>
      </c>
      <c r="J256" s="23" t="s">
        <v>1743</v>
      </c>
      <c r="K256" s="23" t="s">
        <v>754</v>
      </c>
      <c r="L256" s="23" t="str">
        <f>VLOOKUP(K256,Матрицы!B:C,2,0)</f>
        <v>село</v>
      </c>
      <c r="M256" s="31" t="s">
        <v>1747</v>
      </c>
      <c r="N256" s="28">
        <v>98626470106</v>
      </c>
      <c r="O256" s="36">
        <v>5</v>
      </c>
      <c r="P256" s="1">
        <v>2</v>
      </c>
      <c r="Q256" s="1" t="s">
        <v>1748</v>
      </c>
      <c r="R256" s="1" t="s">
        <v>1749</v>
      </c>
    </row>
    <row r="257" spans="1:18">
      <c r="A257" s="23">
        <v>256</v>
      </c>
      <c r="B257" s="27">
        <f t="shared" si="4"/>
        <v>98626475101</v>
      </c>
      <c r="C257" s="23" t="s">
        <v>735</v>
      </c>
      <c r="D257" s="28">
        <v>98600000</v>
      </c>
      <c r="E257" s="23" t="s">
        <v>735</v>
      </c>
      <c r="F257" s="28">
        <v>98000000</v>
      </c>
      <c r="G257" s="30" t="s">
        <v>947</v>
      </c>
      <c r="H257" s="28">
        <v>98626000</v>
      </c>
      <c r="I257" s="30" t="s">
        <v>1671</v>
      </c>
      <c r="J257" s="23" t="s">
        <v>1750</v>
      </c>
      <c r="K257" s="23" t="s">
        <v>754</v>
      </c>
      <c r="L257" s="23" t="str">
        <f>VLOOKUP(K257,Матрицы!B:C,2,0)</f>
        <v>село</v>
      </c>
      <c r="M257" s="31" t="s">
        <v>1751</v>
      </c>
      <c r="N257" s="28">
        <v>98626475101</v>
      </c>
      <c r="O257" s="36">
        <v>614</v>
      </c>
      <c r="P257" s="1">
        <v>2</v>
      </c>
      <c r="Q257" s="1" t="s">
        <v>1752</v>
      </c>
      <c r="R257" s="1" t="s">
        <v>1753</v>
      </c>
    </row>
    <row r="258" spans="1:18">
      <c r="A258" s="23">
        <v>257</v>
      </c>
      <c r="B258" s="27">
        <f t="shared" si="4"/>
        <v>98627101001</v>
      </c>
      <c r="C258" s="23" t="s">
        <v>735</v>
      </c>
      <c r="D258" s="28">
        <v>98600000</v>
      </c>
      <c r="E258" s="23" t="s">
        <v>735</v>
      </c>
      <c r="F258" s="28">
        <v>98000000</v>
      </c>
      <c r="G258" s="30" t="s">
        <v>917</v>
      </c>
      <c r="H258" s="28">
        <v>98627000</v>
      </c>
      <c r="I258" s="30" t="s">
        <v>1754</v>
      </c>
      <c r="J258" s="23" t="s">
        <v>1755</v>
      </c>
      <c r="K258" s="23" t="s">
        <v>740</v>
      </c>
      <c r="L258" s="23" t="str">
        <f>VLOOKUP(K258,Матрицы!B:C,2,0)</f>
        <v>город</v>
      </c>
      <c r="M258" s="31" t="s">
        <v>36</v>
      </c>
      <c r="N258" s="28">
        <v>98627101001</v>
      </c>
      <c r="O258" s="36">
        <v>21181</v>
      </c>
      <c r="P258" s="1">
        <v>1</v>
      </c>
      <c r="Q258" s="1" t="s">
        <v>1756</v>
      </c>
      <c r="R258" s="1" t="s">
        <v>1757</v>
      </c>
    </row>
    <row r="259" spans="1:18">
      <c r="A259" s="23">
        <v>258</v>
      </c>
      <c r="B259" s="27">
        <f t="shared" ref="B259:B322" si="5">N259</f>
        <v>98627153051</v>
      </c>
      <c r="C259" s="23" t="s">
        <v>735</v>
      </c>
      <c r="D259" s="28">
        <v>98600000</v>
      </c>
      <c r="E259" s="23" t="s">
        <v>735</v>
      </c>
      <c r="F259" s="28">
        <v>98000000</v>
      </c>
      <c r="G259" s="30" t="s">
        <v>917</v>
      </c>
      <c r="H259" s="28">
        <v>98627000</v>
      </c>
      <c r="I259" s="30" t="s">
        <v>1754</v>
      </c>
      <c r="J259" s="23" t="s">
        <v>1758</v>
      </c>
      <c r="K259" s="23" t="s">
        <v>819</v>
      </c>
      <c r="L259" s="23" t="str">
        <f>VLOOKUP(K259,Матрицы!B:C,2,0)</f>
        <v>поселок</v>
      </c>
      <c r="M259" s="31" t="s">
        <v>24</v>
      </c>
      <c r="N259" s="28">
        <v>98627153051</v>
      </c>
      <c r="O259" s="36">
        <v>3379</v>
      </c>
      <c r="P259" s="1">
        <v>1</v>
      </c>
      <c r="Q259" s="1" t="s">
        <v>1759</v>
      </c>
      <c r="R259" s="1" t="s">
        <v>1760</v>
      </c>
    </row>
    <row r="260" spans="1:18">
      <c r="A260" s="23">
        <v>259</v>
      </c>
      <c r="B260" s="27">
        <f t="shared" si="5"/>
        <v>98627157051</v>
      </c>
      <c r="C260" s="23" t="s">
        <v>735</v>
      </c>
      <c r="D260" s="28">
        <v>98600000</v>
      </c>
      <c r="E260" s="23" t="s">
        <v>735</v>
      </c>
      <c r="F260" s="28">
        <v>98000000</v>
      </c>
      <c r="G260" s="30" t="s">
        <v>917</v>
      </c>
      <c r="H260" s="28">
        <v>98627000</v>
      </c>
      <c r="I260" s="30" t="s">
        <v>1754</v>
      </c>
      <c r="J260" s="23" t="s">
        <v>1761</v>
      </c>
      <c r="K260" s="23" t="s">
        <v>819</v>
      </c>
      <c r="L260" s="23" t="str">
        <f>VLOOKUP(K260,Матрицы!B:C,2,0)</f>
        <v>поселок</v>
      </c>
      <c r="M260" s="31" t="s">
        <v>27</v>
      </c>
      <c r="N260" s="28">
        <v>98627157051</v>
      </c>
      <c r="O260" s="36">
        <v>3578</v>
      </c>
      <c r="P260" s="1">
        <v>1</v>
      </c>
      <c r="Q260" s="1" t="s">
        <v>1762</v>
      </c>
      <c r="R260" s="1" t="s">
        <v>1763</v>
      </c>
    </row>
    <row r="261" spans="1:18">
      <c r="A261" s="23">
        <v>260</v>
      </c>
      <c r="B261" s="27">
        <f t="shared" si="5"/>
        <v>98627157106</v>
      </c>
      <c r="C261" s="23" t="s">
        <v>735</v>
      </c>
      <c r="D261" s="28">
        <v>98600000</v>
      </c>
      <c r="E261" s="23" t="s">
        <v>735</v>
      </c>
      <c r="F261" s="28">
        <v>98000000</v>
      </c>
      <c r="G261" s="30" t="s">
        <v>917</v>
      </c>
      <c r="H261" s="28">
        <v>98627000</v>
      </c>
      <c r="I261" s="30" t="s">
        <v>1754</v>
      </c>
      <c r="J261" s="23" t="s">
        <v>1761</v>
      </c>
      <c r="K261" s="23" t="s">
        <v>754</v>
      </c>
      <c r="L261" s="23" t="str">
        <f>VLOOKUP(K261,Матрицы!B:C,2,0)</f>
        <v>село</v>
      </c>
      <c r="M261" s="31" t="s">
        <v>1764</v>
      </c>
      <c r="N261" s="28">
        <v>98627157106</v>
      </c>
      <c r="O261" s="32">
        <v>0</v>
      </c>
      <c r="P261" s="1">
        <v>2</v>
      </c>
      <c r="Q261" s="1" t="s">
        <v>1765</v>
      </c>
      <c r="R261" s="1" t="s">
        <v>1766</v>
      </c>
    </row>
    <row r="262" spans="1:18">
      <c r="A262" s="23">
        <v>261</v>
      </c>
      <c r="B262" s="27">
        <f t="shared" si="5"/>
        <v>98627405101</v>
      </c>
      <c r="C262" s="23" t="s">
        <v>735</v>
      </c>
      <c r="D262" s="28">
        <v>98600000</v>
      </c>
      <c r="E262" s="23" t="s">
        <v>735</v>
      </c>
      <c r="F262" s="28">
        <v>98000000</v>
      </c>
      <c r="G262" s="30" t="s">
        <v>917</v>
      </c>
      <c r="H262" s="28">
        <v>98627000</v>
      </c>
      <c r="I262" s="30" t="s">
        <v>1767</v>
      </c>
      <c r="J262" s="23" t="s">
        <v>1768</v>
      </c>
      <c r="K262" s="23" t="s">
        <v>754</v>
      </c>
      <c r="L262" s="23" t="str">
        <f>VLOOKUP(K262,Матрицы!B:C,2,0)</f>
        <v>село</v>
      </c>
      <c r="M262" s="31" t="s">
        <v>1769</v>
      </c>
      <c r="N262" s="28">
        <v>98627405101</v>
      </c>
      <c r="O262" s="36">
        <v>737</v>
      </c>
      <c r="P262" s="1">
        <v>2</v>
      </c>
      <c r="Q262" s="1" t="s">
        <v>1770</v>
      </c>
      <c r="R262" s="1" t="s">
        <v>1771</v>
      </c>
    </row>
    <row r="263" spans="1:18">
      <c r="A263" s="23">
        <v>262</v>
      </c>
      <c r="B263" s="27">
        <f t="shared" si="5"/>
        <v>98627420101</v>
      </c>
      <c r="C263" s="23" t="s">
        <v>735</v>
      </c>
      <c r="D263" s="28">
        <v>98600000</v>
      </c>
      <c r="E263" s="23" t="s">
        <v>735</v>
      </c>
      <c r="F263" s="28">
        <v>98000000</v>
      </c>
      <c r="G263" s="30" t="s">
        <v>917</v>
      </c>
      <c r="H263" s="28">
        <v>98627000</v>
      </c>
      <c r="I263" s="30" t="s">
        <v>1767</v>
      </c>
      <c r="J263" s="23" t="s">
        <v>1772</v>
      </c>
      <c r="K263" s="23" t="s">
        <v>754</v>
      </c>
      <c r="L263" s="23" t="str">
        <f>VLOOKUP(K263,Матрицы!B:C,2,0)</f>
        <v>село</v>
      </c>
      <c r="M263" s="31" t="s">
        <v>1773</v>
      </c>
      <c r="N263" s="28">
        <v>98627420101</v>
      </c>
      <c r="O263" s="36">
        <v>170</v>
      </c>
      <c r="P263" s="1">
        <v>2</v>
      </c>
      <c r="Q263" s="1" t="s">
        <v>1774</v>
      </c>
      <c r="R263" s="1" t="s">
        <v>1775</v>
      </c>
    </row>
    <row r="264" spans="1:18">
      <c r="A264" s="23">
        <v>263</v>
      </c>
      <c r="B264" s="27">
        <f t="shared" si="5"/>
        <v>98627420106</v>
      </c>
      <c r="C264" s="23" t="s">
        <v>735</v>
      </c>
      <c r="D264" s="28">
        <v>98600000</v>
      </c>
      <c r="E264" s="23" t="s">
        <v>735</v>
      </c>
      <c r="F264" s="28">
        <v>98000000</v>
      </c>
      <c r="G264" s="30" t="s">
        <v>917</v>
      </c>
      <c r="H264" s="28">
        <v>98627000</v>
      </c>
      <c r="I264" s="30" t="s">
        <v>1767</v>
      </c>
      <c r="J264" s="23" t="s">
        <v>1772</v>
      </c>
      <c r="K264" s="23" t="s">
        <v>754</v>
      </c>
      <c r="L264" s="23" t="str">
        <f>VLOOKUP(K264,Матрицы!B:C,2,0)</f>
        <v>село</v>
      </c>
      <c r="M264" s="31" t="s">
        <v>1776</v>
      </c>
      <c r="N264" s="28">
        <v>98627420106</v>
      </c>
      <c r="O264" s="36">
        <v>125</v>
      </c>
      <c r="P264" s="1">
        <v>2</v>
      </c>
      <c r="Q264" s="1" t="s">
        <v>1777</v>
      </c>
      <c r="R264" s="1" t="s">
        <v>1778</v>
      </c>
    </row>
    <row r="265" spans="1:18">
      <c r="A265" s="23">
        <v>264</v>
      </c>
      <c r="B265" s="27">
        <f t="shared" si="5"/>
        <v>98627428101</v>
      </c>
      <c r="C265" s="23" t="s">
        <v>735</v>
      </c>
      <c r="D265" s="28">
        <v>98600000</v>
      </c>
      <c r="E265" s="23" t="s">
        <v>735</v>
      </c>
      <c r="F265" s="28">
        <v>98000000</v>
      </c>
      <c r="G265" s="30" t="s">
        <v>917</v>
      </c>
      <c r="H265" s="28">
        <v>98627000</v>
      </c>
      <c r="I265" s="30" t="s">
        <v>1767</v>
      </c>
      <c r="J265" s="23" t="s">
        <v>1779</v>
      </c>
      <c r="K265" s="23" t="s">
        <v>754</v>
      </c>
      <c r="L265" s="23" t="str">
        <f>VLOOKUP(K265,Матрицы!B:C,2,0)</f>
        <v>село</v>
      </c>
      <c r="M265" s="31" t="s">
        <v>1780</v>
      </c>
      <c r="N265" s="28">
        <v>98627428101</v>
      </c>
      <c r="O265" s="36">
        <v>405</v>
      </c>
      <c r="P265" s="1">
        <v>2</v>
      </c>
      <c r="Q265" s="1" t="s">
        <v>1781</v>
      </c>
      <c r="R265" s="1" t="s">
        <v>1782</v>
      </c>
    </row>
    <row r="266" spans="1:18">
      <c r="A266" s="23">
        <v>265</v>
      </c>
      <c r="B266" s="27">
        <f t="shared" si="5"/>
        <v>98627430101</v>
      </c>
      <c r="C266" s="23" t="s">
        <v>735</v>
      </c>
      <c r="D266" s="28">
        <v>98600000</v>
      </c>
      <c r="E266" s="23" t="s">
        <v>735</v>
      </c>
      <c r="F266" s="28">
        <v>98000000</v>
      </c>
      <c r="G266" s="30" t="s">
        <v>917</v>
      </c>
      <c r="H266" s="28">
        <v>98627000</v>
      </c>
      <c r="I266" s="30" t="s">
        <v>1767</v>
      </c>
      <c r="J266" s="23" t="s">
        <v>1783</v>
      </c>
      <c r="K266" s="23" t="s">
        <v>754</v>
      </c>
      <c r="L266" s="23" t="str">
        <f>VLOOKUP(K266,Матрицы!B:C,2,0)</f>
        <v>село</v>
      </c>
      <c r="M266" s="31" t="s">
        <v>45</v>
      </c>
      <c r="N266" s="28">
        <v>98627430101</v>
      </c>
      <c r="O266" s="36">
        <v>1021</v>
      </c>
      <c r="P266" s="1">
        <v>2</v>
      </c>
      <c r="Q266" s="1" t="s">
        <v>1784</v>
      </c>
      <c r="R266" s="1" t="s">
        <v>1785</v>
      </c>
    </row>
    <row r="267" spans="1:18">
      <c r="A267" s="23">
        <v>266</v>
      </c>
      <c r="B267" s="27">
        <f t="shared" si="5"/>
        <v>98627430106</v>
      </c>
      <c r="C267" s="23" t="s">
        <v>735</v>
      </c>
      <c r="D267" s="28">
        <v>98600000</v>
      </c>
      <c r="E267" s="23" t="s">
        <v>735</v>
      </c>
      <c r="F267" s="28">
        <v>98000000</v>
      </c>
      <c r="G267" s="30" t="s">
        <v>917</v>
      </c>
      <c r="H267" s="28">
        <v>98627000</v>
      </c>
      <c r="I267" s="30" t="s">
        <v>1767</v>
      </c>
      <c r="J267" s="23" t="s">
        <v>1783</v>
      </c>
      <c r="K267" s="23" t="s">
        <v>754</v>
      </c>
      <c r="L267" s="23" t="str">
        <f>VLOOKUP(K267,Матрицы!B:C,2,0)</f>
        <v>село</v>
      </c>
      <c r="M267" s="31" t="s">
        <v>1786</v>
      </c>
      <c r="N267" s="28">
        <v>98627430106</v>
      </c>
      <c r="O267" s="36">
        <v>156</v>
      </c>
      <c r="P267" s="1">
        <v>2</v>
      </c>
      <c r="Q267" s="1" t="s">
        <v>1787</v>
      </c>
      <c r="R267" s="1" t="s">
        <v>1788</v>
      </c>
    </row>
    <row r="268" spans="1:18">
      <c r="A268" s="23">
        <v>267</v>
      </c>
      <c r="B268" s="27">
        <f t="shared" si="5"/>
        <v>98627433101</v>
      </c>
      <c r="C268" s="23" t="s">
        <v>735</v>
      </c>
      <c r="D268" s="28">
        <v>98600000</v>
      </c>
      <c r="E268" s="23" t="s">
        <v>735</v>
      </c>
      <c r="F268" s="28">
        <v>98000000</v>
      </c>
      <c r="G268" s="30" t="s">
        <v>917</v>
      </c>
      <c r="H268" s="28">
        <v>98627000</v>
      </c>
      <c r="I268" s="30" t="s">
        <v>1767</v>
      </c>
      <c r="J268" s="23" t="s">
        <v>1789</v>
      </c>
      <c r="K268" s="23" t="s">
        <v>754</v>
      </c>
      <c r="L268" s="23" t="str">
        <f>VLOOKUP(K268,Матрицы!B:C,2,0)</f>
        <v>село</v>
      </c>
      <c r="M268" s="31" t="s">
        <v>1790</v>
      </c>
      <c r="N268" s="28">
        <v>98627433101</v>
      </c>
      <c r="O268" s="36">
        <v>248</v>
      </c>
      <c r="P268" s="1">
        <v>2</v>
      </c>
      <c r="Q268" s="1" t="s">
        <v>1791</v>
      </c>
      <c r="R268" s="1" t="s">
        <v>1792</v>
      </c>
    </row>
    <row r="269" spans="1:18">
      <c r="A269" s="23">
        <v>268</v>
      </c>
      <c r="B269" s="27">
        <f t="shared" si="5"/>
        <v>98627433106</v>
      </c>
      <c r="C269" s="23" t="s">
        <v>735</v>
      </c>
      <c r="D269" s="28">
        <v>98600000</v>
      </c>
      <c r="E269" s="23" t="s">
        <v>735</v>
      </c>
      <c r="F269" s="28">
        <v>98000000</v>
      </c>
      <c r="G269" s="30" t="s">
        <v>917</v>
      </c>
      <c r="H269" s="28">
        <v>98627000</v>
      </c>
      <c r="I269" s="30" t="s">
        <v>1767</v>
      </c>
      <c r="J269" s="23" t="s">
        <v>1789</v>
      </c>
      <c r="K269" s="23" t="s">
        <v>754</v>
      </c>
      <c r="L269" s="23" t="str">
        <f>VLOOKUP(K269,Матрицы!B:C,2,0)</f>
        <v>село</v>
      </c>
      <c r="M269" s="31" t="s">
        <v>1793</v>
      </c>
      <c r="N269" s="28">
        <v>98627433106</v>
      </c>
      <c r="O269" s="36">
        <v>265</v>
      </c>
      <c r="P269" s="1">
        <v>2</v>
      </c>
      <c r="Q269" s="1" t="s">
        <v>1794</v>
      </c>
      <c r="R269" s="1" t="s">
        <v>1795</v>
      </c>
    </row>
    <row r="270" spans="1:18">
      <c r="A270" s="23">
        <v>269</v>
      </c>
      <c r="B270" s="27">
        <f t="shared" si="5"/>
        <v>98627436101</v>
      </c>
      <c r="C270" s="23" t="s">
        <v>735</v>
      </c>
      <c r="D270" s="28">
        <v>98600000</v>
      </c>
      <c r="E270" s="23" t="s">
        <v>735</v>
      </c>
      <c r="F270" s="28">
        <v>98000000</v>
      </c>
      <c r="G270" s="30" t="s">
        <v>917</v>
      </c>
      <c r="H270" s="28">
        <v>98627000</v>
      </c>
      <c r="I270" s="30" t="s">
        <v>1767</v>
      </c>
      <c r="J270" s="23" t="s">
        <v>1796</v>
      </c>
      <c r="K270" s="23" t="s">
        <v>754</v>
      </c>
      <c r="L270" s="23" t="str">
        <f>VLOOKUP(K270,Матрицы!B:C,2,0)</f>
        <v>село</v>
      </c>
      <c r="M270" s="31" t="s">
        <v>1797</v>
      </c>
      <c r="N270" s="28">
        <v>98627436101</v>
      </c>
      <c r="O270" s="36">
        <v>198</v>
      </c>
      <c r="P270" s="1">
        <v>2</v>
      </c>
      <c r="Q270" s="1" t="s">
        <v>1798</v>
      </c>
      <c r="R270" s="1" t="s">
        <v>1799</v>
      </c>
    </row>
    <row r="271" spans="1:18">
      <c r="A271" s="23">
        <v>270</v>
      </c>
      <c r="B271" s="27">
        <f t="shared" si="5"/>
        <v>98627436106</v>
      </c>
      <c r="C271" s="23" t="s">
        <v>735</v>
      </c>
      <c r="D271" s="28">
        <v>98600000</v>
      </c>
      <c r="E271" s="23" t="s">
        <v>735</v>
      </c>
      <c r="F271" s="28">
        <v>98000000</v>
      </c>
      <c r="G271" s="30" t="s">
        <v>917</v>
      </c>
      <c r="H271" s="28">
        <v>98627000</v>
      </c>
      <c r="I271" s="30" t="s">
        <v>1767</v>
      </c>
      <c r="J271" s="23" t="s">
        <v>1796</v>
      </c>
      <c r="K271" s="23" t="s">
        <v>754</v>
      </c>
      <c r="L271" s="23" t="str">
        <f>VLOOKUP(K271,Матрицы!B:C,2,0)</f>
        <v>село</v>
      </c>
      <c r="M271" s="31" t="s">
        <v>387</v>
      </c>
      <c r="N271" s="28">
        <v>98627436106</v>
      </c>
      <c r="O271" s="36">
        <v>139</v>
      </c>
      <c r="P271" s="1">
        <v>2</v>
      </c>
      <c r="Q271" s="1" t="s">
        <v>1800</v>
      </c>
      <c r="R271" s="1" t="s">
        <v>1801</v>
      </c>
    </row>
    <row r="272" spans="1:18">
      <c r="A272" s="23">
        <v>271</v>
      </c>
      <c r="B272" s="27">
        <f t="shared" si="5"/>
        <v>98627440101</v>
      </c>
      <c r="C272" s="23" t="s">
        <v>735</v>
      </c>
      <c r="D272" s="28">
        <v>98600000</v>
      </c>
      <c r="E272" s="23" t="s">
        <v>735</v>
      </c>
      <c r="F272" s="28">
        <v>98000000</v>
      </c>
      <c r="G272" s="30" t="s">
        <v>917</v>
      </c>
      <c r="H272" s="28">
        <v>98627000</v>
      </c>
      <c r="I272" s="30" t="s">
        <v>1767</v>
      </c>
      <c r="J272" s="23" t="s">
        <v>1802</v>
      </c>
      <c r="K272" s="23" t="s">
        <v>754</v>
      </c>
      <c r="L272" s="23" t="str">
        <f>VLOOKUP(K272,Матрицы!B:C,2,0)</f>
        <v>село</v>
      </c>
      <c r="M272" s="31" t="s">
        <v>864</v>
      </c>
      <c r="N272" s="28">
        <v>98627440101</v>
      </c>
      <c r="O272" s="36">
        <v>239</v>
      </c>
      <c r="P272" s="1">
        <v>2</v>
      </c>
      <c r="Q272" s="1" t="s">
        <v>1803</v>
      </c>
      <c r="R272" s="1" t="s">
        <v>1804</v>
      </c>
    </row>
    <row r="273" spans="1:18">
      <c r="A273" s="23">
        <v>272</v>
      </c>
      <c r="B273" s="27">
        <f t="shared" si="5"/>
        <v>98627440106</v>
      </c>
      <c r="C273" s="23" t="s">
        <v>735</v>
      </c>
      <c r="D273" s="28">
        <v>98600000</v>
      </c>
      <c r="E273" s="23" t="s">
        <v>735</v>
      </c>
      <c r="F273" s="28">
        <v>98000000</v>
      </c>
      <c r="G273" s="30" t="s">
        <v>917</v>
      </c>
      <c r="H273" s="28">
        <v>98627000</v>
      </c>
      <c r="I273" s="30" t="s">
        <v>1767</v>
      </c>
      <c r="J273" s="23" t="s">
        <v>1802</v>
      </c>
      <c r="K273" s="23" t="s">
        <v>754</v>
      </c>
      <c r="L273" s="23" t="str">
        <f>VLOOKUP(K273,Матрицы!B:C,2,0)</f>
        <v>село</v>
      </c>
      <c r="M273" s="31" t="s">
        <v>1344</v>
      </c>
      <c r="N273" s="28">
        <v>98627440106</v>
      </c>
      <c r="O273" s="32">
        <v>0</v>
      </c>
      <c r="P273" s="1">
        <v>2</v>
      </c>
      <c r="Q273" s="1" t="s">
        <v>1805</v>
      </c>
      <c r="R273" s="1" t="s">
        <v>1806</v>
      </c>
    </row>
    <row r="274" spans="1:18">
      <c r="A274" s="23">
        <v>273</v>
      </c>
      <c r="B274" s="27">
        <f t="shared" si="5"/>
        <v>98627440111</v>
      </c>
      <c r="C274" s="23" t="s">
        <v>735</v>
      </c>
      <c r="D274" s="28">
        <v>98600000</v>
      </c>
      <c r="E274" s="23" t="s">
        <v>735</v>
      </c>
      <c r="F274" s="28">
        <v>98000000</v>
      </c>
      <c r="G274" s="30" t="s">
        <v>917</v>
      </c>
      <c r="H274" s="28">
        <v>98627000</v>
      </c>
      <c r="I274" s="30" t="s">
        <v>1767</v>
      </c>
      <c r="J274" s="23" t="s">
        <v>1802</v>
      </c>
      <c r="K274" s="23" t="s">
        <v>754</v>
      </c>
      <c r="L274" s="23" t="str">
        <f>VLOOKUP(K274,Матрицы!B:C,2,0)</f>
        <v>село</v>
      </c>
      <c r="M274" s="31" t="s">
        <v>228</v>
      </c>
      <c r="N274" s="28">
        <v>98627440111</v>
      </c>
      <c r="O274" s="36">
        <v>118</v>
      </c>
      <c r="P274" s="1">
        <v>2</v>
      </c>
      <c r="Q274" s="1" t="s">
        <v>1807</v>
      </c>
      <c r="R274" s="1" t="s">
        <v>1808</v>
      </c>
    </row>
    <row r="275" spans="1:18">
      <c r="A275" s="23">
        <v>274</v>
      </c>
      <c r="B275" s="27">
        <f t="shared" si="5"/>
        <v>98627449101</v>
      </c>
      <c r="C275" s="23" t="s">
        <v>735</v>
      </c>
      <c r="D275" s="28">
        <v>98600000</v>
      </c>
      <c r="E275" s="23" t="s">
        <v>735</v>
      </c>
      <c r="F275" s="28">
        <v>98000000</v>
      </c>
      <c r="G275" s="30" t="s">
        <v>917</v>
      </c>
      <c r="H275" s="28">
        <v>98627000</v>
      </c>
      <c r="I275" s="30" t="s">
        <v>1767</v>
      </c>
      <c r="J275" s="23" t="s">
        <v>1809</v>
      </c>
      <c r="K275" s="23" t="s">
        <v>754</v>
      </c>
      <c r="L275" s="23" t="str">
        <f>VLOOKUP(K275,Матрицы!B:C,2,0)</f>
        <v>село</v>
      </c>
      <c r="M275" s="31" t="s">
        <v>1810</v>
      </c>
      <c r="N275" s="28">
        <v>98627449101</v>
      </c>
      <c r="O275" s="36">
        <v>219</v>
      </c>
      <c r="P275" s="1">
        <v>2</v>
      </c>
      <c r="Q275" s="1" t="s">
        <v>1811</v>
      </c>
      <c r="R275" s="1" t="s">
        <v>1812</v>
      </c>
    </row>
    <row r="276" spans="1:18">
      <c r="A276" s="23">
        <v>275</v>
      </c>
      <c r="B276" s="27">
        <f t="shared" si="5"/>
        <v>98627449106</v>
      </c>
      <c r="C276" s="23" t="s">
        <v>735</v>
      </c>
      <c r="D276" s="28">
        <v>98600000</v>
      </c>
      <c r="E276" s="23" t="s">
        <v>735</v>
      </c>
      <c r="F276" s="28">
        <v>98000000</v>
      </c>
      <c r="G276" s="30" t="s">
        <v>917</v>
      </c>
      <c r="H276" s="28">
        <v>98627000</v>
      </c>
      <c r="I276" s="30" t="s">
        <v>1767</v>
      </c>
      <c r="J276" s="23" t="s">
        <v>1809</v>
      </c>
      <c r="K276" s="23" t="s">
        <v>754</v>
      </c>
      <c r="L276" s="23" t="str">
        <f>VLOOKUP(K276,Матрицы!B:C,2,0)</f>
        <v>село</v>
      </c>
      <c r="M276" s="31" t="s">
        <v>1813</v>
      </c>
      <c r="N276" s="28">
        <v>98627449106</v>
      </c>
      <c r="O276" s="36">
        <v>93</v>
      </c>
      <c r="P276" s="1">
        <v>2</v>
      </c>
      <c r="Q276" s="1" t="s">
        <v>1814</v>
      </c>
      <c r="R276" s="1" t="s">
        <v>1815</v>
      </c>
    </row>
    <row r="277" spans="1:18" ht="45">
      <c r="A277" s="23">
        <v>276</v>
      </c>
      <c r="B277" s="29">
        <v>0</v>
      </c>
      <c r="C277" s="23" t="s">
        <v>735</v>
      </c>
      <c r="D277" s="28">
        <v>98600000</v>
      </c>
      <c r="E277" s="23" t="s">
        <v>735</v>
      </c>
      <c r="F277" s="28">
        <v>98000000</v>
      </c>
      <c r="G277" s="30" t="s">
        <v>917</v>
      </c>
      <c r="H277" s="28">
        <v>98627000</v>
      </c>
      <c r="I277" s="30" t="s">
        <v>1816</v>
      </c>
      <c r="J277" s="30" t="s">
        <v>1817</v>
      </c>
      <c r="K277" s="29">
        <v>0</v>
      </c>
      <c r="L277" s="29">
        <v>0</v>
      </c>
      <c r="M277" s="29">
        <v>0</v>
      </c>
      <c r="N277" s="29">
        <v>0</v>
      </c>
      <c r="O277" s="39">
        <v>0</v>
      </c>
      <c r="P277" s="1">
        <v>2</v>
      </c>
    </row>
    <row r="278" spans="1:18" ht="21.75" customHeight="1">
      <c r="A278" s="23">
        <v>277</v>
      </c>
      <c r="B278" s="27">
        <f t="shared" si="5"/>
        <v>98629155051</v>
      </c>
      <c r="C278" s="23" t="s">
        <v>735</v>
      </c>
      <c r="D278" s="28">
        <v>98600000</v>
      </c>
      <c r="E278" s="23" t="s">
        <v>735</v>
      </c>
      <c r="F278" s="28">
        <v>98000000</v>
      </c>
      <c r="G278" s="30" t="s">
        <v>921</v>
      </c>
      <c r="H278" s="28">
        <v>98629000</v>
      </c>
      <c r="I278" s="30" t="s">
        <v>1818</v>
      </c>
      <c r="J278" s="23" t="s">
        <v>1819</v>
      </c>
      <c r="K278" s="23" t="s">
        <v>819</v>
      </c>
      <c r="L278" s="23" t="str">
        <f>VLOOKUP(K278,Матрицы!B:C,2,0)</f>
        <v>поселок</v>
      </c>
      <c r="M278" s="31" t="s">
        <v>1820</v>
      </c>
      <c r="N278" s="28">
        <v>98629155051</v>
      </c>
      <c r="O278" s="36">
        <v>5139</v>
      </c>
      <c r="P278" s="1">
        <v>1</v>
      </c>
      <c r="Q278" s="1" t="s">
        <v>1821</v>
      </c>
      <c r="R278" s="1" t="s">
        <v>1822</v>
      </c>
    </row>
    <row r="279" spans="1:18">
      <c r="A279" s="23">
        <v>278</v>
      </c>
      <c r="B279" s="27">
        <f t="shared" si="5"/>
        <v>98629402101</v>
      </c>
      <c r="C279" s="23" t="s">
        <v>735</v>
      </c>
      <c r="D279" s="28">
        <v>98600000</v>
      </c>
      <c r="E279" s="23" t="s">
        <v>735</v>
      </c>
      <c r="F279" s="28">
        <v>98000000</v>
      </c>
      <c r="G279" s="30" t="s">
        <v>921</v>
      </c>
      <c r="H279" s="28">
        <v>98629000</v>
      </c>
      <c r="I279" s="30" t="s">
        <v>1823</v>
      </c>
      <c r="J279" s="23" t="s">
        <v>1075</v>
      </c>
      <c r="K279" s="23" t="s">
        <v>754</v>
      </c>
      <c r="L279" s="23" t="str">
        <f>VLOOKUP(K279,Матрицы!B:C,2,0)</f>
        <v>село</v>
      </c>
      <c r="M279" s="31" t="s">
        <v>1824</v>
      </c>
      <c r="N279" s="28">
        <v>98629402101</v>
      </c>
      <c r="O279" s="36">
        <v>470</v>
      </c>
      <c r="P279" s="1">
        <v>2</v>
      </c>
      <c r="Q279" s="1" t="s">
        <v>1825</v>
      </c>
      <c r="R279" s="1" t="s">
        <v>1826</v>
      </c>
    </row>
    <row r="280" spans="1:18">
      <c r="A280" s="23">
        <v>279</v>
      </c>
      <c r="B280" s="27">
        <f t="shared" si="5"/>
        <v>98629403101</v>
      </c>
      <c r="C280" s="23" t="s">
        <v>735</v>
      </c>
      <c r="D280" s="28">
        <v>98600000</v>
      </c>
      <c r="E280" s="23" t="s">
        <v>735</v>
      </c>
      <c r="F280" s="28">
        <v>98000000</v>
      </c>
      <c r="G280" s="30" t="s">
        <v>921</v>
      </c>
      <c r="H280" s="28">
        <v>98629000</v>
      </c>
      <c r="I280" s="30" t="s">
        <v>1823</v>
      </c>
      <c r="J280" s="23" t="s">
        <v>1827</v>
      </c>
      <c r="K280" s="23" t="s">
        <v>754</v>
      </c>
      <c r="L280" s="23" t="str">
        <f>VLOOKUP(K280,Матрицы!B:C,2,0)</f>
        <v>село</v>
      </c>
      <c r="M280" s="31" t="s">
        <v>1828</v>
      </c>
      <c r="N280" s="28">
        <v>98629403101</v>
      </c>
      <c r="O280" s="36">
        <v>354</v>
      </c>
      <c r="P280" s="1">
        <v>2</v>
      </c>
      <c r="Q280" s="1" t="s">
        <v>1829</v>
      </c>
      <c r="R280" s="1" t="s">
        <v>1830</v>
      </c>
    </row>
    <row r="281" spans="1:18">
      <c r="A281" s="23">
        <v>280</v>
      </c>
      <c r="B281" s="27">
        <f t="shared" si="5"/>
        <v>98629405101</v>
      </c>
      <c r="C281" s="23" t="s">
        <v>735</v>
      </c>
      <c r="D281" s="28">
        <v>98600000</v>
      </c>
      <c r="E281" s="23" t="s">
        <v>735</v>
      </c>
      <c r="F281" s="28">
        <v>98000000</v>
      </c>
      <c r="G281" s="30" t="s">
        <v>921</v>
      </c>
      <c r="H281" s="28">
        <v>98629000</v>
      </c>
      <c r="I281" s="30" t="s">
        <v>1823</v>
      </c>
      <c r="J281" s="23" t="s">
        <v>1831</v>
      </c>
      <c r="K281" s="23" t="s">
        <v>754</v>
      </c>
      <c r="L281" s="23" t="str">
        <f>VLOOKUP(K281,Матрицы!B:C,2,0)</f>
        <v>село</v>
      </c>
      <c r="M281" s="31" t="s">
        <v>1832</v>
      </c>
      <c r="N281" s="28">
        <v>98629405101</v>
      </c>
      <c r="O281" s="36">
        <v>446</v>
      </c>
      <c r="P281" s="1">
        <v>2</v>
      </c>
      <c r="Q281" s="1" t="s">
        <v>1833</v>
      </c>
      <c r="R281" s="1" t="s">
        <v>1834</v>
      </c>
    </row>
    <row r="282" spans="1:18">
      <c r="A282" s="23">
        <v>281</v>
      </c>
      <c r="B282" s="27">
        <f t="shared" si="5"/>
        <v>98629406101</v>
      </c>
      <c r="C282" s="23" t="s">
        <v>735</v>
      </c>
      <c r="D282" s="28">
        <v>98600000</v>
      </c>
      <c r="E282" s="23" t="s">
        <v>735</v>
      </c>
      <c r="F282" s="28">
        <v>98000000</v>
      </c>
      <c r="G282" s="30" t="s">
        <v>921</v>
      </c>
      <c r="H282" s="28">
        <v>98629000</v>
      </c>
      <c r="I282" s="30" t="s">
        <v>1823</v>
      </c>
      <c r="J282" s="23" t="s">
        <v>1835</v>
      </c>
      <c r="K282" s="23" t="s">
        <v>754</v>
      </c>
      <c r="L282" s="23" t="str">
        <f>VLOOKUP(K282,Матрицы!B:C,2,0)</f>
        <v>село</v>
      </c>
      <c r="M282" s="31" t="s">
        <v>1836</v>
      </c>
      <c r="N282" s="28">
        <v>98629406101</v>
      </c>
      <c r="O282" s="36">
        <v>506</v>
      </c>
      <c r="P282" s="1">
        <v>2</v>
      </c>
      <c r="Q282" s="1" t="s">
        <v>1837</v>
      </c>
      <c r="R282" s="1" t="s">
        <v>1838</v>
      </c>
    </row>
    <row r="283" spans="1:18">
      <c r="A283" s="23">
        <v>282</v>
      </c>
      <c r="B283" s="27">
        <f t="shared" si="5"/>
        <v>98629407101</v>
      </c>
      <c r="C283" s="23" t="s">
        <v>735</v>
      </c>
      <c r="D283" s="28">
        <v>98600000</v>
      </c>
      <c r="E283" s="23" t="s">
        <v>735</v>
      </c>
      <c r="F283" s="28">
        <v>98000000</v>
      </c>
      <c r="G283" s="30" t="s">
        <v>921</v>
      </c>
      <c r="H283" s="28">
        <v>98629000</v>
      </c>
      <c r="I283" s="30" t="s">
        <v>1823</v>
      </c>
      <c r="J283" s="23" t="s">
        <v>1839</v>
      </c>
      <c r="K283" s="23" t="s">
        <v>754</v>
      </c>
      <c r="L283" s="23" t="str">
        <f>VLOOKUP(K283,Матрицы!B:C,2,0)</f>
        <v>село</v>
      </c>
      <c r="M283" s="31" t="s">
        <v>293</v>
      </c>
      <c r="N283" s="28">
        <v>98629407101</v>
      </c>
      <c r="O283" s="36">
        <v>460</v>
      </c>
      <c r="P283" s="1">
        <v>2</v>
      </c>
      <c r="Q283" s="1" t="s">
        <v>1840</v>
      </c>
      <c r="R283" s="1" t="s">
        <v>1841</v>
      </c>
    </row>
    <row r="284" spans="1:18">
      <c r="A284" s="23">
        <v>283</v>
      </c>
      <c r="B284" s="27">
        <f t="shared" si="5"/>
        <v>98629408101</v>
      </c>
      <c r="C284" s="23" t="s">
        <v>735</v>
      </c>
      <c r="D284" s="28">
        <v>98600000</v>
      </c>
      <c r="E284" s="23" t="s">
        <v>735</v>
      </c>
      <c r="F284" s="28">
        <v>98000000</v>
      </c>
      <c r="G284" s="30" t="s">
        <v>921</v>
      </c>
      <c r="H284" s="28">
        <v>98629000</v>
      </c>
      <c r="I284" s="30" t="s">
        <v>1823</v>
      </c>
      <c r="J284" s="23" t="s">
        <v>1842</v>
      </c>
      <c r="K284" s="23" t="s">
        <v>754</v>
      </c>
      <c r="L284" s="23" t="str">
        <f>VLOOKUP(K284,Матрицы!B:C,2,0)</f>
        <v>село</v>
      </c>
      <c r="M284" s="31" t="s">
        <v>1843</v>
      </c>
      <c r="N284" s="28">
        <v>98629408101</v>
      </c>
      <c r="O284" s="36">
        <v>639</v>
      </c>
      <c r="P284" s="1">
        <v>2</v>
      </c>
      <c r="Q284" s="1" t="s">
        <v>1844</v>
      </c>
      <c r="R284" s="1" t="s">
        <v>1845</v>
      </c>
    </row>
    <row r="285" spans="1:18">
      <c r="A285" s="23">
        <v>284</v>
      </c>
      <c r="B285" s="27">
        <f t="shared" si="5"/>
        <v>98629409101</v>
      </c>
      <c r="C285" s="23" t="s">
        <v>735</v>
      </c>
      <c r="D285" s="28">
        <v>98600000</v>
      </c>
      <c r="E285" s="23" t="s">
        <v>735</v>
      </c>
      <c r="F285" s="28">
        <v>98000000</v>
      </c>
      <c r="G285" s="30" t="s">
        <v>921</v>
      </c>
      <c r="H285" s="28">
        <v>98629000</v>
      </c>
      <c r="I285" s="30" t="s">
        <v>1823</v>
      </c>
      <c r="J285" s="23" t="s">
        <v>1846</v>
      </c>
      <c r="K285" s="23" t="s">
        <v>754</v>
      </c>
      <c r="L285" s="23" t="str">
        <f>VLOOKUP(K285,Матрицы!B:C,2,0)</f>
        <v>село</v>
      </c>
      <c r="M285" s="31" t="s">
        <v>1219</v>
      </c>
      <c r="N285" s="28">
        <v>98629409101</v>
      </c>
      <c r="O285" s="36">
        <v>662</v>
      </c>
      <c r="P285" s="1">
        <v>2</v>
      </c>
      <c r="Q285" s="1" t="s">
        <v>1847</v>
      </c>
      <c r="R285" s="1" t="s">
        <v>1848</v>
      </c>
    </row>
    <row r="286" spans="1:18">
      <c r="A286" s="23">
        <v>285</v>
      </c>
      <c r="B286" s="27">
        <f t="shared" si="5"/>
        <v>98629410101</v>
      </c>
      <c r="C286" s="23" t="s">
        <v>735</v>
      </c>
      <c r="D286" s="28">
        <v>98600000</v>
      </c>
      <c r="E286" s="23" t="s">
        <v>735</v>
      </c>
      <c r="F286" s="28">
        <v>98000000</v>
      </c>
      <c r="G286" s="30" t="s">
        <v>921</v>
      </c>
      <c r="H286" s="28">
        <v>98629000</v>
      </c>
      <c r="I286" s="30" t="s">
        <v>1823</v>
      </c>
      <c r="J286" s="23" t="s">
        <v>1849</v>
      </c>
      <c r="K286" s="23" t="s">
        <v>754</v>
      </c>
      <c r="L286" s="23" t="str">
        <f>VLOOKUP(K286,Матрицы!B:C,2,0)</f>
        <v>село</v>
      </c>
      <c r="M286" s="31" t="s">
        <v>1850</v>
      </c>
      <c r="N286" s="28">
        <v>98629410101</v>
      </c>
      <c r="O286" s="36">
        <v>1209</v>
      </c>
      <c r="P286" s="1">
        <v>2</v>
      </c>
      <c r="Q286" s="1" t="s">
        <v>1851</v>
      </c>
      <c r="R286" s="1" t="s">
        <v>1852</v>
      </c>
    </row>
    <row r="287" spans="1:18">
      <c r="A287" s="23">
        <v>286</v>
      </c>
      <c r="B287" s="27">
        <f t="shared" si="5"/>
        <v>98629410106</v>
      </c>
      <c r="C287" s="23" t="s">
        <v>735</v>
      </c>
      <c r="D287" s="28">
        <v>98600000</v>
      </c>
      <c r="E287" s="23" t="s">
        <v>735</v>
      </c>
      <c r="F287" s="28">
        <v>98000000</v>
      </c>
      <c r="G287" s="30" t="s">
        <v>921</v>
      </c>
      <c r="H287" s="28">
        <v>98629000</v>
      </c>
      <c r="I287" s="30" t="s">
        <v>1823</v>
      </c>
      <c r="J287" s="23" t="s">
        <v>1849</v>
      </c>
      <c r="K287" s="23" t="s">
        <v>754</v>
      </c>
      <c r="L287" s="23" t="str">
        <f>VLOOKUP(K287,Матрицы!B:C,2,0)</f>
        <v>село</v>
      </c>
      <c r="M287" s="31" t="s">
        <v>1853</v>
      </c>
      <c r="N287" s="28">
        <v>98629410106</v>
      </c>
      <c r="O287" s="36">
        <v>8</v>
      </c>
      <c r="P287" s="1">
        <v>2</v>
      </c>
      <c r="Q287" s="1" t="s">
        <v>1854</v>
      </c>
      <c r="R287" s="1" t="s">
        <v>1855</v>
      </c>
    </row>
    <row r="288" spans="1:18">
      <c r="A288" s="23">
        <v>287</v>
      </c>
      <c r="B288" s="27">
        <f t="shared" si="5"/>
        <v>98629411101</v>
      </c>
      <c r="C288" s="23" t="s">
        <v>735</v>
      </c>
      <c r="D288" s="28">
        <v>98600000</v>
      </c>
      <c r="E288" s="23" t="s">
        <v>735</v>
      </c>
      <c r="F288" s="28">
        <v>98000000</v>
      </c>
      <c r="G288" s="30" t="s">
        <v>921</v>
      </c>
      <c r="H288" s="28">
        <v>98629000</v>
      </c>
      <c r="I288" s="30" t="s">
        <v>1823</v>
      </c>
      <c r="J288" s="23" t="s">
        <v>1856</v>
      </c>
      <c r="K288" s="23" t="s">
        <v>754</v>
      </c>
      <c r="L288" s="23" t="str">
        <f>VLOOKUP(K288,Матрицы!B:C,2,0)</f>
        <v>село</v>
      </c>
      <c r="M288" s="31" t="s">
        <v>873</v>
      </c>
      <c r="N288" s="28">
        <v>98629411101</v>
      </c>
      <c r="O288" s="36">
        <v>593</v>
      </c>
      <c r="P288" s="1">
        <v>2</v>
      </c>
      <c r="Q288" s="1" t="s">
        <v>1857</v>
      </c>
      <c r="R288" s="1" t="s">
        <v>1858</v>
      </c>
    </row>
    <row r="289" spans="1:18">
      <c r="A289" s="23">
        <v>288</v>
      </c>
      <c r="B289" s="27">
        <f t="shared" si="5"/>
        <v>98629413101</v>
      </c>
      <c r="C289" s="23" t="s">
        <v>735</v>
      </c>
      <c r="D289" s="28">
        <v>98600000</v>
      </c>
      <c r="E289" s="23" t="s">
        <v>735</v>
      </c>
      <c r="F289" s="28">
        <v>98000000</v>
      </c>
      <c r="G289" s="30" t="s">
        <v>921</v>
      </c>
      <c r="H289" s="28">
        <v>98629000</v>
      </c>
      <c r="I289" s="30" t="s">
        <v>1823</v>
      </c>
      <c r="J289" s="23" t="s">
        <v>1859</v>
      </c>
      <c r="K289" s="23" t="s">
        <v>754</v>
      </c>
      <c r="L289" s="23" t="str">
        <f>VLOOKUP(K289,Матрицы!B:C,2,0)</f>
        <v>село</v>
      </c>
      <c r="M289" s="31" t="s">
        <v>1860</v>
      </c>
      <c r="N289" s="28">
        <v>98629413101</v>
      </c>
      <c r="O289" s="36">
        <v>120</v>
      </c>
      <c r="P289" s="1">
        <v>2</v>
      </c>
      <c r="Q289" s="1" t="s">
        <v>1861</v>
      </c>
      <c r="R289" s="1" t="s">
        <v>1862</v>
      </c>
    </row>
    <row r="290" spans="1:18">
      <c r="A290" s="23">
        <v>289</v>
      </c>
      <c r="B290" s="27">
        <f t="shared" si="5"/>
        <v>98629413106</v>
      </c>
      <c r="C290" s="23" t="s">
        <v>735</v>
      </c>
      <c r="D290" s="28">
        <v>98600000</v>
      </c>
      <c r="E290" s="23" t="s">
        <v>735</v>
      </c>
      <c r="F290" s="28">
        <v>98000000</v>
      </c>
      <c r="G290" s="30" t="s">
        <v>921</v>
      </c>
      <c r="H290" s="28">
        <v>98629000</v>
      </c>
      <c r="I290" s="30" t="s">
        <v>1823</v>
      </c>
      <c r="J290" s="23" t="s">
        <v>1859</v>
      </c>
      <c r="K290" s="23" t="s">
        <v>754</v>
      </c>
      <c r="L290" s="23" t="str">
        <f>VLOOKUP(K290,Матрицы!B:C,2,0)</f>
        <v>село</v>
      </c>
      <c r="M290" s="31" t="s">
        <v>1863</v>
      </c>
      <c r="N290" s="28">
        <v>98629413106</v>
      </c>
      <c r="O290" s="36">
        <v>6</v>
      </c>
      <c r="P290" s="1">
        <v>2</v>
      </c>
      <c r="Q290" s="1" t="s">
        <v>1864</v>
      </c>
      <c r="R290" s="1" t="s">
        <v>1865</v>
      </c>
    </row>
    <row r="291" spans="1:18">
      <c r="A291" s="23">
        <v>290</v>
      </c>
      <c r="B291" s="27">
        <f t="shared" si="5"/>
        <v>98629415101</v>
      </c>
      <c r="C291" s="23" t="s">
        <v>735</v>
      </c>
      <c r="D291" s="28">
        <v>98600000</v>
      </c>
      <c r="E291" s="23" t="s">
        <v>735</v>
      </c>
      <c r="F291" s="28">
        <v>98000000</v>
      </c>
      <c r="G291" s="30" t="s">
        <v>921</v>
      </c>
      <c r="H291" s="28">
        <v>98629000</v>
      </c>
      <c r="I291" s="30" t="s">
        <v>1823</v>
      </c>
      <c r="J291" s="23" t="s">
        <v>1866</v>
      </c>
      <c r="K291" s="23" t="s">
        <v>754</v>
      </c>
      <c r="L291" s="23" t="str">
        <f>VLOOKUP(K291,Матрицы!B:C,2,0)</f>
        <v>село</v>
      </c>
      <c r="M291" s="31" t="s">
        <v>1867</v>
      </c>
      <c r="N291" s="28">
        <v>98629415101</v>
      </c>
      <c r="O291" s="36">
        <v>7322</v>
      </c>
      <c r="P291" s="1">
        <v>2</v>
      </c>
      <c r="Q291" s="1" t="s">
        <v>1868</v>
      </c>
      <c r="R291" s="1" t="s">
        <v>1869</v>
      </c>
    </row>
    <row r="292" spans="1:18">
      <c r="A292" s="23">
        <v>291</v>
      </c>
      <c r="B292" s="27">
        <f t="shared" si="5"/>
        <v>98629420101</v>
      </c>
      <c r="C292" s="23" t="s">
        <v>735</v>
      </c>
      <c r="D292" s="28">
        <v>98600000</v>
      </c>
      <c r="E292" s="23" t="s">
        <v>735</v>
      </c>
      <c r="F292" s="28">
        <v>98000000</v>
      </c>
      <c r="G292" s="30" t="s">
        <v>921</v>
      </c>
      <c r="H292" s="28">
        <v>98629000</v>
      </c>
      <c r="I292" s="30" t="s">
        <v>1823</v>
      </c>
      <c r="J292" s="23" t="s">
        <v>1870</v>
      </c>
      <c r="K292" s="23" t="s">
        <v>754</v>
      </c>
      <c r="L292" s="23" t="str">
        <f>VLOOKUP(K292,Матрицы!B:C,2,0)</f>
        <v>село</v>
      </c>
      <c r="M292" s="31" t="s">
        <v>1871</v>
      </c>
      <c r="N292" s="28">
        <v>98629420101</v>
      </c>
      <c r="O292" s="36">
        <v>759</v>
      </c>
      <c r="P292" s="1">
        <v>2</v>
      </c>
      <c r="Q292" s="1" t="s">
        <v>1872</v>
      </c>
      <c r="R292" s="1" t="s">
        <v>1873</v>
      </c>
    </row>
    <row r="293" spans="1:18">
      <c r="A293" s="23">
        <v>292</v>
      </c>
      <c r="B293" s="27">
        <f t="shared" si="5"/>
        <v>98629425101</v>
      </c>
      <c r="C293" s="23" t="s">
        <v>735</v>
      </c>
      <c r="D293" s="28">
        <v>98600000</v>
      </c>
      <c r="E293" s="23" t="s">
        <v>735</v>
      </c>
      <c r="F293" s="28">
        <v>98000000</v>
      </c>
      <c r="G293" s="30" t="s">
        <v>921</v>
      </c>
      <c r="H293" s="28">
        <v>98629000</v>
      </c>
      <c r="I293" s="30" t="s">
        <v>1823</v>
      </c>
      <c r="J293" s="23" t="s">
        <v>1874</v>
      </c>
      <c r="K293" s="23" t="s">
        <v>754</v>
      </c>
      <c r="L293" s="23" t="str">
        <f>VLOOKUP(K293,Матрицы!B:C,2,0)</f>
        <v>село</v>
      </c>
      <c r="M293" s="31" t="s">
        <v>1875</v>
      </c>
      <c r="N293" s="28">
        <v>98629425101</v>
      </c>
      <c r="O293" s="36">
        <v>301</v>
      </c>
      <c r="P293" s="1">
        <v>2</v>
      </c>
      <c r="Q293" s="1" t="s">
        <v>1876</v>
      </c>
      <c r="R293" s="1" t="s">
        <v>1877</v>
      </c>
    </row>
    <row r="294" spans="1:18">
      <c r="A294" s="23">
        <v>293</v>
      </c>
      <c r="B294" s="27">
        <f t="shared" si="5"/>
        <v>98629425106</v>
      </c>
      <c r="C294" s="23" t="s">
        <v>735</v>
      </c>
      <c r="D294" s="28">
        <v>98600000</v>
      </c>
      <c r="E294" s="23" t="s">
        <v>735</v>
      </c>
      <c r="F294" s="28">
        <v>98000000</v>
      </c>
      <c r="G294" s="30" t="s">
        <v>921</v>
      </c>
      <c r="H294" s="28">
        <v>98629000</v>
      </c>
      <c r="I294" s="30" t="s">
        <v>1823</v>
      </c>
      <c r="J294" s="23" t="s">
        <v>1874</v>
      </c>
      <c r="K294" s="23" t="s">
        <v>754</v>
      </c>
      <c r="L294" s="23" t="str">
        <f>VLOOKUP(K294,Матрицы!B:C,2,0)</f>
        <v>село</v>
      </c>
      <c r="M294" s="31" t="s">
        <v>1878</v>
      </c>
      <c r="N294" s="28">
        <v>98629425106</v>
      </c>
      <c r="O294" s="32">
        <v>0</v>
      </c>
      <c r="P294" s="1">
        <v>2</v>
      </c>
      <c r="Q294" s="1" t="s">
        <v>1879</v>
      </c>
      <c r="R294" s="1" t="s">
        <v>1880</v>
      </c>
    </row>
    <row r="295" spans="1:18">
      <c r="A295" s="23">
        <v>294</v>
      </c>
      <c r="B295" s="27">
        <f t="shared" si="5"/>
        <v>98629429101</v>
      </c>
      <c r="C295" s="23" t="s">
        <v>735</v>
      </c>
      <c r="D295" s="28">
        <v>98600000</v>
      </c>
      <c r="E295" s="23" t="s">
        <v>735</v>
      </c>
      <c r="F295" s="28">
        <v>98000000</v>
      </c>
      <c r="G295" s="30" t="s">
        <v>921</v>
      </c>
      <c r="H295" s="28">
        <v>98629000</v>
      </c>
      <c r="I295" s="30" t="s">
        <v>1823</v>
      </c>
      <c r="J295" s="23" t="s">
        <v>1881</v>
      </c>
      <c r="K295" s="23" t="s">
        <v>754</v>
      </c>
      <c r="L295" s="23" t="str">
        <f>VLOOKUP(K295,Матрицы!B:C,2,0)</f>
        <v>село</v>
      </c>
      <c r="M295" s="31" t="s">
        <v>304</v>
      </c>
      <c r="N295" s="28">
        <v>98629429101</v>
      </c>
      <c r="O295" s="36">
        <v>482</v>
      </c>
      <c r="P295" s="1">
        <v>2</v>
      </c>
      <c r="Q295" s="11" t="s">
        <v>1882</v>
      </c>
      <c r="R295" s="11" t="s">
        <v>1883</v>
      </c>
    </row>
    <row r="296" spans="1:18">
      <c r="A296" s="23">
        <v>295</v>
      </c>
      <c r="B296" s="27">
        <f t="shared" si="5"/>
        <v>98629430101</v>
      </c>
      <c r="C296" s="23" t="s">
        <v>735</v>
      </c>
      <c r="D296" s="28">
        <v>98600000</v>
      </c>
      <c r="E296" s="23" t="s">
        <v>735</v>
      </c>
      <c r="F296" s="28">
        <v>98000000</v>
      </c>
      <c r="G296" s="30" t="s">
        <v>921</v>
      </c>
      <c r="H296" s="28">
        <v>98629000</v>
      </c>
      <c r="I296" s="30" t="s">
        <v>1823</v>
      </c>
      <c r="J296" s="23" t="s">
        <v>1884</v>
      </c>
      <c r="K296" s="23" t="s">
        <v>754</v>
      </c>
      <c r="L296" s="23" t="str">
        <f>VLOOKUP(K296,Матрицы!B:C,2,0)</f>
        <v>село</v>
      </c>
      <c r="M296" s="31" t="s">
        <v>1885</v>
      </c>
      <c r="N296" s="28">
        <v>98629430101</v>
      </c>
      <c r="O296" s="36">
        <v>825</v>
      </c>
      <c r="P296" s="1">
        <v>2</v>
      </c>
      <c r="Q296" s="1" t="s">
        <v>1886</v>
      </c>
      <c r="R296" s="1" t="s">
        <v>1887</v>
      </c>
    </row>
    <row r="297" spans="1:18">
      <c r="A297" s="23">
        <v>296</v>
      </c>
      <c r="B297" s="27">
        <f t="shared" si="5"/>
        <v>98629430106</v>
      </c>
      <c r="C297" s="23" t="s">
        <v>735</v>
      </c>
      <c r="D297" s="28">
        <v>98600000</v>
      </c>
      <c r="E297" s="23" t="s">
        <v>735</v>
      </c>
      <c r="F297" s="28">
        <v>98000000</v>
      </c>
      <c r="G297" s="30" t="s">
        <v>921</v>
      </c>
      <c r="H297" s="28">
        <v>98629000</v>
      </c>
      <c r="I297" s="30" t="s">
        <v>1823</v>
      </c>
      <c r="J297" s="23" t="s">
        <v>1884</v>
      </c>
      <c r="K297" s="23" t="s">
        <v>754</v>
      </c>
      <c r="L297" s="23" t="str">
        <f>VLOOKUP(K297,Матрицы!B:C,2,0)</f>
        <v>село</v>
      </c>
      <c r="M297" s="31" t="s">
        <v>1888</v>
      </c>
      <c r="N297" s="28">
        <v>98629430106</v>
      </c>
      <c r="O297" s="36">
        <v>10</v>
      </c>
      <c r="P297" s="1">
        <v>2</v>
      </c>
      <c r="Q297" s="1" t="s">
        <v>1889</v>
      </c>
      <c r="R297" s="1" t="s">
        <v>1890</v>
      </c>
    </row>
    <row r="298" spans="1:18">
      <c r="A298" s="23">
        <v>297</v>
      </c>
      <c r="B298" s="27">
        <f t="shared" si="5"/>
        <v>98629436101</v>
      </c>
      <c r="C298" s="23" t="s">
        <v>735</v>
      </c>
      <c r="D298" s="28">
        <v>98600000</v>
      </c>
      <c r="E298" s="23" t="s">
        <v>735</v>
      </c>
      <c r="F298" s="28">
        <v>98000000</v>
      </c>
      <c r="G298" s="30" t="s">
        <v>921</v>
      </c>
      <c r="H298" s="28">
        <v>98629000</v>
      </c>
      <c r="I298" s="30" t="s">
        <v>1823</v>
      </c>
      <c r="J298" s="23" t="s">
        <v>1891</v>
      </c>
      <c r="K298" s="23" t="s">
        <v>754</v>
      </c>
      <c r="L298" s="23" t="str">
        <f>VLOOKUP(K298,Матрицы!B:C,2,0)</f>
        <v>село</v>
      </c>
      <c r="M298" s="31" t="s">
        <v>304</v>
      </c>
      <c r="N298" s="28">
        <v>98629436101</v>
      </c>
      <c r="O298" s="36">
        <v>435</v>
      </c>
      <c r="P298" s="1">
        <v>2</v>
      </c>
      <c r="Q298" s="11" t="s">
        <v>1892</v>
      </c>
      <c r="R298" s="11" t="s">
        <v>1893</v>
      </c>
    </row>
    <row r="299" spans="1:18">
      <c r="A299" s="23">
        <v>298</v>
      </c>
      <c r="B299" s="27">
        <f t="shared" si="5"/>
        <v>98629440101</v>
      </c>
      <c r="C299" s="23" t="s">
        <v>735</v>
      </c>
      <c r="D299" s="28">
        <v>98600000</v>
      </c>
      <c r="E299" s="23" t="s">
        <v>735</v>
      </c>
      <c r="F299" s="28">
        <v>98000000</v>
      </c>
      <c r="G299" s="30" t="s">
        <v>921</v>
      </c>
      <c r="H299" s="28">
        <v>98629000</v>
      </c>
      <c r="I299" s="30" t="s">
        <v>1823</v>
      </c>
      <c r="J299" s="23" t="s">
        <v>1894</v>
      </c>
      <c r="K299" s="23" t="s">
        <v>754</v>
      </c>
      <c r="L299" s="23" t="str">
        <f>VLOOKUP(K299,Матрицы!B:C,2,0)</f>
        <v>село</v>
      </c>
      <c r="M299" s="31" t="s">
        <v>1895</v>
      </c>
      <c r="N299" s="28">
        <v>98629440101</v>
      </c>
      <c r="O299" s="36">
        <v>509</v>
      </c>
      <c r="P299" s="1">
        <v>2</v>
      </c>
      <c r="Q299" s="1" t="s">
        <v>1896</v>
      </c>
      <c r="R299" s="1" t="s">
        <v>1897</v>
      </c>
    </row>
    <row r="300" spans="1:18">
      <c r="A300" s="23">
        <v>299</v>
      </c>
      <c r="B300" s="27">
        <f t="shared" si="5"/>
        <v>98629445101</v>
      </c>
      <c r="C300" s="23" t="s">
        <v>735</v>
      </c>
      <c r="D300" s="28">
        <v>98600000</v>
      </c>
      <c r="E300" s="23" t="s">
        <v>735</v>
      </c>
      <c r="F300" s="28">
        <v>98000000</v>
      </c>
      <c r="G300" s="30" t="s">
        <v>921</v>
      </c>
      <c r="H300" s="28">
        <v>98629000</v>
      </c>
      <c r="I300" s="30" t="s">
        <v>1823</v>
      </c>
      <c r="J300" s="23" t="s">
        <v>1898</v>
      </c>
      <c r="K300" s="23" t="s">
        <v>754</v>
      </c>
      <c r="L300" s="23" t="str">
        <f>VLOOKUP(K300,Матрицы!B:C,2,0)</f>
        <v>село</v>
      </c>
      <c r="M300" s="31" t="s">
        <v>1899</v>
      </c>
      <c r="N300" s="28">
        <v>98629445101</v>
      </c>
      <c r="O300" s="36">
        <v>2359</v>
      </c>
      <c r="P300" s="1">
        <v>2</v>
      </c>
      <c r="Q300" s="1" t="s">
        <v>1900</v>
      </c>
      <c r="R300" s="1" t="s">
        <v>1901</v>
      </c>
    </row>
    <row r="301" spans="1:18">
      <c r="A301" s="23">
        <v>300</v>
      </c>
      <c r="B301" s="27">
        <f t="shared" si="5"/>
        <v>98629445106</v>
      </c>
      <c r="C301" s="23" t="s">
        <v>735</v>
      </c>
      <c r="D301" s="28">
        <v>98600000</v>
      </c>
      <c r="E301" s="23" t="s">
        <v>735</v>
      </c>
      <c r="F301" s="28">
        <v>98000000</v>
      </c>
      <c r="G301" s="30" t="s">
        <v>921</v>
      </c>
      <c r="H301" s="28">
        <v>98629000</v>
      </c>
      <c r="I301" s="30" t="s">
        <v>1823</v>
      </c>
      <c r="J301" s="23" t="s">
        <v>1898</v>
      </c>
      <c r="K301" s="23" t="s">
        <v>754</v>
      </c>
      <c r="L301" s="23" t="str">
        <f>VLOOKUP(K301,Матрицы!B:C,2,0)</f>
        <v>село</v>
      </c>
      <c r="M301" s="31" t="s">
        <v>760</v>
      </c>
      <c r="N301" s="28">
        <v>98629445106</v>
      </c>
      <c r="O301" s="36">
        <v>19</v>
      </c>
      <c r="P301" s="1">
        <v>2</v>
      </c>
      <c r="Q301" s="1" t="s">
        <v>1902</v>
      </c>
      <c r="R301" s="1" t="s">
        <v>1903</v>
      </c>
    </row>
    <row r="302" spans="1:18">
      <c r="A302" s="23">
        <v>301</v>
      </c>
      <c r="B302" s="27">
        <f t="shared" si="5"/>
        <v>98629447101</v>
      </c>
      <c r="C302" s="23" t="s">
        <v>735</v>
      </c>
      <c r="D302" s="28">
        <v>98600000</v>
      </c>
      <c r="E302" s="23" t="s">
        <v>735</v>
      </c>
      <c r="F302" s="28">
        <v>98000000</v>
      </c>
      <c r="G302" s="30" t="s">
        <v>921</v>
      </c>
      <c r="H302" s="28">
        <v>98629000</v>
      </c>
      <c r="I302" s="30" t="s">
        <v>1823</v>
      </c>
      <c r="J302" s="23" t="s">
        <v>1904</v>
      </c>
      <c r="K302" s="23" t="s">
        <v>754</v>
      </c>
      <c r="L302" s="23" t="str">
        <f>VLOOKUP(K302,Матрицы!B:C,2,0)</f>
        <v>село</v>
      </c>
      <c r="M302" s="31" t="s">
        <v>1905</v>
      </c>
      <c r="N302" s="28">
        <v>98629447101</v>
      </c>
      <c r="O302" s="36">
        <v>431</v>
      </c>
      <c r="P302" s="1">
        <v>2</v>
      </c>
      <c r="Q302" s="1" t="s">
        <v>1906</v>
      </c>
      <c r="R302" s="1" t="s">
        <v>1907</v>
      </c>
    </row>
    <row r="303" spans="1:18">
      <c r="A303" s="23">
        <v>302</v>
      </c>
      <c r="B303" s="27">
        <f t="shared" si="5"/>
        <v>98629448101</v>
      </c>
      <c r="C303" s="23" t="s">
        <v>735</v>
      </c>
      <c r="D303" s="28">
        <v>98600000</v>
      </c>
      <c r="E303" s="23" t="s">
        <v>735</v>
      </c>
      <c r="F303" s="28">
        <v>98000000</v>
      </c>
      <c r="G303" s="30" t="s">
        <v>921</v>
      </c>
      <c r="H303" s="28">
        <v>98629000</v>
      </c>
      <c r="I303" s="30" t="s">
        <v>1823</v>
      </c>
      <c r="J303" s="23" t="s">
        <v>1908</v>
      </c>
      <c r="K303" s="23" t="s">
        <v>754</v>
      </c>
      <c r="L303" s="23" t="str">
        <f>VLOOKUP(K303,Матрицы!B:C,2,0)</f>
        <v>село</v>
      </c>
      <c r="M303" s="31" t="s">
        <v>111</v>
      </c>
      <c r="N303" s="28">
        <v>98629448101</v>
      </c>
      <c r="O303" s="36">
        <v>784</v>
      </c>
      <c r="P303" s="1">
        <v>2</v>
      </c>
      <c r="Q303" s="1" t="s">
        <v>1909</v>
      </c>
      <c r="R303" s="1" t="s">
        <v>1910</v>
      </c>
    </row>
    <row r="304" spans="1:18">
      <c r="A304" s="23">
        <v>303</v>
      </c>
      <c r="B304" s="27">
        <f t="shared" si="5"/>
        <v>98629449101</v>
      </c>
      <c r="C304" s="23" t="s">
        <v>735</v>
      </c>
      <c r="D304" s="28">
        <v>98600000</v>
      </c>
      <c r="E304" s="23" t="s">
        <v>735</v>
      </c>
      <c r="F304" s="28">
        <v>98000000</v>
      </c>
      <c r="G304" s="30" t="s">
        <v>921</v>
      </c>
      <c r="H304" s="28">
        <v>98629000</v>
      </c>
      <c r="I304" s="30" t="s">
        <v>1823</v>
      </c>
      <c r="J304" s="23" t="s">
        <v>1911</v>
      </c>
      <c r="K304" s="23" t="s">
        <v>754</v>
      </c>
      <c r="L304" s="23" t="str">
        <f>VLOOKUP(K304,Матрицы!B:C,2,0)</f>
        <v>село</v>
      </c>
      <c r="M304" s="31" t="s">
        <v>1912</v>
      </c>
      <c r="N304" s="28">
        <v>98629449101</v>
      </c>
      <c r="O304" s="36">
        <v>505</v>
      </c>
      <c r="P304" s="1">
        <v>2</v>
      </c>
      <c r="Q304" s="1" t="s">
        <v>1913</v>
      </c>
      <c r="R304" s="1" t="s">
        <v>1914</v>
      </c>
    </row>
    <row r="305" spans="1:18">
      <c r="A305" s="23">
        <v>304</v>
      </c>
      <c r="B305" s="27">
        <f t="shared" si="5"/>
        <v>98629450101</v>
      </c>
      <c r="C305" s="23" t="s">
        <v>735</v>
      </c>
      <c r="D305" s="28">
        <v>98600000</v>
      </c>
      <c r="E305" s="23" t="s">
        <v>735</v>
      </c>
      <c r="F305" s="28">
        <v>98000000</v>
      </c>
      <c r="G305" s="30" t="s">
        <v>921</v>
      </c>
      <c r="H305" s="28">
        <v>98629000</v>
      </c>
      <c r="I305" s="30" t="s">
        <v>1823</v>
      </c>
      <c r="J305" s="23" t="s">
        <v>1915</v>
      </c>
      <c r="K305" s="23" t="s">
        <v>754</v>
      </c>
      <c r="L305" s="23" t="str">
        <f>VLOOKUP(K305,Матрицы!B:C,2,0)</f>
        <v>село</v>
      </c>
      <c r="M305" s="31" t="s">
        <v>1916</v>
      </c>
      <c r="N305" s="28">
        <v>98629450101</v>
      </c>
      <c r="O305" s="36">
        <v>663</v>
      </c>
      <c r="P305" s="1">
        <v>2</v>
      </c>
      <c r="Q305" s="1" t="s">
        <v>1917</v>
      </c>
      <c r="R305" s="1" t="s">
        <v>1918</v>
      </c>
    </row>
    <row r="306" spans="1:18">
      <c r="A306" s="23">
        <v>305</v>
      </c>
      <c r="B306" s="27">
        <f t="shared" si="5"/>
        <v>98629451101</v>
      </c>
      <c r="C306" s="23" t="s">
        <v>735</v>
      </c>
      <c r="D306" s="28">
        <v>98600000</v>
      </c>
      <c r="E306" s="23" t="s">
        <v>735</v>
      </c>
      <c r="F306" s="28">
        <v>98000000</v>
      </c>
      <c r="G306" s="30" t="s">
        <v>921</v>
      </c>
      <c r="H306" s="28">
        <v>98629000</v>
      </c>
      <c r="I306" s="30" t="s">
        <v>1823</v>
      </c>
      <c r="J306" s="23" t="s">
        <v>1919</v>
      </c>
      <c r="K306" s="23" t="s">
        <v>754</v>
      </c>
      <c r="L306" s="23" t="str">
        <f>VLOOKUP(K306,Матрицы!B:C,2,0)</f>
        <v>село</v>
      </c>
      <c r="M306" s="31" t="s">
        <v>618</v>
      </c>
      <c r="N306" s="28">
        <v>98629451101</v>
      </c>
      <c r="O306" s="36">
        <v>425</v>
      </c>
      <c r="P306" s="1">
        <v>2</v>
      </c>
      <c r="Q306" s="1" t="s">
        <v>1920</v>
      </c>
      <c r="R306" s="1" t="s">
        <v>1921</v>
      </c>
    </row>
    <row r="307" spans="1:18">
      <c r="A307" s="23">
        <v>306</v>
      </c>
      <c r="B307" s="27">
        <f t="shared" si="5"/>
        <v>98629452101</v>
      </c>
      <c r="C307" s="23" t="s">
        <v>735</v>
      </c>
      <c r="D307" s="28">
        <v>98600000</v>
      </c>
      <c r="E307" s="23" t="s">
        <v>735</v>
      </c>
      <c r="F307" s="28">
        <v>98000000</v>
      </c>
      <c r="G307" s="30" t="s">
        <v>921</v>
      </c>
      <c r="H307" s="28">
        <v>98629000</v>
      </c>
      <c r="I307" s="30" t="s">
        <v>1823</v>
      </c>
      <c r="J307" s="23" t="s">
        <v>1922</v>
      </c>
      <c r="K307" s="23" t="s">
        <v>754</v>
      </c>
      <c r="L307" s="23" t="str">
        <f>VLOOKUP(K307,Матрицы!B:C,2,0)</f>
        <v>село</v>
      </c>
      <c r="M307" s="31" t="s">
        <v>1923</v>
      </c>
      <c r="N307" s="28">
        <v>98629452101</v>
      </c>
      <c r="O307" s="36">
        <v>120</v>
      </c>
      <c r="P307" s="1">
        <v>2</v>
      </c>
      <c r="Q307" s="1" t="s">
        <v>1924</v>
      </c>
      <c r="R307" s="1" t="s">
        <v>1925</v>
      </c>
    </row>
    <row r="308" spans="1:18">
      <c r="A308" s="23">
        <v>307</v>
      </c>
      <c r="B308" s="27">
        <f t="shared" si="5"/>
        <v>98629455101</v>
      </c>
      <c r="C308" s="23" t="s">
        <v>735</v>
      </c>
      <c r="D308" s="28">
        <v>98600000</v>
      </c>
      <c r="E308" s="23" t="s">
        <v>735</v>
      </c>
      <c r="F308" s="28">
        <v>98000000</v>
      </c>
      <c r="G308" s="30" t="s">
        <v>921</v>
      </c>
      <c r="H308" s="28">
        <v>98629000</v>
      </c>
      <c r="I308" s="30" t="s">
        <v>1823</v>
      </c>
      <c r="J308" s="23" t="s">
        <v>1926</v>
      </c>
      <c r="K308" s="23" t="s">
        <v>754</v>
      </c>
      <c r="L308" s="23" t="str">
        <f>VLOOKUP(K308,Матрицы!B:C,2,0)</f>
        <v>село</v>
      </c>
      <c r="M308" s="31" t="s">
        <v>1927</v>
      </c>
      <c r="N308" s="28">
        <v>98629455101</v>
      </c>
      <c r="O308" s="36">
        <v>2163</v>
      </c>
      <c r="P308" s="1">
        <v>2</v>
      </c>
      <c r="Q308" s="1" t="s">
        <v>1019</v>
      </c>
      <c r="R308" s="1" t="s">
        <v>1928</v>
      </c>
    </row>
    <row r="309" spans="1:18">
      <c r="A309" s="23">
        <v>308</v>
      </c>
      <c r="B309" s="27">
        <f t="shared" si="5"/>
        <v>98629460101</v>
      </c>
      <c r="C309" s="23" t="s">
        <v>735</v>
      </c>
      <c r="D309" s="28">
        <v>98600000</v>
      </c>
      <c r="E309" s="23" t="s">
        <v>735</v>
      </c>
      <c r="F309" s="28">
        <v>98000000</v>
      </c>
      <c r="G309" s="30" t="s">
        <v>921</v>
      </c>
      <c r="H309" s="28">
        <v>98629000</v>
      </c>
      <c r="I309" s="30" t="s">
        <v>1823</v>
      </c>
      <c r="J309" s="23" t="s">
        <v>1929</v>
      </c>
      <c r="K309" s="23" t="s">
        <v>754</v>
      </c>
      <c r="L309" s="23" t="str">
        <f>VLOOKUP(K309,Матрицы!B:C,2,0)</f>
        <v>село</v>
      </c>
      <c r="M309" s="31" t="s">
        <v>1930</v>
      </c>
      <c r="N309" s="28">
        <v>98629460101</v>
      </c>
      <c r="O309" s="36">
        <v>1047</v>
      </c>
      <c r="P309" s="1">
        <v>2</v>
      </c>
      <c r="Q309" s="1" t="s">
        <v>1931</v>
      </c>
      <c r="R309" s="1" t="s">
        <v>1932</v>
      </c>
    </row>
    <row r="310" spans="1:18">
      <c r="A310" s="23">
        <v>309</v>
      </c>
      <c r="B310" s="27">
        <f t="shared" si="5"/>
        <v>98629462101</v>
      </c>
      <c r="C310" s="23" t="s">
        <v>735</v>
      </c>
      <c r="D310" s="28">
        <v>98600000</v>
      </c>
      <c r="E310" s="23" t="s">
        <v>735</v>
      </c>
      <c r="F310" s="28">
        <v>98000000</v>
      </c>
      <c r="G310" s="30" t="s">
        <v>921</v>
      </c>
      <c r="H310" s="28">
        <v>98629000</v>
      </c>
      <c r="I310" s="30" t="s">
        <v>1823</v>
      </c>
      <c r="J310" s="23" t="s">
        <v>1933</v>
      </c>
      <c r="K310" s="23" t="s">
        <v>754</v>
      </c>
      <c r="L310" s="23" t="str">
        <f>VLOOKUP(K310,Матрицы!B:C,2,0)</f>
        <v>село</v>
      </c>
      <c r="M310" s="31" t="s">
        <v>1934</v>
      </c>
      <c r="N310" s="28">
        <v>98629462101</v>
      </c>
      <c r="O310" s="36">
        <v>1225</v>
      </c>
      <c r="P310" s="1">
        <v>2</v>
      </c>
      <c r="Q310" s="1" t="s">
        <v>1935</v>
      </c>
      <c r="R310" s="1" t="s">
        <v>1936</v>
      </c>
    </row>
    <row r="311" spans="1:18">
      <c r="A311" s="23">
        <v>310</v>
      </c>
      <c r="B311" s="27">
        <f t="shared" si="5"/>
        <v>98629463101</v>
      </c>
      <c r="C311" s="23" t="s">
        <v>735</v>
      </c>
      <c r="D311" s="28">
        <v>98600000</v>
      </c>
      <c r="E311" s="23" t="s">
        <v>735</v>
      </c>
      <c r="F311" s="28">
        <v>98000000</v>
      </c>
      <c r="G311" s="30" t="s">
        <v>921</v>
      </c>
      <c r="H311" s="28">
        <v>98629000</v>
      </c>
      <c r="I311" s="30" t="s">
        <v>1823</v>
      </c>
      <c r="J311" s="23" t="s">
        <v>1937</v>
      </c>
      <c r="K311" s="23" t="s">
        <v>754</v>
      </c>
      <c r="L311" s="23" t="str">
        <f>VLOOKUP(K311,Матрицы!B:C,2,0)</f>
        <v>село</v>
      </c>
      <c r="M311" s="31" t="s">
        <v>1938</v>
      </c>
      <c r="N311" s="28">
        <v>98629463101</v>
      </c>
      <c r="O311" s="36">
        <v>642</v>
      </c>
      <c r="P311" s="1">
        <v>2</v>
      </c>
      <c r="Q311" s="1" t="s">
        <v>1939</v>
      </c>
      <c r="R311" s="1" t="s">
        <v>1940</v>
      </c>
    </row>
    <row r="312" spans="1:18">
      <c r="A312" s="23">
        <v>311</v>
      </c>
      <c r="B312" s="27">
        <f t="shared" si="5"/>
        <v>98629464101</v>
      </c>
      <c r="C312" s="23" t="s">
        <v>735</v>
      </c>
      <c r="D312" s="28">
        <v>98600000</v>
      </c>
      <c r="E312" s="23" t="s">
        <v>735</v>
      </c>
      <c r="F312" s="28">
        <v>98000000</v>
      </c>
      <c r="G312" s="30" t="s">
        <v>921</v>
      </c>
      <c r="H312" s="28">
        <v>98629000</v>
      </c>
      <c r="I312" s="30" t="s">
        <v>1823</v>
      </c>
      <c r="J312" s="23" t="s">
        <v>1941</v>
      </c>
      <c r="K312" s="23" t="s">
        <v>754</v>
      </c>
      <c r="L312" s="23" t="str">
        <f>VLOOKUP(K312,Матрицы!B:C,2,0)</f>
        <v>село</v>
      </c>
      <c r="M312" s="31" t="s">
        <v>1942</v>
      </c>
      <c r="N312" s="28">
        <v>98629464101</v>
      </c>
      <c r="O312" s="36">
        <v>286</v>
      </c>
      <c r="P312" s="1">
        <v>2</v>
      </c>
      <c r="Q312" s="1" t="s">
        <v>1943</v>
      </c>
      <c r="R312" s="1" t="s">
        <v>1944</v>
      </c>
    </row>
    <row r="313" spans="1:18">
      <c r="A313" s="23">
        <v>312</v>
      </c>
      <c r="B313" s="27">
        <f t="shared" si="5"/>
        <v>98629465101</v>
      </c>
      <c r="C313" s="23" t="s">
        <v>735</v>
      </c>
      <c r="D313" s="28">
        <v>98600000</v>
      </c>
      <c r="E313" s="23" t="s">
        <v>735</v>
      </c>
      <c r="F313" s="28">
        <v>98000000</v>
      </c>
      <c r="G313" s="30" t="s">
        <v>921</v>
      </c>
      <c r="H313" s="28">
        <v>98629000</v>
      </c>
      <c r="I313" s="30" t="s">
        <v>1823</v>
      </c>
      <c r="J313" s="23" t="s">
        <v>1945</v>
      </c>
      <c r="K313" s="23" t="s">
        <v>754</v>
      </c>
      <c r="L313" s="23" t="str">
        <f>VLOOKUP(K313,Матрицы!B:C,2,0)</f>
        <v>село</v>
      </c>
      <c r="M313" s="31" t="s">
        <v>1946</v>
      </c>
      <c r="N313" s="28">
        <v>98629465101</v>
      </c>
      <c r="O313" s="36">
        <v>418</v>
      </c>
      <c r="P313" s="1">
        <v>2</v>
      </c>
      <c r="Q313" s="1" t="s">
        <v>1947</v>
      </c>
      <c r="R313" s="1" t="s">
        <v>1948</v>
      </c>
    </row>
    <row r="314" spans="1:18">
      <c r="A314" s="23">
        <v>313</v>
      </c>
      <c r="B314" s="27">
        <f t="shared" si="5"/>
        <v>98631101001</v>
      </c>
      <c r="C314" s="23" t="s">
        <v>735</v>
      </c>
      <c r="D314" s="28">
        <v>98600000</v>
      </c>
      <c r="E314" s="23" t="s">
        <v>735</v>
      </c>
      <c r="F314" s="28">
        <v>98000000</v>
      </c>
      <c r="G314" s="30" t="s">
        <v>925</v>
      </c>
      <c r="H314" s="28">
        <v>98631000</v>
      </c>
      <c r="I314" s="30" t="s">
        <v>1949</v>
      </c>
      <c r="J314" s="23" t="s">
        <v>809</v>
      </c>
      <c r="K314" s="23" t="s">
        <v>740</v>
      </c>
      <c r="L314" s="23" t="str">
        <f>VLOOKUP(K314,Матрицы!B:C,2,0)</f>
        <v>город</v>
      </c>
      <c r="M314" s="31" t="s">
        <v>1950</v>
      </c>
      <c r="N314" s="28">
        <v>98631101001</v>
      </c>
      <c r="O314" s="36">
        <v>34013</v>
      </c>
      <c r="P314" s="1">
        <v>1</v>
      </c>
      <c r="Q314" s="1" t="s">
        <v>1951</v>
      </c>
      <c r="R314" s="1" t="s">
        <v>1952</v>
      </c>
    </row>
    <row r="315" spans="1:18">
      <c r="A315" s="23">
        <v>314</v>
      </c>
      <c r="B315" s="27">
        <f t="shared" si="5"/>
        <v>98631101106</v>
      </c>
      <c r="C315" s="23" t="s">
        <v>735</v>
      </c>
      <c r="D315" s="28">
        <v>98600000</v>
      </c>
      <c r="E315" s="23" t="s">
        <v>735</v>
      </c>
      <c r="F315" s="28">
        <v>98000000</v>
      </c>
      <c r="G315" s="30" t="s">
        <v>925</v>
      </c>
      <c r="H315" s="28">
        <v>98631000</v>
      </c>
      <c r="I315" s="30" t="s">
        <v>1949</v>
      </c>
      <c r="J315" s="23" t="s">
        <v>809</v>
      </c>
      <c r="K315" s="23" t="s">
        <v>754</v>
      </c>
      <c r="L315" s="23" t="str">
        <f>VLOOKUP(K315,Матрицы!B:C,2,0)</f>
        <v>село</v>
      </c>
      <c r="M315" s="31" t="s">
        <v>810</v>
      </c>
      <c r="N315" s="28">
        <v>98631101106</v>
      </c>
      <c r="O315" s="36">
        <v>5</v>
      </c>
      <c r="P315" s="1">
        <v>2</v>
      </c>
      <c r="Q315" s="11" t="s">
        <v>1953</v>
      </c>
      <c r="R315" s="11" t="s">
        <v>1954</v>
      </c>
    </row>
    <row r="316" spans="1:18">
      <c r="A316" s="23">
        <v>315</v>
      </c>
      <c r="B316" s="27">
        <f t="shared" si="5"/>
        <v>98631109001</v>
      </c>
      <c r="C316" s="23" t="s">
        <v>735</v>
      </c>
      <c r="D316" s="28">
        <v>98600000</v>
      </c>
      <c r="E316" s="23" t="s">
        <v>735</v>
      </c>
      <c r="F316" s="28">
        <v>98000000</v>
      </c>
      <c r="G316" s="30" t="s">
        <v>925</v>
      </c>
      <c r="H316" s="28">
        <v>98631000</v>
      </c>
      <c r="I316" s="30" t="s">
        <v>1949</v>
      </c>
      <c r="J316" s="23" t="s">
        <v>1955</v>
      </c>
      <c r="K316" s="23" t="s">
        <v>740</v>
      </c>
      <c r="L316" s="23" t="str">
        <f>VLOOKUP(K316,Матрицы!B:C,2,0)</f>
        <v>город</v>
      </c>
      <c r="M316" s="31" t="s">
        <v>1956</v>
      </c>
      <c r="N316" s="28">
        <v>98631109001</v>
      </c>
      <c r="O316" s="36">
        <v>13349</v>
      </c>
      <c r="P316" s="1">
        <v>1</v>
      </c>
      <c r="Q316" s="1" t="s">
        <v>1957</v>
      </c>
      <c r="R316" s="1" t="s">
        <v>1958</v>
      </c>
    </row>
    <row r="317" spans="1:18">
      <c r="A317" s="23">
        <v>316</v>
      </c>
      <c r="B317" s="27">
        <f t="shared" si="5"/>
        <v>98631109106</v>
      </c>
      <c r="C317" s="23" t="s">
        <v>735</v>
      </c>
      <c r="D317" s="28">
        <v>98600000</v>
      </c>
      <c r="E317" s="23" t="s">
        <v>735</v>
      </c>
      <c r="F317" s="28">
        <v>98000000</v>
      </c>
      <c r="G317" s="30" t="s">
        <v>925</v>
      </c>
      <c r="H317" s="28">
        <v>98631000</v>
      </c>
      <c r="I317" s="30" t="s">
        <v>1949</v>
      </c>
      <c r="J317" s="23" t="s">
        <v>1955</v>
      </c>
      <c r="K317" s="23" t="s">
        <v>754</v>
      </c>
      <c r="L317" s="23" t="str">
        <f>VLOOKUP(K317,Матрицы!B:C,2,0)</f>
        <v>село</v>
      </c>
      <c r="M317" s="31" t="s">
        <v>1959</v>
      </c>
      <c r="N317" s="28">
        <v>98631109106</v>
      </c>
      <c r="O317" s="32">
        <v>0</v>
      </c>
      <c r="P317" s="1">
        <v>2</v>
      </c>
      <c r="Q317" s="1" t="s">
        <v>1960</v>
      </c>
      <c r="R317" s="1" t="s">
        <v>1961</v>
      </c>
    </row>
    <row r="318" spans="1:18">
      <c r="A318" s="23">
        <v>317</v>
      </c>
      <c r="B318" s="27">
        <f t="shared" si="5"/>
        <v>98631152051</v>
      </c>
      <c r="C318" s="23" t="s">
        <v>735</v>
      </c>
      <c r="D318" s="28">
        <v>98600000</v>
      </c>
      <c r="E318" s="23" t="s">
        <v>735</v>
      </c>
      <c r="F318" s="28">
        <v>98000000</v>
      </c>
      <c r="G318" s="30" t="s">
        <v>925</v>
      </c>
      <c r="H318" s="28">
        <v>98631000</v>
      </c>
      <c r="I318" s="30" t="s">
        <v>1949</v>
      </c>
      <c r="J318" s="23" t="s">
        <v>1962</v>
      </c>
      <c r="K318" s="23" t="s">
        <v>819</v>
      </c>
      <c r="L318" s="23" t="str">
        <f>VLOOKUP(K318,Матрицы!B:C,2,0)</f>
        <v>поселок</v>
      </c>
      <c r="M318" s="31" t="s">
        <v>1963</v>
      </c>
      <c r="N318" s="28">
        <v>98631152051</v>
      </c>
      <c r="O318" s="36">
        <v>13359</v>
      </c>
      <c r="P318" s="1">
        <v>1</v>
      </c>
      <c r="Q318" s="1" t="s">
        <v>1964</v>
      </c>
      <c r="R318" s="1" t="s">
        <v>1965</v>
      </c>
    </row>
    <row r="319" spans="1:18">
      <c r="A319" s="23">
        <v>318</v>
      </c>
      <c r="B319" s="27">
        <f t="shared" si="5"/>
        <v>98631152106</v>
      </c>
      <c r="C319" s="23" t="s">
        <v>735</v>
      </c>
      <c r="D319" s="28">
        <v>98600000</v>
      </c>
      <c r="E319" s="23" t="s">
        <v>735</v>
      </c>
      <c r="F319" s="28">
        <v>98000000</v>
      </c>
      <c r="G319" s="30" t="s">
        <v>925</v>
      </c>
      <c r="H319" s="28">
        <v>98631000</v>
      </c>
      <c r="I319" s="30" t="s">
        <v>1949</v>
      </c>
      <c r="J319" s="23" t="s">
        <v>1962</v>
      </c>
      <c r="K319" s="23" t="s">
        <v>754</v>
      </c>
      <c r="L319" s="23" t="str">
        <f>VLOOKUP(K319,Матрицы!B:C,2,0)</f>
        <v>село</v>
      </c>
      <c r="M319" s="31" t="s">
        <v>558</v>
      </c>
      <c r="N319" s="28">
        <v>98631152106</v>
      </c>
      <c r="O319" s="32">
        <v>0</v>
      </c>
      <c r="P319" s="1">
        <v>2</v>
      </c>
      <c r="Q319" s="1" t="s">
        <v>1966</v>
      </c>
      <c r="R319" s="1" t="s">
        <v>1967</v>
      </c>
    </row>
    <row r="320" spans="1:18">
      <c r="A320" s="23">
        <v>319</v>
      </c>
      <c r="B320" s="27">
        <f t="shared" si="5"/>
        <v>98631155051</v>
      </c>
      <c r="C320" s="23" t="s">
        <v>735</v>
      </c>
      <c r="D320" s="28">
        <v>98600000</v>
      </c>
      <c r="E320" s="23" t="s">
        <v>735</v>
      </c>
      <c r="F320" s="28">
        <v>98000000</v>
      </c>
      <c r="G320" s="30" t="s">
        <v>925</v>
      </c>
      <c r="H320" s="28">
        <v>98631000</v>
      </c>
      <c r="I320" s="30" t="s">
        <v>1949</v>
      </c>
      <c r="J320" s="23" t="s">
        <v>1968</v>
      </c>
      <c r="K320" s="23" t="s">
        <v>819</v>
      </c>
      <c r="L320" s="23" t="str">
        <f>VLOOKUP(K320,Матрицы!B:C,2,0)</f>
        <v>поселок</v>
      </c>
      <c r="M320" s="31" t="s">
        <v>1969</v>
      </c>
      <c r="N320" s="28">
        <v>98631155051</v>
      </c>
      <c r="O320" s="36">
        <v>1598</v>
      </c>
      <c r="P320" s="1">
        <v>1</v>
      </c>
      <c r="Q320" s="1" t="s">
        <v>1970</v>
      </c>
      <c r="R320" s="1" t="s">
        <v>1971</v>
      </c>
    </row>
    <row r="321" spans="1:18">
      <c r="A321" s="23">
        <v>320</v>
      </c>
      <c r="B321" s="27">
        <f t="shared" si="5"/>
        <v>98631155111</v>
      </c>
      <c r="C321" s="23" t="s">
        <v>735</v>
      </c>
      <c r="D321" s="28">
        <v>98600000</v>
      </c>
      <c r="E321" s="23" t="s">
        <v>735</v>
      </c>
      <c r="F321" s="28">
        <v>98000000</v>
      </c>
      <c r="G321" s="30" t="s">
        <v>925</v>
      </c>
      <c r="H321" s="28">
        <v>98631000</v>
      </c>
      <c r="I321" s="30" t="s">
        <v>1949</v>
      </c>
      <c r="J321" s="23" t="s">
        <v>1968</v>
      </c>
      <c r="K321" s="23" t="s">
        <v>754</v>
      </c>
      <c r="L321" s="23" t="str">
        <f>VLOOKUP(K321,Матрицы!B:C,2,0)</f>
        <v>село</v>
      </c>
      <c r="M321" s="31" t="s">
        <v>1972</v>
      </c>
      <c r="N321" s="28">
        <v>98631155111</v>
      </c>
      <c r="O321" s="36">
        <v>71</v>
      </c>
      <c r="P321" s="1">
        <v>2</v>
      </c>
      <c r="Q321" s="1" t="s">
        <v>1973</v>
      </c>
      <c r="R321" s="1" t="s">
        <v>1974</v>
      </c>
    </row>
    <row r="322" spans="1:18">
      <c r="A322" s="23">
        <v>321</v>
      </c>
      <c r="B322" s="27">
        <f t="shared" si="5"/>
        <v>98631157051</v>
      </c>
      <c r="C322" s="23" t="s">
        <v>735</v>
      </c>
      <c r="D322" s="28">
        <v>98600000</v>
      </c>
      <c r="E322" s="23" t="s">
        <v>735</v>
      </c>
      <c r="F322" s="28">
        <v>98000000</v>
      </c>
      <c r="G322" s="30" t="s">
        <v>925</v>
      </c>
      <c r="H322" s="28">
        <v>98631000</v>
      </c>
      <c r="I322" s="30" t="s">
        <v>1949</v>
      </c>
      <c r="J322" s="23" t="s">
        <v>1975</v>
      </c>
      <c r="K322" s="23" t="s">
        <v>819</v>
      </c>
      <c r="L322" s="23" t="str">
        <f>VLOOKUP(K322,Матрицы!B:C,2,0)</f>
        <v>поселок</v>
      </c>
      <c r="M322" s="31" t="s">
        <v>1976</v>
      </c>
      <c r="N322" s="28">
        <v>98631157051</v>
      </c>
      <c r="O322" s="36">
        <v>2981</v>
      </c>
      <c r="P322" s="1">
        <v>1</v>
      </c>
      <c r="Q322" s="1" t="s">
        <v>1977</v>
      </c>
      <c r="R322" s="1" t="s">
        <v>1978</v>
      </c>
    </row>
    <row r="323" spans="1:18">
      <c r="A323" s="23">
        <v>322</v>
      </c>
      <c r="B323" s="27">
        <f t="shared" ref="B323:B386" si="6">N323</f>
        <v>98631162051</v>
      </c>
      <c r="C323" s="23" t="s">
        <v>735</v>
      </c>
      <c r="D323" s="28">
        <v>98600000</v>
      </c>
      <c r="E323" s="23" t="s">
        <v>735</v>
      </c>
      <c r="F323" s="28">
        <v>98000000</v>
      </c>
      <c r="G323" s="30" t="s">
        <v>925</v>
      </c>
      <c r="H323" s="28">
        <v>98631000</v>
      </c>
      <c r="I323" s="30" t="s">
        <v>1949</v>
      </c>
      <c r="J323" s="23" t="s">
        <v>1979</v>
      </c>
      <c r="K323" s="23" t="s">
        <v>819</v>
      </c>
      <c r="L323" s="23" t="str">
        <f>VLOOKUP(K323,Матрицы!B:C,2,0)</f>
        <v>поселок</v>
      </c>
      <c r="M323" s="31" t="s">
        <v>1980</v>
      </c>
      <c r="N323" s="28">
        <v>98631162051</v>
      </c>
      <c r="O323" s="36">
        <v>3383</v>
      </c>
      <c r="P323" s="1">
        <v>1</v>
      </c>
      <c r="Q323" s="1" t="s">
        <v>978</v>
      </c>
      <c r="R323" s="1" t="s">
        <v>1981</v>
      </c>
    </row>
    <row r="324" spans="1:18">
      <c r="A324" s="23">
        <v>323</v>
      </c>
      <c r="B324" s="27">
        <f t="shared" si="6"/>
        <v>98631404101</v>
      </c>
      <c r="C324" s="23" t="s">
        <v>735</v>
      </c>
      <c r="D324" s="28">
        <v>98600000</v>
      </c>
      <c r="E324" s="23" t="s">
        <v>735</v>
      </c>
      <c r="F324" s="28">
        <v>98000000</v>
      </c>
      <c r="G324" s="30" t="s">
        <v>925</v>
      </c>
      <c r="H324" s="28">
        <v>98631000</v>
      </c>
      <c r="I324" s="23" t="s">
        <v>1982</v>
      </c>
      <c r="J324" s="23" t="s">
        <v>1983</v>
      </c>
      <c r="K324" s="23" t="s">
        <v>754</v>
      </c>
      <c r="L324" s="23" t="str">
        <f>VLOOKUP(K324,Матрицы!B:C,2,0)</f>
        <v>село</v>
      </c>
      <c r="M324" s="31" t="s">
        <v>1984</v>
      </c>
      <c r="N324" s="28">
        <v>98631404101</v>
      </c>
      <c r="O324" s="36">
        <v>406</v>
      </c>
      <c r="P324" s="1">
        <v>2</v>
      </c>
      <c r="Q324" s="1" t="s">
        <v>1985</v>
      </c>
      <c r="R324" s="1" t="s">
        <v>1986</v>
      </c>
    </row>
    <row r="325" spans="1:18">
      <c r="A325" s="23">
        <v>324</v>
      </c>
      <c r="B325" s="27">
        <f t="shared" si="6"/>
        <v>98631428101</v>
      </c>
      <c r="C325" s="23" t="s">
        <v>735</v>
      </c>
      <c r="D325" s="28">
        <v>98600000</v>
      </c>
      <c r="E325" s="23" t="s">
        <v>735</v>
      </c>
      <c r="F325" s="28">
        <v>98000000</v>
      </c>
      <c r="G325" s="30" t="s">
        <v>925</v>
      </c>
      <c r="H325" s="28">
        <v>98631000</v>
      </c>
      <c r="I325" s="23" t="s">
        <v>1982</v>
      </c>
      <c r="J325" s="23" t="s">
        <v>1987</v>
      </c>
      <c r="K325" s="23" t="s">
        <v>754</v>
      </c>
      <c r="L325" s="23" t="str">
        <f>VLOOKUP(K325,Матрицы!B:C,2,0)</f>
        <v>село</v>
      </c>
      <c r="M325" s="31" t="s">
        <v>495</v>
      </c>
      <c r="N325" s="28">
        <v>98631428101</v>
      </c>
      <c r="O325" s="36">
        <v>263</v>
      </c>
      <c r="P325" s="1">
        <v>2</v>
      </c>
      <c r="Q325" s="1" t="s">
        <v>1988</v>
      </c>
      <c r="R325" s="1" t="s">
        <v>1989</v>
      </c>
    </row>
    <row r="326" spans="1:18">
      <c r="A326" s="23">
        <v>325</v>
      </c>
      <c r="B326" s="27">
        <f t="shared" si="6"/>
        <v>98631450101</v>
      </c>
      <c r="C326" s="23" t="s">
        <v>735</v>
      </c>
      <c r="D326" s="28">
        <v>98600000</v>
      </c>
      <c r="E326" s="23" t="s">
        <v>735</v>
      </c>
      <c r="F326" s="28">
        <v>98000000</v>
      </c>
      <c r="G326" s="30" t="s">
        <v>925</v>
      </c>
      <c r="H326" s="28">
        <v>98631000</v>
      </c>
      <c r="I326" s="23" t="s">
        <v>1982</v>
      </c>
      <c r="J326" s="23" t="s">
        <v>1990</v>
      </c>
      <c r="K326" s="23" t="s">
        <v>754</v>
      </c>
      <c r="L326" s="23" t="str">
        <f>VLOOKUP(K326,Матрицы!B:C,2,0)</f>
        <v>село</v>
      </c>
      <c r="M326" s="31" t="s">
        <v>856</v>
      </c>
      <c r="N326" s="28">
        <v>98631450101</v>
      </c>
      <c r="O326" s="36">
        <v>1564</v>
      </c>
      <c r="P326" s="1">
        <v>2</v>
      </c>
      <c r="Q326" s="1" t="s">
        <v>1991</v>
      </c>
      <c r="R326" s="1" t="s">
        <v>1992</v>
      </c>
    </row>
    <row r="327" spans="1:18">
      <c r="A327" s="23">
        <v>326</v>
      </c>
      <c r="B327" s="27">
        <f t="shared" si="6"/>
        <v>98631450106</v>
      </c>
      <c r="C327" s="23" t="s">
        <v>735</v>
      </c>
      <c r="D327" s="28">
        <v>98600000</v>
      </c>
      <c r="E327" s="23" t="s">
        <v>735</v>
      </c>
      <c r="F327" s="28">
        <v>98000000</v>
      </c>
      <c r="G327" s="30" t="s">
        <v>925</v>
      </c>
      <c r="H327" s="28">
        <v>98631000</v>
      </c>
      <c r="I327" s="23" t="s">
        <v>1982</v>
      </c>
      <c r="J327" s="23" t="s">
        <v>1990</v>
      </c>
      <c r="K327" s="23" t="s">
        <v>754</v>
      </c>
      <c r="L327" s="23" t="str">
        <f>VLOOKUP(K327,Матрицы!B:C,2,0)</f>
        <v>село</v>
      </c>
      <c r="M327" s="31" t="s">
        <v>1993</v>
      </c>
      <c r="N327" s="28">
        <v>98631450106</v>
      </c>
      <c r="O327" s="36">
        <v>103</v>
      </c>
      <c r="P327" s="1">
        <v>2</v>
      </c>
      <c r="Q327" s="1" t="s">
        <v>1994</v>
      </c>
      <c r="R327" s="1" t="s">
        <v>1995</v>
      </c>
    </row>
    <row r="328" spans="1:18" ht="45">
      <c r="A328" s="23">
        <v>327</v>
      </c>
      <c r="B328" s="29">
        <v>0</v>
      </c>
      <c r="C328" s="23" t="s">
        <v>735</v>
      </c>
      <c r="D328" s="28">
        <v>98600000</v>
      </c>
      <c r="E328" s="23" t="s">
        <v>735</v>
      </c>
      <c r="F328" s="28">
        <v>98000000</v>
      </c>
      <c r="G328" s="30" t="s">
        <v>925</v>
      </c>
      <c r="H328" s="28">
        <v>98631000</v>
      </c>
      <c r="I328" s="23" t="s">
        <v>1996</v>
      </c>
      <c r="J328" s="30" t="s">
        <v>1997</v>
      </c>
      <c r="K328" s="29">
        <v>0</v>
      </c>
      <c r="L328" s="29">
        <v>0</v>
      </c>
      <c r="M328" s="29">
        <v>0</v>
      </c>
      <c r="N328" s="29">
        <v>0</v>
      </c>
      <c r="O328" s="39">
        <v>0</v>
      </c>
      <c r="P328" s="1">
        <v>2</v>
      </c>
    </row>
    <row r="329" spans="1:18">
      <c r="A329" s="23">
        <v>328</v>
      </c>
      <c r="B329" s="27">
        <f t="shared" si="6"/>
        <v>98633405101</v>
      </c>
      <c r="C329" s="23" t="s">
        <v>735</v>
      </c>
      <c r="D329" s="28">
        <v>98600000</v>
      </c>
      <c r="E329" s="23" t="s">
        <v>735</v>
      </c>
      <c r="F329" s="28">
        <v>98000000</v>
      </c>
      <c r="G329" s="30" t="s">
        <v>930</v>
      </c>
      <c r="H329" s="28">
        <v>98633000</v>
      </c>
      <c r="I329" s="23" t="s">
        <v>1998</v>
      </c>
      <c r="J329" s="23" t="s">
        <v>1999</v>
      </c>
      <c r="K329" s="23" t="s">
        <v>754</v>
      </c>
      <c r="L329" s="23" t="str">
        <f>VLOOKUP(K329,Матрицы!B:C,2,0)</f>
        <v>село</v>
      </c>
      <c r="M329" s="31" t="s">
        <v>2000</v>
      </c>
      <c r="N329" s="28">
        <v>98633405101</v>
      </c>
      <c r="O329" s="36">
        <v>226</v>
      </c>
      <c r="P329" s="1">
        <v>2</v>
      </c>
      <c r="Q329" s="1" t="s">
        <v>2001</v>
      </c>
      <c r="R329" s="1" t="s">
        <v>2002</v>
      </c>
    </row>
    <row r="330" spans="1:18">
      <c r="A330" s="23">
        <v>329</v>
      </c>
      <c r="B330" s="27">
        <f t="shared" si="6"/>
        <v>98633414101</v>
      </c>
      <c r="C330" s="23" t="s">
        <v>735</v>
      </c>
      <c r="D330" s="28">
        <v>98600000</v>
      </c>
      <c r="E330" s="23" t="s">
        <v>735</v>
      </c>
      <c r="F330" s="28">
        <v>98000000</v>
      </c>
      <c r="G330" s="30" t="s">
        <v>930</v>
      </c>
      <c r="H330" s="28">
        <v>98633000</v>
      </c>
      <c r="I330" s="23" t="s">
        <v>1998</v>
      </c>
      <c r="J330" s="23" t="s">
        <v>2003</v>
      </c>
      <c r="K330" s="23" t="s">
        <v>754</v>
      </c>
      <c r="L330" s="23" t="str">
        <f>VLOOKUP(K330,Матрицы!B:C,2,0)</f>
        <v>село</v>
      </c>
      <c r="M330" s="31" t="s">
        <v>2004</v>
      </c>
      <c r="N330" s="28">
        <v>98633414101</v>
      </c>
      <c r="O330" s="36">
        <v>352</v>
      </c>
      <c r="P330" s="1">
        <v>2</v>
      </c>
      <c r="Q330" s="1" t="s">
        <v>2005</v>
      </c>
      <c r="R330" s="1" t="s">
        <v>2006</v>
      </c>
    </row>
    <row r="331" spans="1:18">
      <c r="A331" s="23">
        <v>330</v>
      </c>
      <c r="B331" s="27">
        <f t="shared" si="6"/>
        <v>98633423101</v>
      </c>
      <c r="C331" s="23" t="s">
        <v>735</v>
      </c>
      <c r="D331" s="28">
        <v>98600000</v>
      </c>
      <c r="E331" s="23" t="s">
        <v>735</v>
      </c>
      <c r="F331" s="28">
        <v>98000000</v>
      </c>
      <c r="G331" s="30" t="s">
        <v>930</v>
      </c>
      <c r="H331" s="28">
        <v>98633000</v>
      </c>
      <c r="I331" s="23" t="s">
        <v>1998</v>
      </c>
      <c r="J331" s="23" t="s">
        <v>2007</v>
      </c>
      <c r="K331" s="23" t="s">
        <v>754</v>
      </c>
      <c r="L331" s="23" t="str">
        <f>VLOOKUP(K331,Матрицы!B:C,2,0)</f>
        <v>село</v>
      </c>
      <c r="M331" s="31" t="s">
        <v>2008</v>
      </c>
      <c r="N331" s="28">
        <v>98633423101</v>
      </c>
      <c r="O331" s="36">
        <v>2052</v>
      </c>
      <c r="P331" s="1">
        <v>2</v>
      </c>
      <c r="Q331" s="1" t="s">
        <v>2009</v>
      </c>
      <c r="R331" s="1" t="s">
        <v>2010</v>
      </c>
    </row>
    <row r="332" spans="1:18">
      <c r="A332" s="23">
        <v>331</v>
      </c>
      <c r="B332" s="27">
        <f t="shared" si="6"/>
        <v>98633423106</v>
      </c>
      <c r="C332" s="23" t="s">
        <v>735</v>
      </c>
      <c r="D332" s="28">
        <v>98600000</v>
      </c>
      <c r="E332" s="23" t="s">
        <v>735</v>
      </c>
      <c r="F332" s="28">
        <v>98000000</v>
      </c>
      <c r="G332" s="30" t="s">
        <v>930</v>
      </c>
      <c r="H332" s="28">
        <v>98633000</v>
      </c>
      <c r="I332" s="23" t="s">
        <v>1998</v>
      </c>
      <c r="J332" s="23" t="s">
        <v>2007</v>
      </c>
      <c r="K332" s="23" t="s">
        <v>754</v>
      </c>
      <c r="L332" s="23" t="str">
        <f>VLOOKUP(K332,Матрицы!B:C,2,0)</f>
        <v>село</v>
      </c>
      <c r="M332" s="31" t="s">
        <v>318</v>
      </c>
      <c r="N332" s="28">
        <v>98633423106</v>
      </c>
      <c r="O332" s="36">
        <v>90</v>
      </c>
      <c r="P332" s="1">
        <v>2</v>
      </c>
      <c r="Q332" s="1" t="s">
        <v>2011</v>
      </c>
      <c r="R332" s="1" t="s">
        <v>2012</v>
      </c>
    </row>
    <row r="333" spans="1:18">
      <c r="A333" s="23">
        <v>332</v>
      </c>
      <c r="B333" s="27">
        <f t="shared" si="6"/>
        <v>98633428101</v>
      </c>
      <c r="C333" s="23" t="s">
        <v>735</v>
      </c>
      <c r="D333" s="28">
        <v>98600000</v>
      </c>
      <c r="E333" s="23" t="s">
        <v>735</v>
      </c>
      <c r="F333" s="28">
        <v>98000000</v>
      </c>
      <c r="G333" s="30" t="s">
        <v>930</v>
      </c>
      <c r="H333" s="28">
        <v>98633000</v>
      </c>
      <c r="I333" s="23" t="s">
        <v>1998</v>
      </c>
      <c r="J333" s="23" t="s">
        <v>2013</v>
      </c>
      <c r="K333" s="23" t="s">
        <v>754</v>
      </c>
      <c r="L333" s="23" t="str">
        <f>VLOOKUP(K333,Матрицы!B:C,2,0)</f>
        <v>село</v>
      </c>
      <c r="M333" s="31" t="s">
        <v>2014</v>
      </c>
      <c r="N333" s="28">
        <v>98633428101</v>
      </c>
      <c r="O333" s="36">
        <v>252</v>
      </c>
      <c r="P333" s="1">
        <v>2</v>
      </c>
      <c r="Q333" s="1" t="s">
        <v>2015</v>
      </c>
      <c r="R333" s="1" t="s">
        <v>2016</v>
      </c>
    </row>
    <row r="334" spans="1:18">
      <c r="A334" s="23">
        <v>333</v>
      </c>
      <c r="B334" s="27">
        <f t="shared" si="6"/>
        <v>98633430101</v>
      </c>
      <c r="C334" s="23" t="s">
        <v>735</v>
      </c>
      <c r="D334" s="28">
        <v>98600000</v>
      </c>
      <c r="E334" s="23" t="s">
        <v>735</v>
      </c>
      <c r="F334" s="28">
        <v>98000000</v>
      </c>
      <c r="G334" s="30" t="s">
        <v>930</v>
      </c>
      <c r="H334" s="28">
        <v>98633000</v>
      </c>
      <c r="I334" s="23" t="s">
        <v>1998</v>
      </c>
      <c r="J334" s="23" t="s">
        <v>2017</v>
      </c>
      <c r="K334" s="23" t="s">
        <v>754</v>
      </c>
      <c r="L334" s="23" t="str">
        <f>VLOOKUP(K334,Матрицы!B:C,2,0)</f>
        <v>село</v>
      </c>
      <c r="M334" s="31" t="s">
        <v>2018</v>
      </c>
      <c r="N334" s="28">
        <v>98633430101</v>
      </c>
      <c r="O334" s="36">
        <v>214</v>
      </c>
      <c r="P334" s="1">
        <v>2</v>
      </c>
      <c r="Q334" s="1" t="s">
        <v>2019</v>
      </c>
      <c r="R334" s="1" t="s">
        <v>2020</v>
      </c>
    </row>
    <row r="335" spans="1:18">
      <c r="A335" s="23">
        <v>334</v>
      </c>
      <c r="B335" s="27">
        <f t="shared" si="6"/>
        <v>98633435101</v>
      </c>
      <c r="C335" s="23" t="s">
        <v>735</v>
      </c>
      <c r="D335" s="28">
        <v>98600000</v>
      </c>
      <c r="E335" s="23" t="s">
        <v>735</v>
      </c>
      <c r="F335" s="28">
        <v>98000000</v>
      </c>
      <c r="G335" s="30" t="s">
        <v>930</v>
      </c>
      <c r="H335" s="28">
        <v>98633000</v>
      </c>
      <c r="I335" s="23" t="s">
        <v>1998</v>
      </c>
      <c r="J335" s="23" t="s">
        <v>2021</v>
      </c>
      <c r="K335" s="23" t="s">
        <v>754</v>
      </c>
      <c r="L335" s="23" t="str">
        <f>VLOOKUP(K335,Матрицы!B:C,2,0)</f>
        <v>село</v>
      </c>
      <c r="M335" s="31" t="s">
        <v>2022</v>
      </c>
      <c r="N335" s="28">
        <v>98633435101</v>
      </c>
      <c r="O335" s="36">
        <v>687</v>
      </c>
      <c r="P335" s="1">
        <v>2</v>
      </c>
      <c r="Q335" s="1" t="s">
        <v>2023</v>
      </c>
      <c r="R335" s="1" t="s">
        <v>2024</v>
      </c>
    </row>
    <row r="336" spans="1:18">
      <c r="A336" s="23">
        <v>335</v>
      </c>
      <c r="B336" s="27">
        <f t="shared" si="6"/>
        <v>98635405101</v>
      </c>
      <c r="C336" s="23" t="s">
        <v>735</v>
      </c>
      <c r="D336" s="28">
        <v>98600000</v>
      </c>
      <c r="E336" s="23" t="s">
        <v>735</v>
      </c>
      <c r="F336" s="28">
        <v>98000000</v>
      </c>
      <c r="G336" s="30" t="s">
        <v>934</v>
      </c>
      <c r="H336" s="28">
        <v>98635000</v>
      </c>
      <c r="I336" s="23" t="s">
        <v>2025</v>
      </c>
      <c r="J336" s="23" t="s">
        <v>2026</v>
      </c>
      <c r="K336" s="23" t="s">
        <v>754</v>
      </c>
      <c r="L336" s="23" t="str">
        <f>VLOOKUP(K336,Матрицы!B:C,2,0)</f>
        <v>село</v>
      </c>
      <c r="M336" s="31" t="s">
        <v>2027</v>
      </c>
      <c r="N336" s="28">
        <v>98635405101</v>
      </c>
      <c r="O336" s="36">
        <v>232</v>
      </c>
      <c r="P336" s="1">
        <v>2</v>
      </c>
      <c r="Q336" s="1" t="s">
        <v>2028</v>
      </c>
      <c r="R336" s="1" t="s">
        <v>2029</v>
      </c>
    </row>
    <row r="337" spans="1:18">
      <c r="A337" s="23">
        <v>336</v>
      </c>
      <c r="B337" s="27">
        <f t="shared" si="6"/>
        <v>98635410101</v>
      </c>
      <c r="C337" s="23" t="s">
        <v>735</v>
      </c>
      <c r="D337" s="28">
        <v>98600000</v>
      </c>
      <c r="E337" s="23" t="s">
        <v>735</v>
      </c>
      <c r="F337" s="28">
        <v>98000000</v>
      </c>
      <c r="G337" s="30" t="s">
        <v>934</v>
      </c>
      <c r="H337" s="28">
        <v>98635000</v>
      </c>
      <c r="I337" s="23" t="s">
        <v>2025</v>
      </c>
      <c r="J337" s="23" t="s">
        <v>1091</v>
      </c>
      <c r="K337" s="23" t="s">
        <v>754</v>
      </c>
      <c r="L337" s="23" t="str">
        <f>VLOOKUP(K337,Матрицы!B:C,2,0)</f>
        <v>село</v>
      </c>
      <c r="M337" s="31" t="s">
        <v>2030</v>
      </c>
      <c r="N337" s="28">
        <v>98635410101</v>
      </c>
      <c r="O337" s="36">
        <v>581</v>
      </c>
      <c r="P337" s="1">
        <v>2</v>
      </c>
      <c r="Q337" s="1" t="s">
        <v>2031</v>
      </c>
      <c r="R337" s="1" t="s">
        <v>2032</v>
      </c>
    </row>
    <row r="338" spans="1:18">
      <c r="A338" s="23">
        <v>337</v>
      </c>
      <c r="B338" s="27">
        <f t="shared" si="6"/>
        <v>98635415101</v>
      </c>
      <c r="C338" s="23" t="s">
        <v>735</v>
      </c>
      <c r="D338" s="28">
        <v>98600000</v>
      </c>
      <c r="E338" s="23" t="s">
        <v>735</v>
      </c>
      <c r="F338" s="28">
        <v>98000000</v>
      </c>
      <c r="G338" s="30" t="s">
        <v>934</v>
      </c>
      <c r="H338" s="28">
        <v>98635000</v>
      </c>
      <c r="I338" s="23" t="s">
        <v>2025</v>
      </c>
      <c r="J338" s="23" t="s">
        <v>1684</v>
      </c>
      <c r="K338" s="23" t="s">
        <v>754</v>
      </c>
      <c r="L338" s="23" t="str">
        <f>VLOOKUP(K338,Матрицы!B:C,2,0)</f>
        <v>село</v>
      </c>
      <c r="M338" s="31" t="s">
        <v>2033</v>
      </c>
      <c r="N338" s="28">
        <v>98635415101</v>
      </c>
      <c r="O338" s="36">
        <v>1195</v>
      </c>
      <c r="P338" s="1">
        <v>2</v>
      </c>
      <c r="Q338" s="1" t="s">
        <v>2034</v>
      </c>
      <c r="R338" s="1" t="s">
        <v>2035</v>
      </c>
    </row>
    <row r="339" spans="1:18">
      <c r="A339" s="23">
        <v>338</v>
      </c>
      <c r="B339" s="27">
        <f t="shared" si="6"/>
        <v>98635417101</v>
      </c>
      <c r="C339" s="23" t="s">
        <v>735</v>
      </c>
      <c r="D339" s="28">
        <v>98600000</v>
      </c>
      <c r="E339" s="23" t="s">
        <v>735</v>
      </c>
      <c r="F339" s="28">
        <v>98000000</v>
      </c>
      <c r="G339" s="30" t="s">
        <v>934</v>
      </c>
      <c r="H339" s="28">
        <v>98635000</v>
      </c>
      <c r="I339" s="23" t="s">
        <v>2025</v>
      </c>
      <c r="J339" s="23" t="s">
        <v>2036</v>
      </c>
      <c r="K339" s="23" t="s">
        <v>754</v>
      </c>
      <c r="L339" s="23" t="str">
        <f>VLOOKUP(K339,Матрицы!B:C,2,0)</f>
        <v>село</v>
      </c>
      <c r="M339" s="31" t="s">
        <v>2037</v>
      </c>
      <c r="N339" s="28">
        <v>98635417101</v>
      </c>
      <c r="O339" s="36">
        <v>202</v>
      </c>
      <c r="P339" s="1">
        <v>2</v>
      </c>
      <c r="Q339" s="1" t="s">
        <v>2038</v>
      </c>
      <c r="R339" s="1" t="s">
        <v>2039</v>
      </c>
    </row>
    <row r="340" spans="1:18">
      <c r="A340" s="23">
        <v>339</v>
      </c>
      <c r="B340" s="27">
        <f t="shared" si="6"/>
        <v>98635420101</v>
      </c>
      <c r="C340" s="23" t="s">
        <v>735</v>
      </c>
      <c r="D340" s="28">
        <v>98600000</v>
      </c>
      <c r="E340" s="23" t="s">
        <v>735</v>
      </c>
      <c r="F340" s="28">
        <v>98000000</v>
      </c>
      <c r="G340" s="30" t="s">
        <v>934</v>
      </c>
      <c r="H340" s="28">
        <v>98635000</v>
      </c>
      <c r="I340" s="23" t="s">
        <v>2025</v>
      </c>
      <c r="J340" s="23" t="s">
        <v>2040</v>
      </c>
      <c r="K340" s="23" t="s">
        <v>754</v>
      </c>
      <c r="L340" s="23" t="str">
        <f>VLOOKUP(K340,Матрицы!B:C,2,0)</f>
        <v>село</v>
      </c>
      <c r="M340" s="31" t="s">
        <v>1240</v>
      </c>
      <c r="N340" s="28">
        <v>98635420101</v>
      </c>
      <c r="O340" s="36">
        <v>469</v>
      </c>
      <c r="P340" s="1">
        <v>2</v>
      </c>
      <c r="Q340" s="1" t="s">
        <v>2041</v>
      </c>
      <c r="R340" s="1" t="s">
        <v>2042</v>
      </c>
    </row>
    <row r="341" spans="1:18">
      <c r="A341" s="23">
        <v>340</v>
      </c>
      <c r="B341" s="27">
        <f t="shared" si="6"/>
        <v>98635425101</v>
      </c>
      <c r="C341" s="23" t="s">
        <v>735</v>
      </c>
      <c r="D341" s="28">
        <v>98600000</v>
      </c>
      <c r="E341" s="23" t="s">
        <v>735</v>
      </c>
      <c r="F341" s="28">
        <v>98000000</v>
      </c>
      <c r="G341" s="30" t="s">
        <v>934</v>
      </c>
      <c r="H341" s="28">
        <v>98635000</v>
      </c>
      <c r="I341" s="23" t="s">
        <v>2025</v>
      </c>
      <c r="J341" s="23" t="s">
        <v>2043</v>
      </c>
      <c r="K341" s="23" t="s">
        <v>754</v>
      </c>
      <c r="L341" s="23" t="str">
        <f>VLOOKUP(K341,Матрицы!B:C,2,0)</f>
        <v>село</v>
      </c>
      <c r="M341" s="31" t="s">
        <v>2044</v>
      </c>
      <c r="N341" s="28">
        <v>98635425101</v>
      </c>
      <c r="O341" s="36">
        <v>10364</v>
      </c>
      <c r="P341" s="1">
        <v>2</v>
      </c>
      <c r="Q341" s="1" t="s">
        <v>2045</v>
      </c>
      <c r="R341" s="1" t="s">
        <v>2046</v>
      </c>
    </row>
    <row r="342" spans="1:18">
      <c r="A342" s="23">
        <v>341</v>
      </c>
      <c r="B342" s="27">
        <f t="shared" si="6"/>
        <v>98635430101</v>
      </c>
      <c r="C342" s="23" t="s">
        <v>735</v>
      </c>
      <c r="D342" s="28">
        <v>98600000</v>
      </c>
      <c r="E342" s="23" t="s">
        <v>735</v>
      </c>
      <c r="F342" s="28">
        <v>98000000</v>
      </c>
      <c r="G342" s="30" t="s">
        <v>934</v>
      </c>
      <c r="H342" s="28">
        <v>98635000</v>
      </c>
      <c r="I342" s="23" t="s">
        <v>2025</v>
      </c>
      <c r="J342" s="23" t="s">
        <v>2047</v>
      </c>
      <c r="K342" s="23" t="s">
        <v>754</v>
      </c>
      <c r="L342" s="23" t="str">
        <f>VLOOKUP(K342,Матрицы!B:C,2,0)</f>
        <v>село</v>
      </c>
      <c r="M342" s="31" t="s">
        <v>873</v>
      </c>
      <c r="N342" s="28">
        <v>98635430101</v>
      </c>
      <c r="O342" s="36">
        <v>974</v>
      </c>
      <c r="P342" s="1">
        <v>2</v>
      </c>
      <c r="Q342" s="1" t="s">
        <v>2048</v>
      </c>
      <c r="R342" s="1" t="s">
        <v>2049</v>
      </c>
    </row>
    <row r="343" spans="1:18">
      <c r="A343" s="23">
        <v>342</v>
      </c>
      <c r="B343" s="27">
        <f t="shared" si="6"/>
        <v>98635432101</v>
      </c>
      <c r="C343" s="23" t="s">
        <v>735</v>
      </c>
      <c r="D343" s="28">
        <v>98600000</v>
      </c>
      <c r="E343" s="23" t="s">
        <v>735</v>
      </c>
      <c r="F343" s="28">
        <v>98000000</v>
      </c>
      <c r="G343" s="30" t="s">
        <v>934</v>
      </c>
      <c r="H343" s="28">
        <v>98635000</v>
      </c>
      <c r="I343" s="23" t="s">
        <v>2025</v>
      </c>
      <c r="J343" s="23" t="s">
        <v>2050</v>
      </c>
      <c r="K343" s="23" t="s">
        <v>754</v>
      </c>
      <c r="L343" s="23" t="str">
        <f>VLOOKUP(K343,Матрицы!B:C,2,0)</f>
        <v>село</v>
      </c>
      <c r="M343" s="31" t="s">
        <v>2051</v>
      </c>
      <c r="N343" s="28">
        <v>98635432101</v>
      </c>
      <c r="O343" s="36">
        <v>453</v>
      </c>
      <c r="P343" s="1">
        <v>2</v>
      </c>
      <c r="Q343" s="1" t="s">
        <v>2052</v>
      </c>
      <c r="R343" s="1" t="s">
        <v>2053</v>
      </c>
    </row>
    <row r="344" spans="1:18">
      <c r="A344" s="23">
        <v>343</v>
      </c>
      <c r="B344" s="27">
        <f t="shared" si="6"/>
        <v>98635435101</v>
      </c>
      <c r="C344" s="23" t="s">
        <v>735</v>
      </c>
      <c r="D344" s="28">
        <v>98600000</v>
      </c>
      <c r="E344" s="23" t="s">
        <v>735</v>
      </c>
      <c r="F344" s="28">
        <v>98000000</v>
      </c>
      <c r="G344" s="30" t="s">
        <v>934</v>
      </c>
      <c r="H344" s="28">
        <v>98635000</v>
      </c>
      <c r="I344" s="23" t="s">
        <v>2025</v>
      </c>
      <c r="J344" s="23" t="s">
        <v>2054</v>
      </c>
      <c r="K344" s="23" t="s">
        <v>754</v>
      </c>
      <c r="L344" s="23" t="str">
        <f>VLOOKUP(K344,Матрицы!B:C,2,0)</f>
        <v>село</v>
      </c>
      <c r="M344" s="31" t="s">
        <v>2055</v>
      </c>
      <c r="N344" s="28">
        <v>98635435101</v>
      </c>
      <c r="O344" s="36">
        <v>961</v>
      </c>
      <c r="P344" s="1">
        <v>2</v>
      </c>
      <c r="Q344" s="1" t="s">
        <v>2056</v>
      </c>
      <c r="R344" s="1" t="s">
        <v>2057</v>
      </c>
    </row>
    <row r="345" spans="1:18">
      <c r="A345" s="23">
        <v>344</v>
      </c>
      <c r="B345" s="27">
        <f t="shared" si="6"/>
        <v>98635440101</v>
      </c>
      <c r="C345" s="23" t="s">
        <v>735</v>
      </c>
      <c r="D345" s="28">
        <v>98600000</v>
      </c>
      <c r="E345" s="23" t="s">
        <v>735</v>
      </c>
      <c r="F345" s="28">
        <v>98000000</v>
      </c>
      <c r="G345" s="30" t="s">
        <v>934</v>
      </c>
      <c r="H345" s="28">
        <v>98635000</v>
      </c>
      <c r="I345" s="23" t="s">
        <v>2025</v>
      </c>
      <c r="J345" s="23" t="s">
        <v>2058</v>
      </c>
      <c r="K345" s="23" t="s">
        <v>754</v>
      </c>
      <c r="L345" s="23" t="str">
        <f>VLOOKUP(K345,Матрицы!B:C,2,0)</f>
        <v>село</v>
      </c>
      <c r="M345" s="31" t="s">
        <v>2059</v>
      </c>
      <c r="N345" s="28">
        <v>98635440101</v>
      </c>
      <c r="O345" s="36">
        <v>324</v>
      </c>
      <c r="P345" s="1">
        <v>2</v>
      </c>
      <c r="Q345" s="1" t="s">
        <v>2060</v>
      </c>
      <c r="R345" s="1" t="s">
        <v>2061</v>
      </c>
    </row>
    <row r="346" spans="1:18">
      <c r="A346" s="23">
        <v>345</v>
      </c>
      <c r="B346" s="27">
        <f t="shared" si="6"/>
        <v>98635443101</v>
      </c>
      <c r="C346" s="23" t="s">
        <v>735</v>
      </c>
      <c r="D346" s="28">
        <v>98600000</v>
      </c>
      <c r="E346" s="23" t="s">
        <v>735</v>
      </c>
      <c r="F346" s="28">
        <v>98000000</v>
      </c>
      <c r="G346" s="30" t="s">
        <v>934</v>
      </c>
      <c r="H346" s="28">
        <v>98635000</v>
      </c>
      <c r="I346" s="23" t="s">
        <v>2025</v>
      </c>
      <c r="J346" s="23" t="s">
        <v>2062</v>
      </c>
      <c r="K346" s="23" t="s">
        <v>754</v>
      </c>
      <c r="L346" s="23" t="str">
        <f>VLOOKUP(K346,Матрицы!B:C,2,0)</f>
        <v>село</v>
      </c>
      <c r="M346" s="31" t="s">
        <v>2063</v>
      </c>
      <c r="N346" s="28">
        <v>98635443101</v>
      </c>
      <c r="O346" s="36">
        <v>292</v>
      </c>
      <c r="P346" s="1">
        <v>2</v>
      </c>
      <c r="Q346" s="1" t="s">
        <v>2064</v>
      </c>
      <c r="R346" s="1" t="s">
        <v>2065</v>
      </c>
    </row>
    <row r="347" spans="1:18">
      <c r="A347" s="23">
        <v>346</v>
      </c>
      <c r="B347" s="27">
        <f t="shared" si="6"/>
        <v>98635445101</v>
      </c>
      <c r="C347" s="23" t="s">
        <v>735</v>
      </c>
      <c r="D347" s="28">
        <v>98600000</v>
      </c>
      <c r="E347" s="23" t="s">
        <v>735</v>
      </c>
      <c r="F347" s="28">
        <v>98000000</v>
      </c>
      <c r="G347" s="30" t="s">
        <v>934</v>
      </c>
      <c r="H347" s="28">
        <v>98635000</v>
      </c>
      <c r="I347" s="23" t="s">
        <v>2025</v>
      </c>
      <c r="J347" s="23" t="s">
        <v>2066</v>
      </c>
      <c r="K347" s="23" t="s">
        <v>754</v>
      </c>
      <c r="L347" s="23" t="str">
        <f>VLOOKUP(K347,Матрицы!B:C,2,0)</f>
        <v>село</v>
      </c>
      <c r="M347" s="31" t="s">
        <v>2067</v>
      </c>
      <c r="N347" s="28">
        <v>98635445101</v>
      </c>
      <c r="O347" s="36">
        <v>382</v>
      </c>
      <c r="P347" s="1">
        <v>2</v>
      </c>
      <c r="Q347" s="1" t="s">
        <v>2068</v>
      </c>
      <c r="R347" s="1" t="s">
        <v>2069</v>
      </c>
    </row>
    <row r="348" spans="1:18">
      <c r="A348" s="23">
        <v>347</v>
      </c>
      <c r="B348" s="27">
        <f t="shared" si="6"/>
        <v>98635447101</v>
      </c>
      <c r="C348" s="23" t="s">
        <v>735</v>
      </c>
      <c r="D348" s="28">
        <v>98600000</v>
      </c>
      <c r="E348" s="23" t="s">
        <v>735</v>
      </c>
      <c r="F348" s="28">
        <v>98000000</v>
      </c>
      <c r="G348" s="30" t="s">
        <v>934</v>
      </c>
      <c r="H348" s="28">
        <v>98635000</v>
      </c>
      <c r="I348" s="23" t="s">
        <v>2025</v>
      </c>
      <c r="J348" s="23" t="s">
        <v>2070</v>
      </c>
      <c r="K348" s="23" t="s">
        <v>754</v>
      </c>
      <c r="L348" s="23" t="str">
        <f>VLOOKUP(K348,Матрицы!B:C,2,0)</f>
        <v>село</v>
      </c>
      <c r="M348" s="31" t="s">
        <v>2071</v>
      </c>
      <c r="N348" s="28">
        <v>98635447101</v>
      </c>
      <c r="O348" s="36">
        <v>130</v>
      </c>
      <c r="P348" s="1">
        <v>2</v>
      </c>
      <c r="Q348" s="1" t="s">
        <v>2072</v>
      </c>
      <c r="R348" s="1" t="s">
        <v>2073</v>
      </c>
    </row>
    <row r="349" spans="1:18">
      <c r="A349" s="23">
        <v>348</v>
      </c>
      <c r="B349" s="27">
        <f t="shared" si="6"/>
        <v>98635450101</v>
      </c>
      <c r="C349" s="23" t="s">
        <v>735</v>
      </c>
      <c r="D349" s="28">
        <v>98600000</v>
      </c>
      <c r="E349" s="23" t="s">
        <v>735</v>
      </c>
      <c r="F349" s="28">
        <v>98000000</v>
      </c>
      <c r="G349" s="30" t="s">
        <v>934</v>
      </c>
      <c r="H349" s="28">
        <v>98635000</v>
      </c>
      <c r="I349" s="23" t="s">
        <v>2025</v>
      </c>
      <c r="J349" s="23" t="s">
        <v>2074</v>
      </c>
      <c r="K349" s="23" t="s">
        <v>754</v>
      </c>
      <c r="L349" s="23" t="str">
        <f>VLOOKUP(K349,Матрицы!B:C,2,0)</f>
        <v>село</v>
      </c>
      <c r="M349" s="31" t="s">
        <v>2075</v>
      </c>
      <c r="N349" s="28">
        <v>98635450101</v>
      </c>
      <c r="O349" s="36">
        <v>1906</v>
      </c>
      <c r="P349" s="1">
        <v>2</v>
      </c>
      <c r="Q349" s="1" t="s">
        <v>2076</v>
      </c>
      <c r="R349" s="1" t="s">
        <v>2077</v>
      </c>
    </row>
    <row r="350" spans="1:18">
      <c r="A350" s="23">
        <v>349</v>
      </c>
      <c r="B350" s="27">
        <f t="shared" si="6"/>
        <v>98635455101</v>
      </c>
      <c r="C350" s="23" t="s">
        <v>735</v>
      </c>
      <c r="D350" s="28">
        <v>98600000</v>
      </c>
      <c r="E350" s="23" t="s">
        <v>735</v>
      </c>
      <c r="F350" s="28">
        <v>98000000</v>
      </c>
      <c r="G350" s="30" t="s">
        <v>934</v>
      </c>
      <c r="H350" s="28">
        <v>98635000</v>
      </c>
      <c r="I350" s="23" t="s">
        <v>2025</v>
      </c>
      <c r="J350" s="23" t="s">
        <v>2078</v>
      </c>
      <c r="K350" s="23" t="s">
        <v>754</v>
      </c>
      <c r="L350" s="23" t="str">
        <f>VLOOKUP(K350,Матрицы!B:C,2,0)</f>
        <v>село</v>
      </c>
      <c r="M350" s="31" t="s">
        <v>2079</v>
      </c>
      <c r="N350" s="28">
        <v>98635455101</v>
      </c>
      <c r="O350" s="36">
        <v>2065</v>
      </c>
      <c r="P350" s="1">
        <v>2</v>
      </c>
      <c r="Q350" s="1" t="s">
        <v>2080</v>
      </c>
      <c r="R350" s="1" t="s">
        <v>2081</v>
      </c>
    </row>
    <row r="351" spans="1:18">
      <c r="A351" s="23">
        <v>350</v>
      </c>
      <c r="B351" s="27">
        <f t="shared" si="6"/>
        <v>98635455106</v>
      </c>
      <c r="C351" s="23" t="s">
        <v>735</v>
      </c>
      <c r="D351" s="28">
        <v>98600000</v>
      </c>
      <c r="E351" s="23" t="s">
        <v>735</v>
      </c>
      <c r="F351" s="28">
        <v>98000000</v>
      </c>
      <c r="G351" s="30" t="s">
        <v>934</v>
      </c>
      <c r="H351" s="28">
        <v>98635000</v>
      </c>
      <c r="I351" s="23" t="s">
        <v>2025</v>
      </c>
      <c r="J351" s="23" t="s">
        <v>2078</v>
      </c>
      <c r="K351" s="23" t="s">
        <v>754</v>
      </c>
      <c r="L351" s="23" t="str">
        <f>VLOOKUP(K351,Матрицы!B:C,2,0)</f>
        <v>село</v>
      </c>
      <c r="M351" s="31" t="s">
        <v>2082</v>
      </c>
      <c r="N351" s="28">
        <v>98635455106</v>
      </c>
      <c r="O351" s="36">
        <v>770</v>
      </c>
      <c r="P351" s="1">
        <v>2</v>
      </c>
      <c r="Q351" s="1" t="s">
        <v>2083</v>
      </c>
      <c r="R351" s="1" t="s">
        <v>2084</v>
      </c>
    </row>
    <row r="352" spans="1:18">
      <c r="A352" s="23">
        <v>351</v>
      </c>
      <c r="B352" s="27">
        <f t="shared" si="6"/>
        <v>98635455111</v>
      </c>
      <c r="C352" s="23" t="s">
        <v>735</v>
      </c>
      <c r="D352" s="28">
        <v>98600000</v>
      </c>
      <c r="E352" s="23" t="s">
        <v>735</v>
      </c>
      <c r="F352" s="28">
        <v>98000000</v>
      </c>
      <c r="G352" s="30" t="s">
        <v>934</v>
      </c>
      <c r="H352" s="28">
        <v>98635000</v>
      </c>
      <c r="I352" s="23" t="s">
        <v>2025</v>
      </c>
      <c r="J352" s="23" t="s">
        <v>2078</v>
      </c>
      <c r="K352" s="23" t="s">
        <v>754</v>
      </c>
      <c r="L352" s="23" t="str">
        <f>VLOOKUP(K352,Матрицы!B:C,2,0)</f>
        <v>село</v>
      </c>
      <c r="M352" s="31" t="s">
        <v>2085</v>
      </c>
      <c r="N352" s="28">
        <v>98635455111</v>
      </c>
      <c r="O352" s="36">
        <v>277</v>
      </c>
      <c r="P352" s="1">
        <v>2</v>
      </c>
      <c r="Q352" s="1" t="s">
        <v>2086</v>
      </c>
      <c r="R352" s="1" t="s">
        <v>2087</v>
      </c>
    </row>
    <row r="353" spans="1:18">
      <c r="A353" s="23">
        <v>352</v>
      </c>
      <c r="B353" s="27">
        <f t="shared" si="6"/>
        <v>98635460101</v>
      </c>
      <c r="C353" s="23" t="s">
        <v>735</v>
      </c>
      <c r="D353" s="28">
        <v>98600000</v>
      </c>
      <c r="E353" s="23" t="s">
        <v>735</v>
      </c>
      <c r="F353" s="28">
        <v>98000000</v>
      </c>
      <c r="G353" s="30" t="s">
        <v>934</v>
      </c>
      <c r="H353" s="28">
        <v>98635000</v>
      </c>
      <c r="I353" s="23" t="s">
        <v>2025</v>
      </c>
      <c r="J353" s="23" t="s">
        <v>2088</v>
      </c>
      <c r="K353" s="23" t="s">
        <v>754</v>
      </c>
      <c r="L353" s="23" t="str">
        <f>VLOOKUP(K353,Матрицы!B:C,2,0)</f>
        <v>село</v>
      </c>
      <c r="M353" s="31" t="s">
        <v>1375</v>
      </c>
      <c r="N353" s="28">
        <v>98635460101</v>
      </c>
      <c r="O353" s="36">
        <v>1053</v>
      </c>
      <c r="P353" s="1">
        <v>2</v>
      </c>
      <c r="Q353" s="1" t="s">
        <v>2089</v>
      </c>
      <c r="R353" s="1" t="s">
        <v>2090</v>
      </c>
    </row>
    <row r="354" spans="1:18">
      <c r="A354" s="23">
        <v>353</v>
      </c>
      <c r="B354" s="27">
        <f t="shared" si="6"/>
        <v>98635465101</v>
      </c>
      <c r="C354" s="23" t="s">
        <v>735</v>
      </c>
      <c r="D354" s="28">
        <v>98600000</v>
      </c>
      <c r="E354" s="23" t="s">
        <v>735</v>
      </c>
      <c r="F354" s="28">
        <v>98000000</v>
      </c>
      <c r="G354" s="30" t="s">
        <v>934</v>
      </c>
      <c r="H354" s="28">
        <v>98635000</v>
      </c>
      <c r="I354" s="23" t="s">
        <v>2025</v>
      </c>
      <c r="J354" s="23" t="s">
        <v>2091</v>
      </c>
      <c r="K354" s="23" t="s">
        <v>754</v>
      </c>
      <c r="L354" s="23" t="str">
        <f>VLOOKUP(K354,Матрицы!B:C,2,0)</f>
        <v>село</v>
      </c>
      <c r="M354" s="31" t="s">
        <v>1427</v>
      </c>
      <c r="N354" s="28">
        <v>98635465101</v>
      </c>
      <c r="O354" s="36">
        <v>1647</v>
      </c>
      <c r="P354" s="1">
        <v>2</v>
      </c>
      <c r="Q354" s="1" t="s">
        <v>2092</v>
      </c>
      <c r="R354" s="1" t="s">
        <v>2093</v>
      </c>
    </row>
    <row r="355" spans="1:18">
      <c r="A355" s="23">
        <v>354</v>
      </c>
      <c r="B355" s="27">
        <f t="shared" si="6"/>
        <v>98635466101</v>
      </c>
      <c r="C355" s="23" t="s">
        <v>735</v>
      </c>
      <c r="D355" s="28">
        <v>98600000</v>
      </c>
      <c r="E355" s="23" t="s">
        <v>735</v>
      </c>
      <c r="F355" s="28">
        <v>98000000</v>
      </c>
      <c r="G355" s="30" t="s">
        <v>934</v>
      </c>
      <c r="H355" s="28">
        <v>98635000</v>
      </c>
      <c r="I355" s="23" t="s">
        <v>2025</v>
      </c>
      <c r="J355" s="23" t="s">
        <v>2094</v>
      </c>
      <c r="K355" s="23" t="s">
        <v>754</v>
      </c>
      <c r="L355" s="23" t="str">
        <f>VLOOKUP(K355,Матрицы!B:C,2,0)</f>
        <v>село</v>
      </c>
      <c r="M355" s="31" t="s">
        <v>2095</v>
      </c>
      <c r="N355" s="28">
        <v>98635466101</v>
      </c>
      <c r="O355" s="36">
        <v>735</v>
      </c>
      <c r="P355" s="1">
        <v>2</v>
      </c>
      <c r="Q355" s="1" t="s">
        <v>2096</v>
      </c>
      <c r="R355" s="1" t="s">
        <v>2097</v>
      </c>
    </row>
    <row r="356" spans="1:18">
      <c r="A356" s="23">
        <v>355</v>
      </c>
      <c r="B356" s="27">
        <f t="shared" si="6"/>
        <v>98635466106</v>
      </c>
      <c r="C356" s="23" t="s">
        <v>735</v>
      </c>
      <c r="D356" s="28">
        <v>98600000</v>
      </c>
      <c r="E356" s="23" t="s">
        <v>735</v>
      </c>
      <c r="F356" s="28">
        <v>98000000</v>
      </c>
      <c r="G356" s="30" t="s">
        <v>934</v>
      </c>
      <c r="H356" s="28">
        <v>98635000</v>
      </c>
      <c r="I356" s="23" t="s">
        <v>2025</v>
      </c>
      <c r="J356" s="23" t="s">
        <v>2094</v>
      </c>
      <c r="K356" s="23" t="s">
        <v>754</v>
      </c>
      <c r="L356" s="23" t="str">
        <f>VLOOKUP(K356,Матрицы!B:C,2,0)</f>
        <v>село</v>
      </c>
      <c r="M356" s="31" t="s">
        <v>2098</v>
      </c>
      <c r="N356" s="28">
        <v>98635466106</v>
      </c>
      <c r="O356" s="36">
        <v>27</v>
      </c>
      <c r="P356" s="1">
        <v>2</v>
      </c>
      <c r="Q356" s="1" t="s">
        <v>2099</v>
      </c>
      <c r="R356" s="1" t="s">
        <v>2100</v>
      </c>
    </row>
    <row r="357" spans="1:18">
      <c r="A357" s="23">
        <v>356</v>
      </c>
      <c r="B357" s="27">
        <f t="shared" si="6"/>
        <v>98635466111</v>
      </c>
      <c r="C357" s="23" t="s">
        <v>735</v>
      </c>
      <c r="D357" s="28">
        <v>98600000</v>
      </c>
      <c r="E357" s="23" t="s">
        <v>735</v>
      </c>
      <c r="F357" s="28">
        <v>98000000</v>
      </c>
      <c r="G357" s="30" t="s">
        <v>934</v>
      </c>
      <c r="H357" s="28">
        <v>98635000</v>
      </c>
      <c r="I357" s="23" t="s">
        <v>2025</v>
      </c>
      <c r="J357" s="23" t="s">
        <v>2094</v>
      </c>
      <c r="K357" s="23" t="s">
        <v>754</v>
      </c>
      <c r="L357" s="23" t="str">
        <f>VLOOKUP(K357,Матрицы!B:C,2,0)</f>
        <v>село</v>
      </c>
      <c r="M357" s="31" t="s">
        <v>2101</v>
      </c>
      <c r="N357" s="28">
        <v>98635466111</v>
      </c>
      <c r="O357" s="36">
        <v>41</v>
      </c>
      <c r="P357" s="1">
        <v>2</v>
      </c>
      <c r="Q357" s="1" t="s">
        <v>2102</v>
      </c>
      <c r="R357" s="1" t="s">
        <v>2103</v>
      </c>
    </row>
    <row r="358" spans="1:18">
      <c r="A358" s="23">
        <v>357</v>
      </c>
      <c r="B358" s="27">
        <f t="shared" si="6"/>
        <v>98635466116</v>
      </c>
      <c r="C358" s="23" t="s">
        <v>735</v>
      </c>
      <c r="D358" s="28">
        <v>98600000</v>
      </c>
      <c r="E358" s="23" t="s">
        <v>735</v>
      </c>
      <c r="F358" s="28">
        <v>98000000</v>
      </c>
      <c r="G358" s="30" t="s">
        <v>934</v>
      </c>
      <c r="H358" s="28">
        <v>98635000</v>
      </c>
      <c r="I358" s="23" t="s">
        <v>2025</v>
      </c>
      <c r="J358" s="23" t="s">
        <v>2094</v>
      </c>
      <c r="K358" s="23" t="s">
        <v>754</v>
      </c>
      <c r="L358" s="23" t="str">
        <f>VLOOKUP(K358,Матрицы!B:C,2,0)</f>
        <v>село</v>
      </c>
      <c r="M358" s="31" t="s">
        <v>2104</v>
      </c>
      <c r="N358" s="28">
        <v>98635466116</v>
      </c>
      <c r="O358" s="36">
        <v>1</v>
      </c>
      <c r="P358" s="1">
        <v>2</v>
      </c>
      <c r="Q358" s="1" t="s">
        <v>2105</v>
      </c>
      <c r="R358" s="1" t="s">
        <v>2106</v>
      </c>
    </row>
    <row r="359" spans="1:18">
      <c r="A359" s="23">
        <v>358</v>
      </c>
      <c r="B359" s="27">
        <f t="shared" si="6"/>
        <v>98635470101</v>
      </c>
      <c r="C359" s="23" t="s">
        <v>735</v>
      </c>
      <c r="D359" s="28">
        <v>98600000</v>
      </c>
      <c r="E359" s="23" t="s">
        <v>735</v>
      </c>
      <c r="F359" s="28">
        <v>98000000</v>
      </c>
      <c r="G359" s="30" t="s">
        <v>934</v>
      </c>
      <c r="H359" s="28">
        <v>98635000</v>
      </c>
      <c r="I359" s="23" t="s">
        <v>2025</v>
      </c>
      <c r="J359" s="23" t="s">
        <v>2107</v>
      </c>
      <c r="K359" s="23" t="s">
        <v>754</v>
      </c>
      <c r="L359" s="23" t="str">
        <f>VLOOKUP(K359,Матрицы!B:C,2,0)</f>
        <v>село</v>
      </c>
      <c r="M359" s="31" t="s">
        <v>2108</v>
      </c>
      <c r="N359" s="28">
        <v>98635470101</v>
      </c>
      <c r="O359" s="36">
        <v>139</v>
      </c>
      <c r="P359" s="1">
        <v>2</v>
      </c>
      <c r="Q359" s="1" t="s">
        <v>2109</v>
      </c>
      <c r="R359" s="1" t="s">
        <v>2110</v>
      </c>
    </row>
    <row r="360" spans="1:18">
      <c r="A360" s="23">
        <v>359</v>
      </c>
      <c r="B360" s="27">
        <f t="shared" si="6"/>
        <v>98637151051</v>
      </c>
      <c r="C360" s="23" t="s">
        <v>735</v>
      </c>
      <c r="D360" s="28">
        <v>98600000</v>
      </c>
      <c r="E360" s="23" t="s">
        <v>735</v>
      </c>
      <c r="F360" s="28">
        <v>98000000</v>
      </c>
      <c r="G360" s="30" t="s">
        <v>942</v>
      </c>
      <c r="H360" s="28">
        <v>98637000</v>
      </c>
      <c r="I360" s="23" t="s">
        <v>2111</v>
      </c>
      <c r="J360" s="23" t="s">
        <v>2112</v>
      </c>
      <c r="K360" s="23" t="s">
        <v>819</v>
      </c>
      <c r="L360" s="23" t="str">
        <f>VLOOKUP(K360,Матрицы!B:C,2,0)</f>
        <v>поселок</v>
      </c>
      <c r="M360" s="31" t="s">
        <v>691</v>
      </c>
      <c r="N360" s="28">
        <v>98637151051</v>
      </c>
      <c r="O360" s="36">
        <v>2641</v>
      </c>
      <c r="P360" s="1">
        <v>1</v>
      </c>
      <c r="Q360" s="1" t="s">
        <v>2113</v>
      </c>
      <c r="R360" s="1" t="s">
        <v>2114</v>
      </c>
    </row>
    <row r="361" spans="1:18">
      <c r="A361" s="23">
        <v>360</v>
      </c>
      <c r="B361" s="27">
        <f t="shared" si="6"/>
        <v>98637411101</v>
      </c>
      <c r="C361" s="23" t="s">
        <v>735</v>
      </c>
      <c r="D361" s="28">
        <v>98600000</v>
      </c>
      <c r="E361" s="23" t="s">
        <v>735</v>
      </c>
      <c r="F361" s="28">
        <v>98000000</v>
      </c>
      <c r="G361" s="30" t="s">
        <v>942</v>
      </c>
      <c r="H361" s="28">
        <v>98637000</v>
      </c>
      <c r="I361" s="23" t="s">
        <v>2115</v>
      </c>
      <c r="J361" s="23" t="s">
        <v>2116</v>
      </c>
      <c r="K361" s="23" t="s">
        <v>754</v>
      </c>
      <c r="L361" s="23" t="str">
        <f>VLOOKUP(K361,Матрицы!B:C,2,0)</f>
        <v>село</v>
      </c>
      <c r="M361" s="31" t="s">
        <v>714</v>
      </c>
      <c r="N361" s="28">
        <v>98637411101</v>
      </c>
      <c r="O361" s="36">
        <v>741</v>
      </c>
      <c r="P361" s="1">
        <v>2</v>
      </c>
      <c r="Q361" s="1" t="s">
        <v>2117</v>
      </c>
      <c r="R361" s="1" t="s">
        <v>2118</v>
      </c>
    </row>
    <row r="362" spans="1:18">
      <c r="A362" s="23">
        <v>361</v>
      </c>
      <c r="B362" s="27">
        <f t="shared" si="6"/>
        <v>98637424101</v>
      </c>
      <c r="C362" s="23" t="s">
        <v>735</v>
      </c>
      <c r="D362" s="28">
        <v>98600000</v>
      </c>
      <c r="E362" s="23" t="s">
        <v>735</v>
      </c>
      <c r="F362" s="28">
        <v>98000000</v>
      </c>
      <c r="G362" s="30" t="s">
        <v>942</v>
      </c>
      <c r="H362" s="28">
        <v>98637000</v>
      </c>
      <c r="I362" s="23" t="s">
        <v>2115</v>
      </c>
      <c r="J362" s="23" t="s">
        <v>2119</v>
      </c>
      <c r="K362" s="23" t="s">
        <v>754</v>
      </c>
      <c r="L362" s="23" t="str">
        <f>VLOOKUP(K362,Матрицы!B:C,2,0)</f>
        <v>село</v>
      </c>
      <c r="M362" s="31" t="s">
        <v>2120</v>
      </c>
      <c r="N362" s="28">
        <v>98637424101</v>
      </c>
      <c r="O362" s="36">
        <v>197</v>
      </c>
      <c r="P362" s="1">
        <v>2</v>
      </c>
      <c r="Q362" s="1" t="s">
        <v>2121</v>
      </c>
      <c r="R362" s="1" t="s">
        <v>2122</v>
      </c>
    </row>
    <row r="363" spans="1:18">
      <c r="A363" s="23">
        <v>362</v>
      </c>
      <c r="B363" s="27">
        <f t="shared" si="6"/>
        <v>98637424106</v>
      </c>
      <c r="C363" s="23" t="s">
        <v>735</v>
      </c>
      <c r="D363" s="28">
        <v>98600000</v>
      </c>
      <c r="E363" s="23" t="s">
        <v>735</v>
      </c>
      <c r="F363" s="28">
        <v>98000000</v>
      </c>
      <c r="G363" s="30" t="s">
        <v>942</v>
      </c>
      <c r="H363" s="28">
        <v>98637000</v>
      </c>
      <c r="I363" s="23" t="s">
        <v>2115</v>
      </c>
      <c r="J363" s="23" t="s">
        <v>2119</v>
      </c>
      <c r="K363" s="23" t="s">
        <v>754</v>
      </c>
      <c r="L363" s="23" t="str">
        <f>VLOOKUP(K363,Матрицы!B:C,2,0)</f>
        <v>село</v>
      </c>
      <c r="M363" s="31" t="s">
        <v>2123</v>
      </c>
      <c r="N363" s="28">
        <v>98637424106</v>
      </c>
      <c r="O363" s="32">
        <v>0</v>
      </c>
      <c r="P363" s="1">
        <v>2</v>
      </c>
      <c r="Q363" s="1" t="s">
        <v>2124</v>
      </c>
      <c r="R363" s="1" t="s">
        <v>2125</v>
      </c>
    </row>
    <row r="364" spans="1:18">
      <c r="A364" s="23">
        <v>363</v>
      </c>
      <c r="B364" s="27">
        <f t="shared" si="6"/>
        <v>98637424111</v>
      </c>
      <c r="C364" s="23" t="s">
        <v>735</v>
      </c>
      <c r="D364" s="28">
        <v>98600000</v>
      </c>
      <c r="E364" s="23" t="s">
        <v>735</v>
      </c>
      <c r="F364" s="28">
        <v>98000000</v>
      </c>
      <c r="G364" s="30" t="s">
        <v>942</v>
      </c>
      <c r="H364" s="28">
        <v>98637000</v>
      </c>
      <c r="I364" s="23" t="s">
        <v>2115</v>
      </c>
      <c r="J364" s="23" t="s">
        <v>2119</v>
      </c>
      <c r="K364" s="23" t="s">
        <v>754</v>
      </c>
      <c r="L364" s="23" t="str">
        <f>VLOOKUP(K364,Матрицы!B:C,2,0)</f>
        <v>село</v>
      </c>
      <c r="M364" s="31" t="s">
        <v>2126</v>
      </c>
      <c r="N364" s="28">
        <v>98637424111</v>
      </c>
      <c r="O364" s="32">
        <v>0</v>
      </c>
      <c r="P364" s="1">
        <v>2</v>
      </c>
      <c r="Q364" s="1" t="s">
        <v>2127</v>
      </c>
      <c r="R364" s="1" t="s">
        <v>2128</v>
      </c>
    </row>
    <row r="365" spans="1:18">
      <c r="A365" s="23">
        <v>364</v>
      </c>
      <c r="B365" s="27">
        <f t="shared" si="6"/>
        <v>98637424116</v>
      </c>
      <c r="C365" s="23" t="s">
        <v>735</v>
      </c>
      <c r="D365" s="28">
        <v>98600000</v>
      </c>
      <c r="E365" s="23" t="s">
        <v>735</v>
      </c>
      <c r="F365" s="28">
        <v>98000000</v>
      </c>
      <c r="G365" s="30" t="s">
        <v>942</v>
      </c>
      <c r="H365" s="28">
        <v>98637000</v>
      </c>
      <c r="I365" s="23" t="s">
        <v>2115</v>
      </c>
      <c r="J365" s="23" t="s">
        <v>2119</v>
      </c>
      <c r="K365" s="23" t="s">
        <v>754</v>
      </c>
      <c r="L365" s="23" t="str">
        <f>VLOOKUP(K365,Матрицы!B:C,2,0)</f>
        <v>село</v>
      </c>
      <c r="M365" s="31" t="s">
        <v>2129</v>
      </c>
      <c r="N365" s="28">
        <v>98637424116</v>
      </c>
      <c r="O365" s="32">
        <v>0</v>
      </c>
      <c r="P365" s="1">
        <v>2</v>
      </c>
      <c r="Q365" s="1" t="s">
        <v>2130</v>
      </c>
      <c r="R365" s="1" t="s">
        <v>2131</v>
      </c>
    </row>
    <row r="366" spans="1:18">
      <c r="A366" s="23">
        <v>365</v>
      </c>
      <c r="B366" s="27">
        <f t="shared" si="6"/>
        <v>98637424121</v>
      </c>
      <c r="C366" s="23" t="s">
        <v>735</v>
      </c>
      <c r="D366" s="28">
        <v>98600000</v>
      </c>
      <c r="E366" s="23" t="s">
        <v>735</v>
      </c>
      <c r="F366" s="28">
        <v>98000000</v>
      </c>
      <c r="G366" s="30" t="s">
        <v>942</v>
      </c>
      <c r="H366" s="28">
        <v>98637000</v>
      </c>
      <c r="I366" s="23" t="s">
        <v>2115</v>
      </c>
      <c r="J366" s="23" t="s">
        <v>2119</v>
      </c>
      <c r="K366" s="23" t="s">
        <v>754</v>
      </c>
      <c r="L366" s="23" t="str">
        <f>VLOOKUP(K366,Матрицы!B:C,2,0)</f>
        <v>село</v>
      </c>
      <c r="M366" s="31" t="s">
        <v>2132</v>
      </c>
      <c r="N366" s="28">
        <v>98637424121</v>
      </c>
      <c r="O366" s="32">
        <v>0</v>
      </c>
      <c r="P366" s="1">
        <v>2</v>
      </c>
      <c r="Q366" s="1" t="s">
        <v>2133</v>
      </c>
      <c r="R366" s="1" t="s">
        <v>2134</v>
      </c>
    </row>
    <row r="367" spans="1:18">
      <c r="A367" s="23">
        <v>366</v>
      </c>
      <c r="B367" s="27">
        <f t="shared" si="6"/>
        <v>98637424126</v>
      </c>
      <c r="C367" s="23" t="s">
        <v>735</v>
      </c>
      <c r="D367" s="28">
        <v>98600000</v>
      </c>
      <c r="E367" s="23" t="s">
        <v>735</v>
      </c>
      <c r="F367" s="28">
        <v>98000000</v>
      </c>
      <c r="G367" s="30" t="s">
        <v>942</v>
      </c>
      <c r="H367" s="28">
        <v>98637000</v>
      </c>
      <c r="I367" s="23" t="s">
        <v>2115</v>
      </c>
      <c r="J367" s="23" t="s">
        <v>2119</v>
      </c>
      <c r="K367" s="23" t="s">
        <v>754</v>
      </c>
      <c r="L367" s="23" t="str">
        <f>VLOOKUP(K367,Матрицы!B:C,2,0)</f>
        <v>село</v>
      </c>
      <c r="M367" s="31" t="s">
        <v>2135</v>
      </c>
      <c r="N367" s="28">
        <v>98637424126</v>
      </c>
      <c r="O367" s="32">
        <v>0</v>
      </c>
      <c r="P367" s="1">
        <v>2</v>
      </c>
      <c r="Q367" s="1" t="s">
        <v>2136</v>
      </c>
      <c r="R367" s="1" t="s">
        <v>2137</v>
      </c>
    </row>
    <row r="368" spans="1:18">
      <c r="A368" s="23">
        <v>367</v>
      </c>
      <c r="B368" s="27">
        <f t="shared" si="6"/>
        <v>98637424131</v>
      </c>
      <c r="C368" s="23" t="s">
        <v>735</v>
      </c>
      <c r="D368" s="28">
        <v>98600000</v>
      </c>
      <c r="E368" s="23" t="s">
        <v>735</v>
      </c>
      <c r="F368" s="28">
        <v>98000000</v>
      </c>
      <c r="G368" s="30" t="s">
        <v>942</v>
      </c>
      <c r="H368" s="28">
        <v>98637000</v>
      </c>
      <c r="I368" s="23" t="s">
        <v>2115</v>
      </c>
      <c r="J368" s="23" t="s">
        <v>2119</v>
      </c>
      <c r="K368" s="23" t="s">
        <v>754</v>
      </c>
      <c r="L368" s="23" t="str">
        <f>VLOOKUP(K368,Матрицы!B:C,2,0)</f>
        <v>село</v>
      </c>
      <c r="M368" s="31" t="s">
        <v>2138</v>
      </c>
      <c r="N368" s="28">
        <v>98637424131</v>
      </c>
      <c r="O368" s="36">
        <v>4</v>
      </c>
      <c r="P368" s="1">
        <v>2</v>
      </c>
      <c r="Q368" s="1" t="s">
        <v>2139</v>
      </c>
      <c r="R368" s="1" t="s">
        <v>2140</v>
      </c>
    </row>
    <row r="369" spans="1:18">
      <c r="A369" s="23">
        <v>368</v>
      </c>
      <c r="B369" s="27">
        <f t="shared" si="6"/>
        <v>98637424136</v>
      </c>
      <c r="C369" s="23" t="s">
        <v>735</v>
      </c>
      <c r="D369" s="28">
        <v>98600000</v>
      </c>
      <c r="E369" s="23" t="s">
        <v>735</v>
      </c>
      <c r="F369" s="28">
        <v>98000000</v>
      </c>
      <c r="G369" s="30" t="s">
        <v>942</v>
      </c>
      <c r="H369" s="28">
        <v>98637000</v>
      </c>
      <c r="I369" s="23" t="s">
        <v>2115</v>
      </c>
      <c r="J369" s="23" t="s">
        <v>2119</v>
      </c>
      <c r="K369" s="23" t="s">
        <v>754</v>
      </c>
      <c r="L369" s="23" t="str">
        <f>VLOOKUP(K369,Матрицы!B:C,2,0)</f>
        <v>село</v>
      </c>
      <c r="M369" s="31" t="s">
        <v>2141</v>
      </c>
      <c r="N369" s="28">
        <v>98637424136</v>
      </c>
      <c r="O369" s="32">
        <v>0</v>
      </c>
      <c r="P369" s="1">
        <v>2</v>
      </c>
      <c r="Q369" s="1" t="s">
        <v>2142</v>
      </c>
      <c r="R369" s="1" t="s">
        <v>2143</v>
      </c>
    </row>
    <row r="370" spans="1:18">
      <c r="A370" s="23">
        <v>369</v>
      </c>
      <c r="B370" s="27">
        <f t="shared" si="6"/>
        <v>98637424141</v>
      </c>
      <c r="C370" s="23" t="s">
        <v>735</v>
      </c>
      <c r="D370" s="28">
        <v>98600000</v>
      </c>
      <c r="E370" s="23" t="s">
        <v>735</v>
      </c>
      <c r="F370" s="28">
        <v>98000000</v>
      </c>
      <c r="G370" s="30" t="s">
        <v>942</v>
      </c>
      <c r="H370" s="28">
        <v>98637000</v>
      </c>
      <c r="I370" s="23" t="s">
        <v>2115</v>
      </c>
      <c r="J370" s="23" t="s">
        <v>2119</v>
      </c>
      <c r="K370" s="23" t="s">
        <v>754</v>
      </c>
      <c r="L370" s="23" t="str">
        <f>VLOOKUP(K370,Матрицы!B:C,2,0)</f>
        <v>село</v>
      </c>
      <c r="M370" s="31" t="s">
        <v>2144</v>
      </c>
      <c r="N370" s="28">
        <v>98637424141</v>
      </c>
      <c r="O370" s="32">
        <v>0</v>
      </c>
      <c r="P370" s="1">
        <v>2</v>
      </c>
      <c r="Q370" s="1" t="s">
        <v>2145</v>
      </c>
      <c r="R370" s="1" t="s">
        <v>2146</v>
      </c>
    </row>
    <row r="371" spans="1:18">
      <c r="A371" s="23">
        <v>370</v>
      </c>
      <c r="B371" s="27">
        <f t="shared" si="6"/>
        <v>98637437101</v>
      </c>
      <c r="C371" s="23" t="s">
        <v>735</v>
      </c>
      <c r="D371" s="28">
        <v>98600000</v>
      </c>
      <c r="E371" s="23" t="s">
        <v>735</v>
      </c>
      <c r="F371" s="28">
        <v>98000000</v>
      </c>
      <c r="G371" s="30" t="s">
        <v>942</v>
      </c>
      <c r="H371" s="28">
        <v>98637000</v>
      </c>
      <c r="I371" s="23" t="s">
        <v>2115</v>
      </c>
      <c r="J371" s="23" t="s">
        <v>2147</v>
      </c>
      <c r="K371" s="23" t="s">
        <v>754</v>
      </c>
      <c r="L371" s="23" t="str">
        <f>VLOOKUP(K371,Матрицы!B:C,2,0)</f>
        <v>село</v>
      </c>
      <c r="M371" s="31" t="s">
        <v>2148</v>
      </c>
      <c r="N371" s="28">
        <v>98637437101</v>
      </c>
      <c r="O371" s="36">
        <v>765</v>
      </c>
      <c r="P371" s="1">
        <v>2</v>
      </c>
      <c r="Q371" s="1" t="s">
        <v>2149</v>
      </c>
      <c r="R371" s="1" t="s">
        <v>2150</v>
      </c>
    </row>
    <row r="372" spans="1:18">
      <c r="A372" s="23">
        <v>371</v>
      </c>
      <c r="B372" s="27">
        <f t="shared" si="6"/>
        <v>98639151051</v>
      </c>
      <c r="C372" s="23" t="s">
        <v>735</v>
      </c>
      <c r="D372" s="28">
        <v>98600000</v>
      </c>
      <c r="E372" s="23" t="s">
        <v>735</v>
      </c>
      <c r="F372" s="28">
        <v>98000000</v>
      </c>
      <c r="G372" s="30" t="s">
        <v>951</v>
      </c>
      <c r="H372" s="28">
        <v>98639000</v>
      </c>
      <c r="I372" s="23" t="s">
        <v>2151</v>
      </c>
      <c r="J372" s="23" t="s">
        <v>2152</v>
      </c>
      <c r="K372" s="23" t="s">
        <v>819</v>
      </c>
      <c r="L372" s="23" t="str">
        <f>VLOOKUP(K372,Матрицы!B:C,2,0)</f>
        <v>поселок</v>
      </c>
      <c r="M372" s="31" t="s">
        <v>2153</v>
      </c>
      <c r="N372" s="28">
        <v>98639151051</v>
      </c>
      <c r="O372" s="36">
        <v>4160</v>
      </c>
      <c r="P372" s="1">
        <v>1</v>
      </c>
      <c r="Q372" s="1" t="s">
        <v>2154</v>
      </c>
      <c r="R372" s="1" t="s">
        <v>2155</v>
      </c>
    </row>
    <row r="373" spans="1:18">
      <c r="A373" s="23">
        <v>372</v>
      </c>
      <c r="B373" s="27">
        <f t="shared" si="6"/>
        <v>98639153051</v>
      </c>
      <c r="C373" s="23" t="s">
        <v>735</v>
      </c>
      <c r="D373" s="28">
        <v>98600000</v>
      </c>
      <c r="E373" s="23" t="s">
        <v>735</v>
      </c>
      <c r="F373" s="28">
        <v>98000000</v>
      </c>
      <c r="G373" s="30" t="s">
        <v>951</v>
      </c>
      <c r="H373" s="28">
        <v>98639000</v>
      </c>
      <c r="I373" s="23" t="s">
        <v>2151</v>
      </c>
      <c r="J373" s="23" t="s">
        <v>2156</v>
      </c>
      <c r="K373" s="23" t="s">
        <v>819</v>
      </c>
      <c r="L373" s="23" t="str">
        <f>VLOOKUP(K373,Матрицы!B:C,2,0)</f>
        <v>поселок</v>
      </c>
      <c r="M373" s="31" t="s">
        <v>2157</v>
      </c>
      <c r="N373" s="28">
        <v>98639153051</v>
      </c>
      <c r="O373" s="36">
        <v>336</v>
      </c>
      <c r="P373" s="1">
        <v>1</v>
      </c>
      <c r="Q373" s="1" t="s">
        <v>2158</v>
      </c>
      <c r="R373" s="1" t="s">
        <v>2159</v>
      </c>
    </row>
    <row r="374" spans="1:18">
      <c r="A374" s="23">
        <v>373</v>
      </c>
      <c r="B374" s="27">
        <f t="shared" si="6"/>
        <v>98639153106</v>
      </c>
      <c r="C374" s="23" t="s">
        <v>735</v>
      </c>
      <c r="D374" s="28">
        <v>98600000</v>
      </c>
      <c r="E374" s="23" t="s">
        <v>735</v>
      </c>
      <c r="F374" s="28">
        <v>98000000</v>
      </c>
      <c r="G374" s="30" t="s">
        <v>951</v>
      </c>
      <c r="H374" s="28">
        <v>98639000</v>
      </c>
      <c r="I374" s="23" t="s">
        <v>2151</v>
      </c>
      <c r="J374" s="23" t="s">
        <v>2156</v>
      </c>
      <c r="K374" s="23" t="s">
        <v>754</v>
      </c>
      <c r="L374" s="23" t="str">
        <f>VLOOKUP(K374,Матрицы!B:C,2,0)</f>
        <v>село</v>
      </c>
      <c r="M374" s="31" t="s">
        <v>2160</v>
      </c>
      <c r="N374" s="28">
        <v>98639153106</v>
      </c>
      <c r="O374" s="32">
        <v>0</v>
      </c>
      <c r="P374" s="1">
        <v>2</v>
      </c>
      <c r="Q374" s="1" t="s">
        <v>2161</v>
      </c>
      <c r="R374" s="1" t="s">
        <v>2162</v>
      </c>
    </row>
    <row r="375" spans="1:18">
      <c r="A375" s="23">
        <v>374</v>
      </c>
      <c r="B375" s="27">
        <f t="shared" si="6"/>
        <v>98639405101</v>
      </c>
      <c r="C375" s="23" t="s">
        <v>735</v>
      </c>
      <c r="D375" s="28">
        <v>98600000</v>
      </c>
      <c r="E375" s="23" t="s">
        <v>735</v>
      </c>
      <c r="F375" s="28">
        <v>98000000</v>
      </c>
      <c r="G375" s="30" t="s">
        <v>951</v>
      </c>
      <c r="H375" s="28">
        <v>98639000</v>
      </c>
      <c r="I375" s="23" t="s">
        <v>2163</v>
      </c>
      <c r="J375" s="23" t="s">
        <v>2164</v>
      </c>
      <c r="K375" s="23" t="s">
        <v>754</v>
      </c>
      <c r="L375" s="23" t="str">
        <f>VLOOKUP(K375,Матрицы!B:C,2,0)</f>
        <v>село</v>
      </c>
      <c r="M375" s="31" t="s">
        <v>2165</v>
      </c>
      <c r="N375" s="28">
        <v>98639405101</v>
      </c>
      <c r="O375" s="36">
        <v>560</v>
      </c>
      <c r="P375" s="1">
        <v>2</v>
      </c>
      <c r="Q375" s="1" t="s">
        <v>2166</v>
      </c>
      <c r="R375" s="1" t="s">
        <v>2167</v>
      </c>
    </row>
    <row r="376" spans="1:18">
      <c r="A376" s="23">
        <v>375</v>
      </c>
      <c r="B376" s="27">
        <f t="shared" si="6"/>
        <v>98639405106</v>
      </c>
      <c r="C376" s="23" t="s">
        <v>735</v>
      </c>
      <c r="D376" s="28">
        <v>98600000</v>
      </c>
      <c r="E376" s="23" t="s">
        <v>735</v>
      </c>
      <c r="F376" s="28">
        <v>98000000</v>
      </c>
      <c r="G376" s="30" t="s">
        <v>951</v>
      </c>
      <c r="H376" s="28">
        <v>98639000</v>
      </c>
      <c r="I376" s="23" t="s">
        <v>2163</v>
      </c>
      <c r="J376" s="23" t="s">
        <v>2164</v>
      </c>
      <c r="K376" s="23" t="s">
        <v>754</v>
      </c>
      <c r="L376" s="23" t="str">
        <f>VLOOKUP(K376,Матрицы!B:C,2,0)</f>
        <v>село</v>
      </c>
      <c r="M376" s="31" t="s">
        <v>2168</v>
      </c>
      <c r="N376" s="28">
        <v>98639405106</v>
      </c>
      <c r="O376" s="36">
        <v>195</v>
      </c>
      <c r="P376" s="1">
        <v>2</v>
      </c>
      <c r="Q376" s="1" t="s">
        <v>2169</v>
      </c>
      <c r="R376" s="1" t="s">
        <v>2170</v>
      </c>
    </row>
    <row r="377" spans="1:18">
      <c r="A377" s="23">
        <v>376</v>
      </c>
      <c r="B377" s="27">
        <f t="shared" si="6"/>
        <v>98639405111</v>
      </c>
      <c r="C377" s="23" t="s">
        <v>735</v>
      </c>
      <c r="D377" s="28">
        <v>98600000</v>
      </c>
      <c r="E377" s="23" t="s">
        <v>735</v>
      </c>
      <c r="F377" s="28">
        <v>98000000</v>
      </c>
      <c r="G377" s="30" t="s">
        <v>951</v>
      </c>
      <c r="H377" s="28">
        <v>98639000</v>
      </c>
      <c r="I377" s="23" t="s">
        <v>2163</v>
      </c>
      <c r="J377" s="23" t="s">
        <v>2164</v>
      </c>
      <c r="K377" s="23" t="s">
        <v>754</v>
      </c>
      <c r="L377" s="23" t="str">
        <f>VLOOKUP(K377,Матрицы!B:C,2,0)</f>
        <v>село</v>
      </c>
      <c r="M377" s="31" t="s">
        <v>2171</v>
      </c>
      <c r="N377" s="28">
        <v>98639405111</v>
      </c>
      <c r="O377" s="36">
        <v>90</v>
      </c>
      <c r="P377" s="1">
        <v>2</v>
      </c>
      <c r="Q377" s="1" t="s">
        <v>2172</v>
      </c>
      <c r="R377" s="1" t="s">
        <v>2173</v>
      </c>
    </row>
    <row r="378" spans="1:18">
      <c r="A378" s="23">
        <v>377</v>
      </c>
      <c r="B378" s="27">
        <f t="shared" si="6"/>
        <v>98639410101</v>
      </c>
      <c r="C378" s="23" t="s">
        <v>735</v>
      </c>
      <c r="D378" s="28">
        <v>98600000</v>
      </c>
      <c r="E378" s="23" t="s">
        <v>735</v>
      </c>
      <c r="F378" s="28">
        <v>98000000</v>
      </c>
      <c r="G378" s="30" t="s">
        <v>951</v>
      </c>
      <c r="H378" s="28">
        <v>98639000</v>
      </c>
      <c r="I378" s="23" t="s">
        <v>2163</v>
      </c>
      <c r="J378" s="23" t="s">
        <v>2174</v>
      </c>
      <c r="K378" s="23" t="s">
        <v>754</v>
      </c>
      <c r="L378" s="23" t="str">
        <f>VLOOKUP(K378,Матрицы!B:C,2,0)</f>
        <v>село</v>
      </c>
      <c r="M378" s="31" t="s">
        <v>618</v>
      </c>
      <c r="N378" s="28">
        <v>98639410101</v>
      </c>
      <c r="O378" s="36">
        <v>998</v>
      </c>
      <c r="P378" s="1">
        <v>2</v>
      </c>
      <c r="Q378" s="1" t="s">
        <v>2175</v>
      </c>
      <c r="R378" s="1" t="s">
        <v>2176</v>
      </c>
    </row>
    <row r="379" spans="1:18">
      <c r="A379" s="23">
        <v>378</v>
      </c>
      <c r="B379" s="27">
        <f t="shared" si="6"/>
        <v>98639410106</v>
      </c>
      <c r="C379" s="23" t="s">
        <v>735</v>
      </c>
      <c r="D379" s="28">
        <v>98600000</v>
      </c>
      <c r="E379" s="23" t="s">
        <v>735</v>
      </c>
      <c r="F379" s="28">
        <v>98000000</v>
      </c>
      <c r="G379" s="30" t="s">
        <v>951</v>
      </c>
      <c r="H379" s="28">
        <v>98639000</v>
      </c>
      <c r="I379" s="23" t="s">
        <v>2163</v>
      </c>
      <c r="J379" s="23" t="s">
        <v>2174</v>
      </c>
      <c r="K379" s="23" t="s">
        <v>754</v>
      </c>
      <c r="L379" s="23" t="str">
        <f>VLOOKUP(K379,Матрицы!B:C,2,0)</f>
        <v>село</v>
      </c>
      <c r="M379" s="31" t="s">
        <v>651</v>
      </c>
      <c r="N379" s="28">
        <v>98639410106</v>
      </c>
      <c r="O379" s="32">
        <v>0</v>
      </c>
      <c r="P379" s="1">
        <v>2</v>
      </c>
      <c r="Q379" s="1" t="s">
        <v>2177</v>
      </c>
      <c r="R379" s="1" t="s">
        <v>2178</v>
      </c>
    </row>
    <row r="380" spans="1:18">
      <c r="A380" s="23">
        <v>379</v>
      </c>
      <c r="B380" s="27">
        <f t="shared" si="6"/>
        <v>98639410111</v>
      </c>
      <c r="C380" s="23" t="s">
        <v>735</v>
      </c>
      <c r="D380" s="28">
        <v>98600000</v>
      </c>
      <c r="E380" s="23" t="s">
        <v>735</v>
      </c>
      <c r="F380" s="28">
        <v>98000000</v>
      </c>
      <c r="G380" s="30" t="s">
        <v>951</v>
      </c>
      <c r="H380" s="28">
        <v>98639000</v>
      </c>
      <c r="I380" s="23" t="s">
        <v>2163</v>
      </c>
      <c r="J380" s="23" t="s">
        <v>2174</v>
      </c>
      <c r="K380" s="23" t="s">
        <v>754</v>
      </c>
      <c r="L380" s="23" t="str">
        <f>VLOOKUP(K380,Матрицы!B:C,2,0)</f>
        <v>село</v>
      </c>
      <c r="M380" s="31" t="s">
        <v>2179</v>
      </c>
      <c r="N380" s="28">
        <v>98639410111</v>
      </c>
      <c r="O380" s="36">
        <v>41</v>
      </c>
      <c r="P380" s="1">
        <v>2</v>
      </c>
      <c r="Q380" s="1" t="s">
        <v>2180</v>
      </c>
      <c r="R380" s="1" t="s">
        <v>2181</v>
      </c>
    </row>
    <row r="381" spans="1:18">
      <c r="A381" s="23">
        <v>380</v>
      </c>
      <c r="B381" s="27">
        <f t="shared" si="6"/>
        <v>98639410116</v>
      </c>
      <c r="C381" s="23" t="s">
        <v>735</v>
      </c>
      <c r="D381" s="28">
        <v>98600000</v>
      </c>
      <c r="E381" s="23" t="s">
        <v>735</v>
      </c>
      <c r="F381" s="28">
        <v>98000000</v>
      </c>
      <c r="G381" s="30" t="s">
        <v>951</v>
      </c>
      <c r="H381" s="28">
        <v>98639000</v>
      </c>
      <c r="I381" s="23" t="s">
        <v>2163</v>
      </c>
      <c r="J381" s="23" t="s">
        <v>2174</v>
      </c>
      <c r="K381" s="23" t="s">
        <v>754</v>
      </c>
      <c r="L381" s="23" t="str">
        <f>VLOOKUP(K381,Матрицы!B:C,2,0)</f>
        <v>село</v>
      </c>
      <c r="M381" s="31" t="s">
        <v>2182</v>
      </c>
      <c r="N381" s="28">
        <v>98639410116</v>
      </c>
      <c r="O381" s="36">
        <v>102</v>
      </c>
      <c r="P381" s="1">
        <v>2</v>
      </c>
      <c r="Q381" s="1" t="s">
        <v>2183</v>
      </c>
      <c r="R381" s="1" t="s">
        <v>2184</v>
      </c>
    </row>
    <row r="382" spans="1:18">
      <c r="A382" s="23">
        <v>381</v>
      </c>
      <c r="B382" s="27">
        <f t="shared" si="6"/>
        <v>98639427101</v>
      </c>
      <c r="C382" s="23" t="s">
        <v>735</v>
      </c>
      <c r="D382" s="28">
        <v>98600000</v>
      </c>
      <c r="E382" s="23" t="s">
        <v>735</v>
      </c>
      <c r="F382" s="28">
        <v>98000000</v>
      </c>
      <c r="G382" s="30" t="s">
        <v>951</v>
      </c>
      <c r="H382" s="28">
        <v>98639000</v>
      </c>
      <c r="I382" s="23" t="s">
        <v>2163</v>
      </c>
      <c r="J382" s="23" t="s">
        <v>2185</v>
      </c>
      <c r="K382" s="23" t="s">
        <v>754</v>
      </c>
      <c r="L382" s="23" t="str">
        <f>VLOOKUP(K382,Матрицы!B:C,2,0)</f>
        <v>село</v>
      </c>
      <c r="M382" s="31" t="s">
        <v>2186</v>
      </c>
      <c r="N382" s="28">
        <v>98639427101</v>
      </c>
      <c r="O382" s="36">
        <v>414</v>
      </c>
      <c r="P382" s="1">
        <v>2</v>
      </c>
      <c r="Q382" s="1" t="s">
        <v>2187</v>
      </c>
      <c r="R382" s="1" t="s">
        <v>2188</v>
      </c>
    </row>
    <row r="383" spans="1:18">
      <c r="A383" s="23">
        <v>382</v>
      </c>
      <c r="B383" s="27">
        <f t="shared" si="6"/>
        <v>98639427106</v>
      </c>
      <c r="C383" s="23" t="s">
        <v>735</v>
      </c>
      <c r="D383" s="28">
        <v>98600000</v>
      </c>
      <c r="E383" s="23" t="s">
        <v>735</v>
      </c>
      <c r="F383" s="28">
        <v>98000000</v>
      </c>
      <c r="G383" s="30" t="s">
        <v>951</v>
      </c>
      <c r="H383" s="28">
        <v>98639000</v>
      </c>
      <c r="I383" s="23" t="s">
        <v>2163</v>
      </c>
      <c r="J383" s="23" t="s">
        <v>2185</v>
      </c>
      <c r="K383" s="23" t="s">
        <v>754</v>
      </c>
      <c r="L383" s="23" t="str">
        <f>VLOOKUP(K383,Матрицы!B:C,2,0)</f>
        <v>село</v>
      </c>
      <c r="M383" s="31" t="s">
        <v>2189</v>
      </c>
      <c r="N383" s="28">
        <v>98639427106</v>
      </c>
      <c r="O383" s="32">
        <v>0</v>
      </c>
      <c r="P383" s="1">
        <v>2</v>
      </c>
      <c r="Q383" s="1" t="s">
        <v>2190</v>
      </c>
      <c r="R383" s="1" t="s">
        <v>2191</v>
      </c>
    </row>
    <row r="384" spans="1:18">
      <c r="A384" s="23">
        <v>383</v>
      </c>
      <c r="B384" s="27">
        <f t="shared" si="6"/>
        <v>98639432101</v>
      </c>
      <c r="C384" s="23" t="s">
        <v>735</v>
      </c>
      <c r="D384" s="28">
        <v>98600000</v>
      </c>
      <c r="E384" s="23" t="s">
        <v>735</v>
      </c>
      <c r="F384" s="28">
        <v>98000000</v>
      </c>
      <c r="G384" s="30" t="s">
        <v>951</v>
      </c>
      <c r="H384" s="28">
        <v>98639000</v>
      </c>
      <c r="I384" s="23" t="s">
        <v>2163</v>
      </c>
      <c r="J384" s="23" t="s">
        <v>2192</v>
      </c>
      <c r="K384" s="23" t="s">
        <v>754</v>
      </c>
      <c r="L384" s="23" t="str">
        <f>VLOOKUP(K384,Матрицы!B:C,2,0)</f>
        <v>село</v>
      </c>
      <c r="M384" s="31" t="s">
        <v>2193</v>
      </c>
      <c r="N384" s="28">
        <v>98639432101</v>
      </c>
      <c r="O384" s="36">
        <v>340</v>
      </c>
      <c r="P384" s="1">
        <v>2</v>
      </c>
      <c r="Q384" s="1" t="s">
        <v>2194</v>
      </c>
      <c r="R384" s="1" t="s">
        <v>2195</v>
      </c>
    </row>
    <row r="385" spans="1:18">
      <c r="A385" s="23">
        <v>384</v>
      </c>
      <c r="B385" s="27">
        <f t="shared" si="6"/>
        <v>98639445101</v>
      </c>
      <c r="C385" s="23" t="s">
        <v>735</v>
      </c>
      <c r="D385" s="28">
        <v>98600000</v>
      </c>
      <c r="E385" s="23" t="s">
        <v>735</v>
      </c>
      <c r="F385" s="28">
        <v>98000000</v>
      </c>
      <c r="G385" s="30" t="s">
        <v>951</v>
      </c>
      <c r="H385" s="28">
        <v>98639000</v>
      </c>
      <c r="I385" s="23" t="s">
        <v>2163</v>
      </c>
      <c r="J385" s="23" t="s">
        <v>2196</v>
      </c>
      <c r="K385" s="23" t="s">
        <v>754</v>
      </c>
      <c r="L385" s="23" t="str">
        <f>VLOOKUP(K385,Матрицы!B:C,2,0)</f>
        <v>село</v>
      </c>
      <c r="M385" s="31" t="s">
        <v>2197</v>
      </c>
      <c r="N385" s="28">
        <v>98639445101</v>
      </c>
      <c r="O385" s="36">
        <v>374</v>
      </c>
      <c r="P385" s="1">
        <v>2</v>
      </c>
      <c r="Q385" s="1" t="s">
        <v>2198</v>
      </c>
      <c r="R385" s="1" t="s">
        <v>2199</v>
      </c>
    </row>
    <row r="386" spans="1:18">
      <c r="A386" s="23">
        <v>385</v>
      </c>
      <c r="B386" s="27">
        <f t="shared" si="6"/>
        <v>98639445106</v>
      </c>
      <c r="C386" s="23" t="s">
        <v>735</v>
      </c>
      <c r="D386" s="28">
        <v>98600000</v>
      </c>
      <c r="E386" s="23" t="s">
        <v>735</v>
      </c>
      <c r="F386" s="28">
        <v>98000000</v>
      </c>
      <c r="G386" s="30" t="s">
        <v>951</v>
      </c>
      <c r="H386" s="28">
        <v>98639000</v>
      </c>
      <c r="I386" s="23" t="s">
        <v>2163</v>
      </c>
      <c r="J386" s="23" t="s">
        <v>2196</v>
      </c>
      <c r="K386" s="23" t="s">
        <v>754</v>
      </c>
      <c r="L386" s="23" t="str">
        <f>VLOOKUP(K386,Матрицы!B:C,2,0)</f>
        <v>село</v>
      </c>
      <c r="M386" s="31" t="s">
        <v>2200</v>
      </c>
      <c r="N386" s="28">
        <v>98639445106</v>
      </c>
      <c r="O386" s="32">
        <v>0</v>
      </c>
      <c r="P386" s="1">
        <v>2</v>
      </c>
      <c r="Q386" s="1" t="s">
        <v>2201</v>
      </c>
      <c r="R386" s="1" t="s">
        <v>2202</v>
      </c>
    </row>
    <row r="387" spans="1:18" s="23" customFormat="1" ht="45">
      <c r="A387" s="23">
        <v>386</v>
      </c>
      <c r="B387" s="29">
        <v>0</v>
      </c>
      <c r="C387" s="23" t="s">
        <v>735</v>
      </c>
      <c r="D387" s="28">
        <v>98600000</v>
      </c>
      <c r="E387" s="23" t="s">
        <v>735</v>
      </c>
      <c r="F387" s="28">
        <v>98000000</v>
      </c>
      <c r="G387" s="30" t="s">
        <v>951</v>
      </c>
      <c r="H387" s="28">
        <v>98639000</v>
      </c>
      <c r="I387" s="23" t="s">
        <v>2203</v>
      </c>
      <c r="J387" s="30" t="s">
        <v>2204</v>
      </c>
      <c r="K387" s="29">
        <v>0</v>
      </c>
      <c r="L387" s="29">
        <v>0</v>
      </c>
      <c r="M387" s="29">
        <v>0</v>
      </c>
      <c r="N387" s="29">
        <v>0</v>
      </c>
      <c r="O387" s="39">
        <v>0</v>
      </c>
      <c r="P387" s="1">
        <v>2</v>
      </c>
      <c r="Q387" s="1"/>
      <c r="R387" s="1"/>
    </row>
    <row r="388" spans="1:18">
      <c r="A388" s="23">
        <v>387</v>
      </c>
      <c r="B388" s="27">
        <f t="shared" ref="B388:B451" si="7">N388</f>
        <v>98641101001</v>
      </c>
      <c r="C388" s="23" t="s">
        <v>735</v>
      </c>
      <c r="D388" s="28">
        <v>98600000</v>
      </c>
      <c r="E388" s="23" t="s">
        <v>735</v>
      </c>
      <c r="F388" s="28">
        <v>98000000</v>
      </c>
      <c r="G388" s="30" t="s">
        <v>954</v>
      </c>
      <c r="H388" s="28">
        <v>98641000</v>
      </c>
      <c r="I388" s="23" t="s">
        <v>2205</v>
      </c>
      <c r="J388" s="23" t="s">
        <v>2206</v>
      </c>
      <c r="K388" s="23" t="s">
        <v>740</v>
      </c>
      <c r="L388" s="23" t="str">
        <f>VLOOKUP(K388,Матрицы!B:C,2,0)</f>
        <v>город</v>
      </c>
      <c r="M388" s="31" t="s">
        <v>66</v>
      </c>
      <c r="N388" s="28">
        <v>98641101001</v>
      </c>
      <c r="O388" s="36">
        <v>8457</v>
      </c>
      <c r="P388" s="1">
        <v>1</v>
      </c>
      <c r="Q388" s="1" t="s">
        <v>2207</v>
      </c>
      <c r="R388" s="1" t="s">
        <v>2208</v>
      </c>
    </row>
    <row r="389" spans="1:18">
      <c r="A389" s="23">
        <v>388</v>
      </c>
      <c r="B389" s="27">
        <f t="shared" si="7"/>
        <v>98641101106</v>
      </c>
      <c r="C389" s="23" t="s">
        <v>735</v>
      </c>
      <c r="D389" s="28">
        <v>98600000</v>
      </c>
      <c r="E389" s="23" t="s">
        <v>735</v>
      </c>
      <c r="F389" s="28">
        <v>98000000</v>
      </c>
      <c r="G389" s="30" t="s">
        <v>954</v>
      </c>
      <c r="H389" s="28">
        <v>98641000</v>
      </c>
      <c r="I389" s="23" t="s">
        <v>2205</v>
      </c>
      <c r="J389" s="23" t="s">
        <v>2206</v>
      </c>
      <c r="K389" s="23" t="s">
        <v>754</v>
      </c>
      <c r="L389" s="23" t="str">
        <f>VLOOKUP(K389,Матрицы!B:C,2,0)</f>
        <v>село</v>
      </c>
      <c r="M389" s="31" t="s">
        <v>1593</v>
      </c>
      <c r="N389" s="28">
        <v>98641101106</v>
      </c>
      <c r="O389" s="36">
        <v>258</v>
      </c>
      <c r="P389" s="1">
        <v>2</v>
      </c>
      <c r="Q389" s="1" t="s">
        <v>2209</v>
      </c>
      <c r="R389" s="1" t="s">
        <v>2210</v>
      </c>
    </row>
    <row r="390" spans="1:18">
      <c r="A390" s="23">
        <v>389</v>
      </c>
      <c r="B390" s="27">
        <f t="shared" si="7"/>
        <v>98641101111</v>
      </c>
      <c r="C390" s="23" t="s">
        <v>735</v>
      </c>
      <c r="D390" s="28">
        <v>98600000</v>
      </c>
      <c r="E390" s="23" t="s">
        <v>735</v>
      </c>
      <c r="F390" s="28">
        <v>98000000</v>
      </c>
      <c r="G390" s="30" t="s">
        <v>954</v>
      </c>
      <c r="H390" s="28">
        <v>98641000</v>
      </c>
      <c r="I390" s="23" t="s">
        <v>2205</v>
      </c>
      <c r="J390" s="23" t="s">
        <v>2206</v>
      </c>
      <c r="K390" s="23" t="s">
        <v>754</v>
      </c>
      <c r="L390" s="23" t="str">
        <f>VLOOKUP(K390,Матрицы!B:C,2,0)</f>
        <v>село</v>
      </c>
      <c r="M390" s="31" t="s">
        <v>2211</v>
      </c>
      <c r="N390" s="28">
        <v>98641101111</v>
      </c>
      <c r="O390" s="36">
        <v>1</v>
      </c>
      <c r="P390" s="1">
        <v>2</v>
      </c>
      <c r="Q390" s="1" t="s">
        <v>2212</v>
      </c>
      <c r="R390" s="1" t="s">
        <v>2213</v>
      </c>
    </row>
    <row r="391" spans="1:18">
      <c r="A391" s="23">
        <v>390</v>
      </c>
      <c r="B391" s="27">
        <f t="shared" si="7"/>
        <v>98641101116</v>
      </c>
      <c r="C391" s="23" t="s">
        <v>735</v>
      </c>
      <c r="D391" s="28">
        <v>98600000</v>
      </c>
      <c r="E391" s="23" t="s">
        <v>735</v>
      </c>
      <c r="F391" s="28">
        <v>98000000</v>
      </c>
      <c r="G391" s="30" t="s">
        <v>954</v>
      </c>
      <c r="H391" s="28">
        <v>98641000</v>
      </c>
      <c r="I391" s="23" t="s">
        <v>2205</v>
      </c>
      <c r="J391" s="23" t="s">
        <v>2206</v>
      </c>
      <c r="K391" s="23" t="s">
        <v>754</v>
      </c>
      <c r="L391" s="23" t="str">
        <f>VLOOKUP(K391,Матрицы!B:C,2,0)</f>
        <v>село</v>
      </c>
      <c r="M391" s="31" t="s">
        <v>1718</v>
      </c>
      <c r="N391" s="28">
        <v>98641101116</v>
      </c>
      <c r="O391" s="36">
        <v>205</v>
      </c>
      <c r="P391" s="1">
        <v>2</v>
      </c>
      <c r="Q391" s="1" t="s">
        <v>2214</v>
      </c>
      <c r="R391" s="1" t="s">
        <v>2215</v>
      </c>
    </row>
    <row r="392" spans="1:18">
      <c r="A392" s="23">
        <v>391</v>
      </c>
      <c r="B392" s="27">
        <f t="shared" si="7"/>
        <v>98641101121</v>
      </c>
      <c r="C392" s="23" t="s">
        <v>735</v>
      </c>
      <c r="D392" s="28">
        <v>98600000</v>
      </c>
      <c r="E392" s="23" t="s">
        <v>735</v>
      </c>
      <c r="F392" s="28">
        <v>98000000</v>
      </c>
      <c r="G392" s="30" t="s">
        <v>954</v>
      </c>
      <c r="H392" s="28">
        <v>98641000</v>
      </c>
      <c r="I392" s="23" t="s">
        <v>2205</v>
      </c>
      <c r="J392" s="23" t="s">
        <v>2206</v>
      </c>
      <c r="K392" s="23" t="s">
        <v>754</v>
      </c>
      <c r="L392" s="23" t="str">
        <f>VLOOKUP(K392,Матрицы!B:C,2,0)</f>
        <v>село</v>
      </c>
      <c r="M392" s="31" t="s">
        <v>2216</v>
      </c>
      <c r="N392" s="28">
        <v>98641101121</v>
      </c>
      <c r="O392" s="36">
        <v>486</v>
      </c>
      <c r="P392" s="1">
        <v>2</v>
      </c>
      <c r="Q392" s="1" t="s">
        <v>2217</v>
      </c>
      <c r="R392" s="1" t="s">
        <v>2218</v>
      </c>
    </row>
    <row r="393" spans="1:18">
      <c r="A393" s="23">
        <v>392</v>
      </c>
      <c r="B393" s="27">
        <f t="shared" si="7"/>
        <v>98641405101</v>
      </c>
      <c r="C393" s="23" t="s">
        <v>735</v>
      </c>
      <c r="D393" s="28">
        <v>98600000</v>
      </c>
      <c r="E393" s="23" t="s">
        <v>735</v>
      </c>
      <c r="F393" s="28">
        <v>98000000</v>
      </c>
      <c r="G393" s="30" t="s">
        <v>954</v>
      </c>
      <c r="H393" s="28">
        <v>98641000</v>
      </c>
      <c r="I393" s="23" t="s">
        <v>2219</v>
      </c>
      <c r="J393" s="23" t="s">
        <v>1071</v>
      </c>
      <c r="K393" s="23" t="s">
        <v>754</v>
      </c>
      <c r="L393" s="23" t="str">
        <f>VLOOKUP(K393,Матрицы!B:C,2,0)</f>
        <v>село</v>
      </c>
      <c r="M393" s="31" t="s">
        <v>1072</v>
      </c>
      <c r="N393" s="28">
        <v>98641405101</v>
      </c>
      <c r="O393" s="36">
        <v>553</v>
      </c>
      <c r="P393" s="1">
        <v>2</v>
      </c>
      <c r="Q393" s="1" t="s">
        <v>2220</v>
      </c>
      <c r="R393" s="1" t="s">
        <v>2221</v>
      </c>
    </row>
    <row r="394" spans="1:18">
      <c r="A394" s="23">
        <v>393</v>
      </c>
      <c r="B394" s="27">
        <f t="shared" si="7"/>
        <v>98641405106</v>
      </c>
      <c r="C394" s="23" t="s">
        <v>735</v>
      </c>
      <c r="D394" s="28">
        <v>98600000</v>
      </c>
      <c r="E394" s="23" t="s">
        <v>735</v>
      </c>
      <c r="F394" s="28">
        <v>98000000</v>
      </c>
      <c r="G394" s="30" t="s">
        <v>954</v>
      </c>
      <c r="H394" s="28">
        <v>98641000</v>
      </c>
      <c r="I394" s="23" t="s">
        <v>2219</v>
      </c>
      <c r="J394" s="23" t="s">
        <v>1071</v>
      </c>
      <c r="K394" s="23" t="s">
        <v>754</v>
      </c>
      <c r="L394" s="23" t="str">
        <f>VLOOKUP(K394,Матрицы!B:C,2,0)</f>
        <v>село</v>
      </c>
      <c r="M394" s="31" t="s">
        <v>2222</v>
      </c>
      <c r="N394" s="28">
        <v>98641405106</v>
      </c>
      <c r="O394" s="36">
        <v>307</v>
      </c>
      <c r="P394" s="1">
        <v>2</v>
      </c>
      <c r="Q394" s="1" t="s">
        <v>2223</v>
      </c>
      <c r="R394" s="1" t="s">
        <v>2224</v>
      </c>
    </row>
    <row r="395" spans="1:18">
      <c r="A395" s="23">
        <v>394</v>
      </c>
      <c r="B395" s="27">
        <f t="shared" si="7"/>
        <v>98641410101</v>
      </c>
      <c r="C395" s="23" t="s">
        <v>735</v>
      </c>
      <c r="D395" s="28">
        <v>98600000</v>
      </c>
      <c r="E395" s="23" t="s">
        <v>735</v>
      </c>
      <c r="F395" s="28">
        <v>98000000</v>
      </c>
      <c r="G395" s="30" t="s">
        <v>954</v>
      </c>
      <c r="H395" s="28">
        <v>98641000</v>
      </c>
      <c r="I395" s="23" t="s">
        <v>2219</v>
      </c>
      <c r="J395" s="23" t="s">
        <v>2225</v>
      </c>
      <c r="K395" s="23" t="s">
        <v>754</v>
      </c>
      <c r="L395" s="23" t="str">
        <f>VLOOKUP(K395,Матрицы!B:C,2,0)</f>
        <v>село</v>
      </c>
      <c r="M395" s="31" t="s">
        <v>2226</v>
      </c>
      <c r="N395" s="28">
        <v>98641410101</v>
      </c>
      <c r="O395" s="36">
        <v>313</v>
      </c>
      <c r="P395" s="1">
        <v>2</v>
      </c>
      <c r="Q395" s="1" t="s">
        <v>2227</v>
      </c>
      <c r="R395" s="1" t="s">
        <v>2228</v>
      </c>
    </row>
    <row r="396" spans="1:18">
      <c r="A396" s="23">
        <v>395</v>
      </c>
      <c r="B396" s="27">
        <f t="shared" si="7"/>
        <v>98641410106</v>
      </c>
      <c r="C396" s="23" t="s">
        <v>735</v>
      </c>
      <c r="D396" s="28">
        <v>98600000</v>
      </c>
      <c r="E396" s="23" t="s">
        <v>735</v>
      </c>
      <c r="F396" s="28">
        <v>98000000</v>
      </c>
      <c r="G396" s="30" t="s">
        <v>954</v>
      </c>
      <c r="H396" s="28">
        <v>98641000</v>
      </c>
      <c r="I396" s="23" t="s">
        <v>2219</v>
      </c>
      <c r="J396" s="23" t="s">
        <v>2225</v>
      </c>
      <c r="K396" s="23" t="s">
        <v>754</v>
      </c>
      <c r="L396" s="23" t="str">
        <f>VLOOKUP(K396,Матрицы!B:C,2,0)</f>
        <v>село</v>
      </c>
      <c r="M396" s="31" t="s">
        <v>2229</v>
      </c>
      <c r="N396" s="28">
        <v>98641410106</v>
      </c>
      <c r="O396" s="32">
        <v>0</v>
      </c>
      <c r="P396" s="1">
        <v>2</v>
      </c>
      <c r="Q396" s="1" t="s">
        <v>2230</v>
      </c>
      <c r="R396" s="1" t="s">
        <v>2231</v>
      </c>
    </row>
    <row r="397" spans="1:18">
      <c r="A397" s="23">
        <v>396</v>
      </c>
      <c r="B397" s="27">
        <f t="shared" si="7"/>
        <v>98641410111</v>
      </c>
      <c r="C397" s="23" t="s">
        <v>735</v>
      </c>
      <c r="D397" s="28">
        <v>98600000</v>
      </c>
      <c r="E397" s="23" t="s">
        <v>735</v>
      </c>
      <c r="F397" s="28">
        <v>98000000</v>
      </c>
      <c r="G397" s="30" t="s">
        <v>954</v>
      </c>
      <c r="H397" s="28">
        <v>98641000</v>
      </c>
      <c r="I397" s="23" t="s">
        <v>2219</v>
      </c>
      <c r="J397" s="23" t="s">
        <v>2225</v>
      </c>
      <c r="K397" s="23" t="s">
        <v>754</v>
      </c>
      <c r="L397" s="23" t="str">
        <f>VLOOKUP(K397,Матрицы!B:C,2,0)</f>
        <v>село</v>
      </c>
      <c r="M397" s="31" t="s">
        <v>2232</v>
      </c>
      <c r="N397" s="28">
        <v>98641410111</v>
      </c>
      <c r="O397" s="36">
        <v>1</v>
      </c>
      <c r="P397" s="1">
        <v>2</v>
      </c>
      <c r="Q397" s="1" t="s">
        <v>2233</v>
      </c>
      <c r="R397" s="1" t="s">
        <v>2234</v>
      </c>
    </row>
    <row r="398" spans="1:18">
      <c r="A398" s="23">
        <v>397</v>
      </c>
      <c r="B398" s="27">
        <f t="shared" si="7"/>
        <v>98641415101</v>
      </c>
      <c r="C398" s="23" t="s">
        <v>735</v>
      </c>
      <c r="D398" s="28">
        <v>98600000</v>
      </c>
      <c r="E398" s="23" t="s">
        <v>735</v>
      </c>
      <c r="F398" s="28">
        <v>98000000</v>
      </c>
      <c r="G398" s="30" t="s">
        <v>954</v>
      </c>
      <c r="H398" s="28">
        <v>98641000</v>
      </c>
      <c r="I398" s="23" t="s">
        <v>2219</v>
      </c>
      <c r="J398" s="23" t="s">
        <v>2235</v>
      </c>
      <c r="K398" s="23" t="s">
        <v>754</v>
      </c>
      <c r="L398" s="23" t="str">
        <f>VLOOKUP(K398,Матрицы!B:C,2,0)</f>
        <v>село</v>
      </c>
      <c r="M398" s="31" t="s">
        <v>2236</v>
      </c>
      <c r="N398" s="28">
        <v>98641415101</v>
      </c>
      <c r="O398" s="36">
        <v>254</v>
      </c>
      <c r="P398" s="1">
        <v>2</v>
      </c>
      <c r="Q398" s="1" t="s">
        <v>2237</v>
      </c>
      <c r="R398" s="1" t="s">
        <v>2238</v>
      </c>
    </row>
    <row r="399" spans="1:18">
      <c r="A399" s="23">
        <v>398</v>
      </c>
      <c r="B399" s="27">
        <f t="shared" si="7"/>
        <v>98641415106</v>
      </c>
      <c r="C399" s="23" t="s">
        <v>735</v>
      </c>
      <c r="D399" s="28">
        <v>98600000</v>
      </c>
      <c r="E399" s="23" t="s">
        <v>735</v>
      </c>
      <c r="F399" s="28">
        <v>98000000</v>
      </c>
      <c r="G399" s="30" t="s">
        <v>954</v>
      </c>
      <c r="H399" s="28">
        <v>98641000</v>
      </c>
      <c r="I399" s="23" t="s">
        <v>2219</v>
      </c>
      <c r="J399" s="23" t="s">
        <v>2235</v>
      </c>
      <c r="K399" s="23" t="s">
        <v>754</v>
      </c>
      <c r="L399" s="23" t="str">
        <f>VLOOKUP(K399,Матрицы!B:C,2,0)</f>
        <v>село</v>
      </c>
      <c r="M399" s="31" t="s">
        <v>2239</v>
      </c>
      <c r="N399" s="28">
        <v>98641415106</v>
      </c>
      <c r="O399" s="36">
        <v>65</v>
      </c>
      <c r="P399" s="1">
        <v>2</v>
      </c>
      <c r="Q399" s="1" t="s">
        <v>2240</v>
      </c>
      <c r="R399" s="1" t="s">
        <v>2241</v>
      </c>
    </row>
    <row r="400" spans="1:18">
      <c r="A400" s="23">
        <v>399</v>
      </c>
      <c r="B400" s="27">
        <f t="shared" si="7"/>
        <v>98641420101</v>
      </c>
      <c r="C400" s="23" t="s">
        <v>735</v>
      </c>
      <c r="D400" s="28">
        <v>98600000</v>
      </c>
      <c r="E400" s="23" t="s">
        <v>735</v>
      </c>
      <c r="F400" s="28">
        <v>98000000</v>
      </c>
      <c r="G400" s="30" t="s">
        <v>954</v>
      </c>
      <c r="H400" s="28">
        <v>98641000</v>
      </c>
      <c r="I400" s="23" t="s">
        <v>2219</v>
      </c>
      <c r="J400" s="23" t="s">
        <v>2242</v>
      </c>
      <c r="K400" s="23" t="s">
        <v>754</v>
      </c>
      <c r="L400" s="23" t="str">
        <f>VLOOKUP(K400,Матрицы!B:C,2,0)</f>
        <v>село</v>
      </c>
      <c r="M400" s="31" t="s">
        <v>275</v>
      </c>
      <c r="N400" s="28">
        <v>98641420101</v>
      </c>
      <c r="O400" s="36">
        <v>772</v>
      </c>
      <c r="P400" s="1">
        <v>2</v>
      </c>
      <c r="Q400" s="1" t="s">
        <v>2243</v>
      </c>
      <c r="R400" s="1" t="s">
        <v>2244</v>
      </c>
    </row>
    <row r="401" spans="1:18">
      <c r="A401" s="23">
        <v>400</v>
      </c>
      <c r="B401" s="27">
        <f t="shared" si="7"/>
        <v>98641420106</v>
      </c>
      <c r="C401" s="23" t="s">
        <v>735</v>
      </c>
      <c r="D401" s="28">
        <v>98600000</v>
      </c>
      <c r="E401" s="23" t="s">
        <v>735</v>
      </c>
      <c r="F401" s="28">
        <v>98000000</v>
      </c>
      <c r="G401" s="30" t="s">
        <v>954</v>
      </c>
      <c r="H401" s="28">
        <v>98641000</v>
      </c>
      <c r="I401" s="23" t="s">
        <v>2219</v>
      </c>
      <c r="J401" s="23" t="s">
        <v>2242</v>
      </c>
      <c r="K401" s="23" t="s">
        <v>754</v>
      </c>
      <c r="L401" s="23" t="str">
        <f>VLOOKUP(K401,Матрицы!B:C,2,0)</f>
        <v>село</v>
      </c>
      <c r="M401" s="31" t="s">
        <v>1689</v>
      </c>
      <c r="N401" s="28">
        <v>98641420106</v>
      </c>
      <c r="O401" s="32">
        <v>0</v>
      </c>
      <c r="P401" s="1">
        <v>2</v>
      </c>
      <c r="Q401" s="1" t="s">
        <v>2245</v>
      </c>
      <c r="R401" s="1" t="s">
        <v>2246</v>
      </c>
    </row>
    <row r="402" spans="1:18">
      <c r="A402" s="23">
        <v>401</v>
      </c>
      <c r="B402" s="27">
        <f t="shared" si="7"/>
        <v>98641420111</v>
      </c>
      <c r="C402" s="23" t="s">
        <v>735</v>
      </c>
      <c r="D402" s="28">
        <v>98600000</v>
      </c>
      <c r="E402" s="23" t="s">
        <v>735</v>
      </c>
      <c r="F402" s="28">
        <v>98000000</v>
      </c>
      <c r="G402" s="30" t="s">
        <v>954</v>
      </c>
      <c r="H402" s="28">
        <v>98641000</v>
      </c>
      <c r="I402" s="23" t="s">
        <v>2219</v>
      </c>
      <c r="J402" s="23" t="s">
        <v>2242</v>
      </c>
      <c r="K402" s="23" t="s">
        <v>754</v>
      </c>
      <c r="L402" s="23" t="str">
        <f>VLOOKUP(K402,Матрицы!B:C,2,0)</f>
        <v>село</v>
      </c>
      <c r="M402" s="31" t="s">
        <v>2247</v>
      </c>
      <c r="N402" s="28">
        <v>98641420111</v>
      </c>
      <c r="O402" s="36">
        <v>268</v>
      </c>
      <c r="P402" s="1">
        <v>2</v>
      </c>
      <c r="Q402" s="1" t="s">
        <v>2248</v>
      </c>
      <c r="R402" s="1" t="s">
        <v>2249</v>
      </c>
    </row>
    <row r="403" spans="1:18">
      <c r="A403" s="23">
        <v>402</v>
      </c>
      <c r="B403" s="27">
        <f t="shared" si="7"/>
        <v>98641425101</v>
      </c>
      <c r="C403" s="23" t="s">
        <v>735</v>
      </c>
      <c r="D403" s="28">
        <v>98600000</v>
      </c>
      <c r="E403" s="23" t="s">
        <v>735</v>
      </c>
      <c r="F403" s="28">
        <v>98000000</v>
      </c>
      <c r="G403" s="30" t="s">
        <v>954</v>
      </c>
      <c r="H403" s="28">
        <v>98641000</v>
      </c>
      <c r="I403" s="23" t="s">
        <v>2219</v>
      </c>
      <c r="J403" s="23" t="s">
        <v>2250</v>
      </c>
      <c r="K403" s="23" t="s">
        <v>754</v>
      </c>
      <c r="L403" s="23" t="str">
        <f>VLOOKUP(K403,Матрицы!B:C,2,0)</f>
        <v>село</v>
      </c>
      <c r="M403" s="31" t="s">
        <v>2251</v>
      </c>
      <c r="N403" s="28">
        <v>98641425101</v>
      </c>
      <c r="O403" s="36">
        <v>220</v>
      </c>
      <c r="P403" s="1">
        <v>2</v>
      </c>
      <c r="Q403" s="1" t="s">
        <v>2252</v>
      </c>
      <c r="R403" s="1" t="s">
        <v>2253</v>
      </c>
    </row>
    <row r="404" spans="1:18">
      <c r="A404" s="23">
        <v>403</v>
      </c>
      <c r="B404" s="27">
        <f t="shared" si="7"/>
        <v>98641425106</v>
      </c>
      <c r="C404" s="23" t="s">
        <v>735</v>
      </c>
      <c r="D404" s="28">
        <v>98600000</v>
      </c>
      <c r="E404" s="23" t="s">
        <v>735</v>
      </c>
      <c r="F404" s="28">
        <v>98000000</v>
      </c>
      <c r="G404" s="30" t="s">
        <v>954</v>
      </c>
      <c r="H404" s="28">
        <v>98641000</v>
      </c>
      <c r="I404" s="23" t="s">
        <v>2219</v>
      </c>
      <c r="J404" s="23" t="s">
        <v>2250</v>
      </c>
      <c r="K404" s="23" t="s">
        <v>754</v>
      </c>
      <c r="L404" s="23" t="str">
        <f>VLOOKUP(K404,Матрицы!B:C,2,0)</f>
        <v>село</v>
      </c>
      <c r="M404" s="31" t="s">
        <v>1549</v>
      </c>
      <c r="N404" s="28">
        <v>98641425106</v>
      </c>
      <c r="O404" s="32">
        <v>0</v>
      </c>
      <c r="P404" s="1">
        <v>2</v>
      </c>
      <c r="Q404" s="1" t="s">
        <v>2254</v>
      </c>
      <c r="R404" s="1" t="s">
        <v>2255</v>
      </c>
    </row>
    <row r="405" spans="1:18">
      <c r="A405" s="23">
        <v>404</v>
      </c>
      <c r="B405" s="27">
        <f t="shared" si="7"/>
        <v>98641430101</v>
      </c>
      <c r="C405" s="23" t="s">
        <v>735</v>
      </c>
      <c r="D405" s="28">
        <v>98600000</v>
      </c>
      <c r="E405" s="23" t="s">
        <v>735</v>
      </c>
      <c r="F405" s="28">
        <v>98000000</v>
      </c>
      <c r="G405" s="30" t="s">
        <v>954</v>
      </c>
      <c r="H405" s="28">
        <v>98641000</v>
      </c>
      <c r="I405" s="23" t="s">
        <v>2219</v>
      </c>
      <c r="J405" s="23" t="s">
        <v>2256</v>
      </c>
      <c r="K405" s="23" t="s">
        <v>754</v>
      </c>
      <c r="L405" s="23" t="str">
        <f>VLOOKUP(K405,Матрицы!B:C,2,0)</f>
        <v>село</v>
      </c>
      <c r="M405" s="31" t="s">
        <v>817</v>
      </c>
      <c r="N405" s="28">
        <v>98641430101</v>
      </c>
      <c r="O405" s="36">
        <v>235</v>
      </c>
      <c r="P405" s="1">
        <v>2</v>
      </c>
      <c r="Q405" s="11" t="s">
        <v>2257</v>
      </c>
      <c r="R405" s="11" t="s">
        <v>2258</v>
      </c>
    </row>
    <row r="406" spans="1:18">
      <c r="A406" s="23">
        <v>405</v>
      </c>
      <c r="B406" s="27">
        <f t="shared" si="7"/>
        <v>98641430106</v>
      </c>
      <c r="C406" s="23" t="s">
        <v>735</v>
      </c>
      <c r="D406" s="28">
        <v>98600000</v>
      </c>
      <c r="E406" s="23" t="s">
        <v>735</v>
      </c>
      <c r="F406" s="28">
        <v>98000000</v>
      </c>
      <c r="G406" s="30" t="s">
        <v>954</v>
      </c>
      <c r="H406" s="28">
        <v>98641000</v>
      </c>
      <c r="I406" s="23" t="s">
        <v>2219</v>
      </c>
      <c r="J406" s="23" t="s">
        <v>2256</v>
      </c>
      <c r="K406" s="23" t="s">
        <v>754</v>
      </c>
      <c r="L406" s="23" t="str">
        <f>VLOOKUP(K406,Матрицы!B:C,2,0)</f>
        <v>село</v>
      </c>
      <c r="M406" s="31" t="s">
        <v>2259</v>
      </c>
      <c r="N406" s="28">
        <v>98641430106</v>
      </c>
      <c r="O406" s="36">
        <v>665</v>
      </c>
      <c r="P406" s="1">
        <v>2</v>
      </c>
      <c r="Q406" s="1" t="s">
        <v>2260</v>
      </c>
      <c r="R406" s="1" t="s">
        <v>2261</v>
      </c>
    </row>
    <row r="407" spans="1:18">
      <c r="A407" s="23">
        <v>406</v>
      </c>
      <c r="B407" s="27">
        <f t="shared" si="7"/>
        <v>98641434101</v>
      </c>
      <c r="C407" s="23" t="s">
        <v>735</v>
      </c>
      <c r="D407" s="28">
        <v>98600000</v>
      </c>
      <c r="E407" s="23" t="s">
        <v>735</v>
      </c>
      <c r="F407" s="28">
        <v>98000000</v>
      </c>
      <c r="G407" s="30" t="s">
        <v>954</v>
      </c>
      <c r="H407" s="28">
        <v>98641000</v>
      </c>
      <c r="I407" s="23" t="s">
        <v>2219</v>
      </c>
      <c r="J407" s="23" t="s">
        <v>2262</v>
      </c>
      <c r="K407" s="23" t="s">
        <v>754</v>
      </c>
      <c r="L407" s="23" t="str">
        <f>VLOOKUP(K407,Матрицы!B:C,2,0)</f>
        <v>село</v>
      </c>
      <c r="M407" s="31" t="s">
        <v>2263</v>
      </c>
      <c r="N407" s="28">
        <v>98641434101</v>
      </c>
      <c r="O407" s="36">
        <v>283</v>
      </c>
      <c r="P407" s="1">
        <v>2</v>
      </c>
      <c r="Q407" s="1" t="s">
        <v>2264</v>
      </c>
      <c r="R407" s="1" t="s">
        <v>2265</v>
      </c>
    </row>
    <row r="408" spans="1:18">
      <c r="A408" s="23">
        <v>407</v>
      </c>
      <c r="B408" s="27">
        <f t="shared" si="7"/>
        <v>98641434106</v>
      </c>
      <c r="C408" s="23" t="s">
        <v>735</v>
      </c>
      <c r="D408" s="28">
        <v>98600000</v>
      </c>
      <c r="E408" s="23" t="s">
        <v>735</v>
      </c>
      <c r="F408" s="28">
        <v>98000000</v>
      </c>
      <c r="G408" s="30" t="s">
        <v>954</v>
      </c>
      <c r="H408" s="28">
        <v>98641000</v>
      </c>
      <c r="I408" s="23" t="s">
        <v>2219</v>
      </c>
      <c r="J408" s="23" t="s">
        <v>2262</v>
      </c>
      <c r="K408" s="23" t="s">
        <v>754</v>
      </c>
      <c r="L408" s="23" t="str">
        <f>VLOOKUP(K408,Матрицы!B:C,2,0)</f>
        <v>село</v>
      </c>
      <c r="M408" s="31" t="s">
        <v>2266</v>
      </c>
      <c r="N408" s="28">
        <v>98641434106</v>
      </c>
      <c r="O408" s="32">
        <v>0</v>
      </c>
      <c r="P408" s="1">
        <v>2</v>
      </c>
      <c r="Q408" s="1" t="s">
        <v>2267</v>
      </c>
      <c r="R408" s="1" t="s">
        <v>2268</v>
      </c>
    </row>
    <row r="409" spans="1:18">
      <c r="A409" s="23">
        <v>408</v>
      </c>
      <c r="B409" s="27">
        <f t="shared" si="7"/>
        <v>98641434111</v>
      </c>
      <c r="C409" s="23" t="s">
        <v>735</v>
      </c>
      <c r="D409" s="28">
        <v>98600000</v>
      </c>
      <c r="E409" s="23" t="s">
        <v>735</v>
      </c>
      <c r="F409" s="28">
        <v>98000000</v>
      </c>
      <c r="G409" s="30" t="s">
        <v>954</v>
      </c>
      <c r="H409" s="28">
        <v>98641000</v>
      </c>
      <c r="I409" s="23" t="s">
        <v>2219</v>
      </c>
      <c r="J409" s="23" t="s">
        <v>2262</v>
      </c>
      <c r="K409" s="23" t="s">
        <v>754</v>
      </c>
      <c r="L409" s="23" t="str">
        <f>VLOOKUP(K409,Матрицы!B:C,2,0)</f>
        <v>село</v>
      </c>
      <c r="M409" s="31" t="s">
        <v>2269</v>
      </c>
      <c r="N409" s="28">
        <v>98641434111</v>
      </c>
      <c r="O409" s="36">
        <v>1</v>
      </c>
      <c r="P409" s="1">
        <v>2</v>
      </c>
      <c r="Q409" s="1" t="s">
        <v>2270</v>
      </c>
      <c r="R409" s="1" t="s">
        <v>2271</v>
      </c>
    </row>
    <row r="410" spans="1:18">
      <c r="A410" s="23">
        <v>409</v>
      </c>
      <c r="B410" s="27">
        <f t="shared" si="7"/>
        <v>98641434116</v>
      </c>
      <c r="C410" s="23" t="s">
        <v>735</v>
      </c>
      <c r="D410" s="28">
        <v>98600000</v>
      </c>
      <c r="E410" s="23" t="s">
        <v>735</v>
      </c>
      <c r="F410" s="28">
        <v>98000000</v>
      </c>
      <c r="G410" s="30" t="s">
        <v>954</v>
      </c>
      <c r="H410" s="28">
        <v>98641000</v>
      </c>
      <c r="I410" s="23" t="s">
        <v>2219</v>
      </c>
      <c r="J410" s="23" t="s">
        <v>2262</v>
      </c>
      <c r="K410" s="23" t="s">
        <v>754</v>
      </c>
      <c r="L410" s="23" t="str">
        <f>VLOOKUP(K410,Матрицы!B:C,2,0)</f>
        <v>село</v>
      </c>
      <c r="M410" s="31" t="s">
        <v>2272</v>
      </c>
      <c r="N410" s="28">
        <v>98641434116</v>
      </c>
      <c r="O410" s="36">
        <v>9</v>
      </c>
      <c r="P410" s="1">
        <v>2</v>
      </c>
      <c r="Q410" s="1" t="s">
        <v>2273</v>
      </c>
      <c r="R410" s="1" t="s">
        <v>2274</v>
      </c>
    </row>
    <row r="411" spans="1:18">
      <c r="A411" s="23">
        <v>410</v>
      </c>
      <c r="B411" s="27">
        <f t="shared" si="7"/>
        <v>98641435101</v>
      </c>
      <c r="C411" s="23" t="s">
        <v>735</v>
      </c>
      <c r="D411" s="28">
        <v>98600000</v>
      </c>
      <c r="E411" s="23" t="s">
        <v>735</v>
      </c>
      <c r="F411" s="28">
        <v>98000000</v>
      </c>
      <c r="G411" s="30" t="s">
        <v>954</v>
      </c>
      <c r="H411" s="28">
        <v>98641000</v>
      </c>
      <c r="I411" s="23" t="s">
        <v>2219</v>
      </c>
      <c r="J411" s="23" t="s">
        <v>1703</v>
      </c>
      <c r="K411" s="23" t="s">
        <v>754</v>
      </c>
      <c r="L411" s="23" t="str">
        <f>VLOOKUP(K411,Матрицы!B:C,2,0)</f>
        <v>село</v>
      </c>
      <c r="M411" s="31" t="s">
        <v>611</v>
      </c>
      <c r="N411" s="28">
        <v>98641435101</v>
      </c>
      <c r="O411" s="36">
        <v>1032</v>
      </c>
      <c r="P411" s="1">
        <v>2</v>
      </c>
      <c r="Q411" s="1" t="s">
        <v>2275</v>
      </c>
      <c r="R411" s="1" t="s">
        <v>2276</v>
      </c>
    </row>
    <row r="412" spans="1:18">
      <c r="A412" s="23">
        <v>411</v>
      </c>
      <c r="B412" s="27">
        <f t="shared" si="7"/>
        <v>98641435106</v>
      </c>
      <c r="C412" s="23" t="s">
        <v>735</v>
      </c>
      <c r="D412" s="28">
        <v>98600000</v>
      </c>
      <c r="E412" s="23" t="s">
        <v>735</v>
      </c>
      <c r="F412" s="28">
        <v>98000000</v>
      </c>
      <c r="G412" s="30" t="s">
        <v>954</v>
      </c>
      <c r="H412" s="28">
        <v>98641000</v>
      </c>
      <c r="I412" s="23" t="s">
        <v>2219</v>
      </c>
      <c r="J412" s="23" t="s">
        <v>1703</v>
      </c>
      <c r="K412" s="23" t="s">
        <v>754</v>
      </c>
      <c r="L412" s="23" t="str">
        <f>VLOOKUP(K412,Матрицы!B:C,2,0)</f>
        <v>село</v>
      </c>
      <c r="M412" s="31" t="s">
        <v>2277</v>
      </c>
      <c r="N412" s="28">
        <v>98641435106</v>
      </c>
      <c r="O412" s="36">
        <v>8</v>
      </c>
      <c r="P412" s="1">
        <v>2</v>
      </c>
      <c r="Q412" s="1" t="s">
        <v>2278</v>
      </c>
      <c r="R412" s="1" t="s">
        <v>2279</v>
      </c>
    </row>
    <row r="413" spans="1:18">
      <c r="A413" s="23">
        <v>412</v>
      </c>
      <c r="B413" s="27">
        <f t="shared" si="7"/>
        <v>98641435111</v>
      </c>
      <c r="C413" s="23" t="s">
        <v>735</v>
      </c>
      <c r="D413" s="28">
        <v>98600000</v>
      </c>
      <c r="E413" s="23" t="s">
        <v>735</v>
      </c>
      <c r="F413" s="28">
        <v>98000000</v>
      </c>
      <c r="G413" s="30" t="s">
        <v>954</v>
      </c>
      <c r="H413" s="28">
        <v>98641000</v>
      </c>
      <c r="I413" s="23" t="s">
        <v>2219</v>
      </c>
      <c r="J413" s="23" t="s">
        <v>1703</v>
      </c>
      <c r="K413" s="23" t="s">
        <v>754</v>
      </c>
      <c r="L413" s="23" t="str">
        <f>VLOOKUP(K413,Матрицы!B:C,2,0)</f>
        <v>село</v>
      </c>
      <c r="M413" s="31" t="s">
        <v>2280</v>
      </c>
      <c r="N413" s="28">
        <v>98641435111</v>
      </c>
      <c r="O413" s="36">
        <v>11</v>
      </c>
      <c r="P413" s="1">
        <v>2</v>
      </c>
      <c r="Q413" s="1" t="s">
        <v>2281</v>
      </c>
      <c r="R413" s="1" t="s">
        <v>2282</v>
      </c>
    </row>
    <row r="414" spans="1:18">
      <c r="A414" s="23">
        <v>413</v>
      </c>
      <c r="B414" s="27">
        <f t="shared" si="7"/>
        <v>98641440101</v>
      </c>
      <c r="C414" s="23" t="s">
        <v>735</v>
      </c>
      <c r="D414" s="28">
        <v>98600000</v>
      </c>
      <c r="E414" s="23" t="s">
        <v>735</v>
      </c>
      <c r="F414" s="28">
        <v>98000000</v>
      </c>
      <c r="G414" s="30" t="s">
        <v>954</v>
      </c>
      <c r="H414" s="28">
        <v>98641000</v>
      </c>
      <c r="I414" s="23" t="s">
        <v>2219</v>
      </c>
      <c r="J414" s="23" t="s">
        <v>2283</v>
      </c>
      <c r="K414" s="23" t="s">
        <v>754</v>
      </c>
      <c r="L414" s="23" t="str">
        <f>VLOOKUP(K414,Матрицы!B:C,2,0)</f>
        <v>село</v>
      </c>
      <c r="M414" s="31" t="s">
        <v>51</v>
      </c>
      <c r="N414" s="28">
        <v>98641440101</v>
      </c>
      <c r="O414" s="36">
        <v>357</v>
      </c>
      <c r="P414" s="1">
        <v>2</v>
      </c>
      <c r="Q414" s="1" t="s">
        <v>2284</v>
      </c>
      <c r="R414" s="1" t="s">
        <v>2285</v>
      </c>
    </row>
    <row r="415" spans="1:18">
      <c r="A415" s="23">
        <v>414</v>
      </c>
      <c r="B415" s="27">
        <f t="shared" si="7"/>
        <v>98641445101</v>
      </c>
      <c r="C415" s="23" t="s">
        <v>735</v>
      </c>
      <c r="D415" s="28">
        <v>98600000</v>
      </c>
      <c r="E415" s="23" t="s">
        <v>735</v>
      </c>
      <c r="F415" s="28">
        <v>98000000</v>
      </c>
      <c r="G415" s="30" t="s">
        <v>954</v>
      </c>
      <c r="H415" s="28">
        <v>98641000</v>
      </c>
      <c r="I415" s="23" t="s">
        <v>2219</v>
      </c>
      <c r="J415" s="23" t="s">
        <v>2286</v>
      </c>
      <c r="K415" s="23" t="s">
        <v>754</v>
      </c>
      <c r="L415" s="23" t="str">
        <f>VLOOKUP(K415,Матрицы!B:C,2,0)</f>
        <v>село</v>
      </c>
      <c r="M415" s="31" t="s">
        <v>2287</v>
      </c>
      <c r="N415" s="28">
        <v>98641445101</v>
      </c>
      <c r="O415" s="36">
        <v>509</v>
      </c>
      <c r="P415" s="1">
        <v>2</v>
      </c>
      <c r="Q415" s="1" t="s">
        <v>2288</v>
      </c>
      <c r="R415" s="1" t="s">
        <v>2289</v>
      </c>
    </row>
    <row r="416" spans="1:18">
      <c r="A416" s="23">
        <v>415</v>
      </c>
      <c r="B416" s="27">
        <f t="shared" si="7"/>
        <v>98641445106</v>
      </c>
      <c r="C416" s="23" t="s">
        <v>735</v>
      </c>
      <c r="D416" s="28">
        <v>98600000</v>
      </c>
      <c r="E416" s="23" t="s">
        <v>735</v>
      </c>
      <c r="F416" s="28">
        <v>98000000</v>
      </c>
      <c r="G416" s="30" t="s">
        <v>954</v>
      </c>
      <c r="H416" s="28">
        <v>98641000</v>
      </c>
      <c r="I416" s="23" t="s">
        <v>2219</v>
      </c>
      <c r="J416" s="23" t="s">
        <v>2286</v>
      </c>
      <c r="K416" s="23" t="s">
        <v>754</v>
      </c>
      <c r="L416" s="23" t="str">
        <f>VLOOKUP(K416,Матрицы!B:C,2,0)</f>
        <v>село</v>
      </c>
      <c r="M416" s="31" t="s">
        <v>2290</v>
      </c>
      <c r="N416" s="28">
        <v>98641445106</v>
      </c>
      <c r="O416" s="36">
        <v>129</v>
      </c>
      <c r="P416" s="1">
        <v>2</v>
      </c>
      <c r="Q416" s="1" t="s">
        <v>2291</v>
      </c>
      <c r="R416" s="1" t="s">
        <v>2292</v>
      </c>
    </row>
    <row r="417" spans="1:18">
      <c r="A417" s="23">
        <v>416</v>
      </c>
      <c r="B417" s="27">
        <f t="shared" si="7"/>
        <v>98641445111</v>
      </c>
      <c r="C417" s="23" t="s">
        <v>735</v>
      </c>
      <c r="D417" s="28">
        <v>98600000</v>
      </c>
      <c r="E417" s="23" t="s">
        <v>735</v>
      </c>
      <c r="F417" s="28">
        <v>98000000</v>
      </c>
      <c r="G417" s="30" t="s">
        <v>954</v>
      </c>
      <c r="H417" s="28">
        <v>98641000</v>
      </c>
      <c r="I417" s="23" t="s">
        <v>2219</v>
      </c>
      <c r="J417" s="23" t="s">
        <v>2286</v>
      </c>
      <c r="K417" s="23" t="s">
        <v>754</v>
      </c>
      <c r="L417" s="23" t="str">
        <f>VLOOKUP(K417,Матрицы!B:C,2,0)</f>
        <v>село</v>
      </c>
      <c r="M417" s="31" t="s">
        <v>2293</v>
      </c>
      <c r="N417" s="28">
        <v>98641445111</v>
      </c>
      <c r="O417" s="36">
        <v>1</v>
      </c>
      <c r="P417" s="1">
        <v>2</v>
      </c>
      <c r="Q417" s="1" t="s">
        <v>2294</v>
      </c>
      <c r="R417" s="1" t="s">
        <v>2295</v>
      </c>
    </row>
    <row r="418" spans="1:18">
      <c r="A418" s="23">
        <v>417</v>
      </c>
      <c r="B418" s="27">
        <f t="shared" si="7"/>
        <v>98641445116</v>
      </c>
      <c r="C418" s="23" t="s">
        <v>735</v>
      </c>
      <c r="D418" s="28">
        <v>98600000</v>
      </c>
      <c r="E418" s="23" t="s">
        <v>735</v>
      </c>
      <c r="F418" s="28">
        <v>98000000</v>
      </c>
      <c r="G418" s="30" t="s">
        <v>954</v>
      </c>
      <c r="H418" s="28">
        <v>98641000</v>
      </c>
      <c r="I418" s="23" t="s">
        <v>2219</v>
      </c>
      <c r="J418" s="23" t="s">
        <v>2286</v>
      </c>
      <c r="K418" s="23" t="s">
        <v>754</v>
      </c>
      <c r="L418" s="23" t="str">
        <f>VLOOKUP(K418,Матрицы!B:C,2,0)</f>
        <v>село</v>
      </c>
      <c r="M418" s="31" t="s">
        <v>2296</v>
      </c>
      <c r="N418" s="28">
        <v>98641445116</v>
      </c>
      <c r="O418" s="36">
        <v>151</v>
      </c>
      <c r="P418" s="1">
        <v>2</v>
      </c>
      <c r="Q418" s="1" t="s">
        <v>2288</v>
      </c>
      <c r="R418" s="1" t="s">
        <v>2297</v>
      </c>
    </row>
    <row r="419" spans="1:18">
      <c r="A419" s="23">
        <v>418</v>
      </c>
      <c r="B419" s="27">
        <f t="shared" si="7"/>
        <v>98641450101</v>
      </c>
      <c r="C419" s="23" t="s">
        <v>735</v>
      </c>
      <c r="D419" s="28">
        <v>98600000</v>
      </c>
      <c r="E419" s="23" t="s">
        <v>735</v>
      </c>
      <c r="F419" s="28">
        <v>98000000</v>
      </c>
      <c r="G419" s="30" t="s">
        <v>954</v>
      </c>
      <c r="H419" s="28">
        <v>98641000</v>
      </c>
      <c r="I419" s="23" t="s">
        <v>2219</v>
      </c>
      <c r="J419" s="23" t="s">
        <v>2298</v>
      </c>
      <c r="K419" s="23" t="s">
        <v>754</v>
      </c>
      <c r="L419" s="23" t="str">
        <f>VLOOKUP(K419,Матрицы!B:C,2,0)</f>
        <v>село</v>
      </c>
      <c r="M419" s="31" t="s">
        <v>2299</v>
      </c>
      <c r="N419" s="28">
        <v>98641450101</v>
      </c>
      <c r="O419" s="36">
        <v>657</v>
      </c>
      <c r="P419" s="1">
        <v>2</v>
      </c>
      <c r="Q419" s="1" t="s">
        <v>2300</v>
      </c>
      <c r="R419" s="1" t="s">
        <v>2301</v>
      </c>
    </row>
    <row r="420" spans="1:18">
      <c r="A420" s="23">
        <v>419</v>
      </c>
      <c r="B420" s="27">
        <f t="shared" si="7"/>
        <v>98641450106</v>
      </c>
      <c r="C420" s="23" t="s">
        <v>735</v>
      </c>
      <c r="D420" s="28">
        <v>98600000</v>
      </c>
      <c r="E420" s="23" t="s">
        <v>735</v>
      </c>
      <c r="F420" s="28">
        <v>98000000</v>
      </c>
      <c r="G420" s="30" t="s">
        <v>954</v>
      </c>
      <c r="H420" s="28">
        <v>98641000</v>
      </c>
      <c r="I420" s="23" t="s">
        <v>2219</v>
      </c>
      <c r="J420" s="23" t="s">
        <v>2298</v>
      </c>
      <c r="K420" s="23" t="s">
        <v>754</v>
      </c>
      <c r="L420" s="23" t="str">
        <f>VLOOKUP(K420,Матрицы!B:C,2,0)</f>
        <v>село</v>
      </c>
      <c r="M420" s="31" t="s">
        <v>2302</v>
      </c>
      <c r="N420" s="28">
        <v>98641450106</v>
      </c>
      <c r="O420" s="36">
        <v>26</v>
      </c>
      <c r="P420" s="1">
        <v>2</v>
      </c>
      <c r="Q420" s="1" t="s">
        <v>2303</v>
      </c>
      <c r="R420" s="1" t="s">
        <v>2304</v>
      </c>
    </row>
    <row r="421" spans="1:18">
      <c r="A421" s="23">
        <v>420</v>
      </c>
      <c r="B421" s="27">
        <f t="shared" si="7"/>
        <v>98641450111</v>
      </c>
      <c r="C421" s="23" t="s">
        <v>735</v>
      </c>
      <c r="D421" s="28">
        <v>98600000</v>
      </c>
      <c r="E421" s="23" t="s">
        <v>735</v>
      </c>
      <c r="F421" s="28">
        <v>98000000</v>
      </c>
      <c r="G421" s="30" t="s">
        <v>954</v>
      </c>
      <c r="H421" s="28">
        <v>98641000</v>
      </c>
      <c r="I421" s="23" t="s">
        <v>2219</v>
      </c>
      <c r="J421" s="23" t="s">
        <v>2298</v>
      </c>
      <c r="K421" s="23" t="s">
        <v>754</v>
      </c>
      <c r="L421" s="23" t="str">
        <f>VLOOKUP(K421,Матрицы!B:C,2,0)</f>
        <v>село</v>
      </c>
      <c r="M421" s="31" t="s">
        <v>2305</v>
      </c>
      <c r="N421" s="28">
        <v>98641450111</v>
      </c>
      <c r="O421" s="36">
        <v>52</v>
      </c>
      <c r="P421" s="1">
        <v>2</v>
      </c>
      <c r="Q421" s="1" t="s">
        <v>2306</v>
      </c>
      <c r="R421" s="1" t="s">
        <v>2307</v>
      </c>
    </row>
    <row r="422" spans="1:18">
      <c r="A422" s="23">
        <v>421</v>
      </c>
      <c r="B422" s="27">
        <f t="shared" si="7"/>
        <v>98641453101</v>
      </c>
      <c r="C422" s="23" t="s">
        <v>735</v>
      </c>
      <c r="D422" s="28">
        <v>98600000</v>
      </c>
      <c r="E422" s="23" t="s">
        <v>735</v>
      </c>
      <c r="F422" s="28">
        <v>98000000</v>
      </c>
      <c r="G422" s="30" t="s">
        <v>954</v>
      </c>
      <c r="H422" s="28">
        <v>98641000</v>
      </c>
      <c r="I422" s="23" t="s">
        <v>2219</v>
      </c>
      <c r="J422" s="23" t="s">
        <v>2308</v>
      </c>
      <c r="K422" s="23" t="s">
        <v>754</v>
      </c>
      <c r="L422" s="23" t="str">
        <f>VLOOKUP(K422,Матрицы!B:C,2,0)</f>
        <v>село</v>
      </c>
      <c r="M422" s="31" t="s">
        <v>2309</v>
      </c>
      <c r="N422" s="28">
        <v>98641453101</v>
      </c>
      <c r="O422" s="36">
        <v>936</v>
      </c>
      <c r="P422" s="1">
        <v>2</v>
      </c>
      <c r="Q422" s="1" t="s">
        <v>2310</v>
      </c>
      <c r="R422" s="1" t="s">
        <v>2311</v>
      </c>
    </row>
    <row r="423" spans="1:18">
      <c r="A423" s="23">
        <v>422</v>
      </c>
      <c r="B423" s="27">
        <f t="shared" si="7"/>
        <v>98641460101</v>
      </c>
      <c r="C423" s="23" t="s">
        <v>735</v>
      </c>
      <c r="D423" s="28">
        <v>98600000</v>
      </c>
      <c r="E423" s="23" t="s">
        <v>735</v>
      </c>
      <c r="F423" s="28">
        <v>98000000</v>
      </c>
      <c r="G423" s="30" t="s">
        <v>954</v>
      </c>
      <c r="H423" s="28">
        <v>98641000</v>
      </c>
      <c r="I423" s="23" t="s">
        <v>2219</v>
      </c>
      <c r="J423" s="23" t="s">
        <v>2312</v>
      </c>
      <c r="K423" s="23" t="s">
        <v>754</v>
      </c>
      <c r="L423" s="23" t="str">
        <f>VLOOKUP(K423,Матрицы!B:C,2,0)</f>
        <v>село</v>
      </c>
      <c r="M423" s="31" t="s">
        <v>78</v>
      </c>
      <c r="N423" s="28">
        <v>98641460101</v>
      </c>
      <c r="O423" s="36">
        <v>438</v>
      </c>
      <c r="P423" s="1">
        <v>2</v>
      </c>
      <c r="Q423" s="1" t="s">
        <v>2313</v>
      </c>
      <c r="R423" s="1" t="s">
        <v>2314</v>
      </c>
    </row>
    <row r="424" spans="1:18">
      <c r="A424" s="23">
        <v>423</v>
      </c>
      <c r="B424" s="27">
        <f t="shared" si="7"/>
        <v>98641460106</v>
      </c>
      <c r="C424" s="23" t="s">
        <v>735</v>
      </c>
      <c r="D424" s="28">
        <v>98600000</v>
      </c>
      <c r="E424" s="23" t="s">
        <v>735</v>
      </c>
      <c r="F424" s="28">
        <v>98000000</v>
      </c>
      <c r="G424" s="30" t="s">
        <v>954</v>
      </c>
      <c r="H424" s="28">
        <v>98641000</v>
      </c>
      <c r="I424" s="23" t="s">
        <v>2219</v>
      </c>
      <c r="J424" s="23" t="s">
        <v>2312</v>
      </c>
      <c r="K424" s="23" t="s">
        <v>754</v>
      </c>
      <c r="L424" s="23" t="str">
        <f>VLOOKUP(K424,Матрицы!B:C,2,0)</f>
        <v>село</v>
      </c>
      <c r="M424" s="31" t="s">
        <v>2315</v>
      </c>
      <c r="N424" s="28">
        <v>98641460106</v>
      </c>
      <c r="O424" s="32">
        <v>0</v>
      </c>
      <c r="P424" s="1">
        <v>2</v>
      </c>
      <c r="Q424" s="1" t="s">
        <v>2316</v>
      </c>
      <c r="R424" s="1" t="s">
        <v>2317</v>
      </c>
    </row>
    <row r="425" spans="1:18">
      <c r="A425" s="23">
        <v>424</v>
      </c>
      <c r="B425" s="27">
        <f t="shared" si="7"/>
        <v>98641460111</v>
      </c>
      <c r="C425" s="23" t="s">
        <v>735</v>
      </c>
      <c r="D425" s="28">
        <v>98600000</v>
      </c>
      <c r="E425" s="23" t="s">
        <v>735</v>
      </c>
      <c r="F425" s="28">
        <v>98000000</v>
      </c>
      <c r="G425" s="30" t="s">
        <v>954</v>
      </c>
      <c r="H425" s="28">
        <v>98641000</v>
      </c>
      <c r="I425" s="23" t="s">
        <v>2219</v>
      </c>
      <c r="J425" s="23" t="s">
        <v>2312</v>
      </c>
      <c r="K425" s="23" t="s">
        <v>754</v>
      </c>
      <c r="L425" s="23" t="str">
        <f>VLOOKUP(K425,Матрицы!B:C,2,0)</f>
        <v>село</v>
      </c>
      <c r="M425" s="31" t="s">
        <v>2318</v>
      </c>
      <c r="N425" s="28">
        <v>98641460111</v>
      </c>
      <c r="O425" s="36">
        <v>88</v>
      </c>
      <c r="P425" s="1">
        <v>2</v>
      </c>
      <c r="Q425" s="1" t="s">
        <v>2319</v>
      </c>
      <c r="R425" s="1" t="s">
        <v>2320</v>
      </c>
    </row>
    <row r="426" spans="1:18">
      <c r="A426" s="23">
        <v>425</v>
      </c>
      <c r="B426" s="27">
        <f t="shared" si="7"/>
        <v>98641460116</v>
      </c>
      <c r="C426" s="23" t="s">
        <v>735</v>
      </c>
      <c r="D426" s="28">
        <v>98600000</v>
      </c>
      <c r="E426" s="23" t="s">
        <v>735</v>
      </c>
      <c r="F426" s="28">
        <v>98000000</v>
      </c>
      <c r="G426" s="30" t="s">
        <v>954</v>
      </c>
      <c r="H426" s="28">
        <v>98641000</v>
      </c>
      <c r="I426" s="23" t="s">
        <v>2219</v>
      </c>
      <c r="J426" s="23" t="s">
        <v>2312</v>
      </c>
      <c r="K426" s="23" t="s">
        <v>754</v>
      </c>
      <c r="L426" s="23" t="str">
        <f>VLOOKUP(K426,Матрицы!B:C,2,0)</f>
        <v>село</v>
      </c>
      <c r="M426" s="31" t="s">
        <v>548</v>
      </c>
      <c r="N426" s="28">
        <v>98641460116</v>
      </c>
      <c r="O426" s="36">
        <v>112</v>
      </c>
      <c r="P426" s="1">
        <v>2</v>
      </c>
      <c r="Q426" s="1" t="s">
        <v>2321</v>
      </c>
      <c r="R426" s="1" t="s">
        <v>2322</v>
      </c>
    </row>
    <row r="427" spans="1:18">
      <c r="A427" s="23">
        <v>426</v>
      </c>
      <c r="B427" s="27">
        <f t="shared" si="7"/>
        <v>98641465101</v>
      </c>
      <c r="C427" s="23" t="s">
        <v>735</v>
      </c>
      <c r="D427" s="28">
        <v>98600000</v>
      </c>
      <c r="E427" s="23" t="s">
        <v>735</v>
      </c>
      <c r="F427" s="28">
        <v>98000000</v>
      </c>
      <c r="G427" s="30" t="s">
        <v>954</v>
      </c>
      <c r="H427" s="28">
        <v>98641000</v>
      </c>
      <c r="I427" s="23" t="s">
        <v>2219</v>
      </c>
      <c r="J427" s="23" t="s">
        <v>2323</v>
      </c>
      <c r="K427" s="23" t="s">
        <v>754</v>
      </c>
      <c r="L427" s="23" t="str">
        <f>VLOOKUP(K427,Матрицы!B:C,2,0)</f>
        <v>село</v>
      </c>
      <c r="M427" s="31" t="s">
        <v>69</v>
      </c>
      <c r="N427" s="28">
        <v>98641465101</v>
      </c>
      <c r="O427" s="36">
        <v>331</v>
      </c>
      <c r="P427" s="1">
        <v>2</v>
      </c>
      <c r="Q427" s="1" t="s">
        <v>2324</v>
      </c>
      <c r="R427" s="1" t="s">
        <v>2325</v>
      </c>
    </row>
    <row r="428" spans="1:18">
      <c r="A428" s="23">
        <v>427</v>
      </c>
      <c r="B428" s="27">
        <f t="shared" si="7"/>
        <v>98641465106</v>
      </c>
      <c r="C428" s="23" t="s">
        <v>735</v>
      </c>
      <c r="D428" s="28">
        <v>98600000</v>
      </c>
      <c r="E428" s="23" t="s">
        <v>735</v>
      </c>
      <c r="F428" s="28">
        <v>98000000</v>
      </c>
      <c r="G428" s="30" t="s">
        <v>954</v>
      </c>
      <c r="H428" s="28">
        <v>98641000</v>
      </c>
      <c r="I428" s="23" t="s">
        <v>2219</v>
      </c>
      <c r="J428" s="23" t="s">
        <v>2323</v>
      </c>
      <c r="K428" s="23" t="s">
        <v>754</v>
      </c>
      <c r="L428" s="23" t="str">
        <f>VLOOKUP(K428,Матрицы!B:C,2,0)</f>
        <v>село</v>
      </c>
      <c r="M428" s="31" t="s">
        <v>1240</v>
      </c>
      <c r="N428" s="28">
        <v>98641465106</v>
      </c>
      <c r="O428" s="32">
        <v>0</v>
      </c>
      <c r="P428" s="1">
        <v>2</v>
      </c>
      <c r="Q428" s="1" t="s">
        <v>2326</v>
      </c>
      <c r="R428" s="1" t="s">
        <v>2327</v>
      </c>
    </row>
    <row r="429" spans="1:18">
      <c r="A429" s="23">
        <v>428</v>
      </c>
      <c r="B429" s="27">
        <f t="shared" si="7"/>
        <v>98641470101</v>
      </c>
      <c r="C429" s="23" t="s">
        <v>735</v>
      </c>
      <c r="D429" s="28">
        <v>98600000</v>
      </c>
      <c r="E429" s="23" t="s">
        <v>735</v>
      </c>
      <c r="F429" s="28">
        <v>98000000</v>
      </c>
      <c r="G429" s="30" t="s">
        <v>954</v>
      </c>
      <c r="H429" s="28">
        <v>98641000</v>
      </c>
      <c r="I429" s="23" t="s">
        <v>2219</v>
      </c>
      <c r="J429" s="23" t="s">
        <v>2328</v>
      </c>
      <c r="K429" s="23" t="s">
        <v>754</v>
      </c>
      <c r="L429" s="23" t="str">
        <f>VLOOKUP(K429,Матрицы!B:C,2,0)</f>
        <v>село</v>
      </c>
      <c r="M429" s="31" t="s">
        <v>2329</v>
      </c>
      <c r="N429" s="28">
        <v>98641470101</v>
      </c>
      <c r="O429" s="36">
        <v>216</v>
      </c>
      <c r="P429" s="1">
        <v>2</v>
      </c>
      <c r="Q429" s="1" t="s">
        <v>2330</v>
      </c>
      <c r="R429" s="1" t="s">
        <v>2331</v>
      </c>
    </row>
    <row r="430" spans="1:18">
      <c r="A430" s="23">
        <v>429</v>
      </c>
      <c r="B430" s="27">
        <f t="shared" si="7"/>
        <v>98641475056</v>
      </c>
      <c r="C430" s="23" t="s">
        <v>735</v>
      </c>
      <c r="D430" s="28">
        <v>98600000</v>
      </c>
      <c r="E430" s="23" t="s">
        <v>735</v>
      </c>
      <c r="F430" s="28">
        <v>98000000</v>
      </c>
      <c r="G430" s="30" t="s">
        <v>954</v>
      </c>
      <c r="H430" s="28">
        <v>98641000</v>
      </c>
      <c r="I430" s="23" t="s">
        <v>2219</v>
      </c>
      <c r="J430" s="23" t="s">
        <v>2332</v>
      </c>
      <c r="K430" s="23" t="s">
        <v>819</v>
      </c>
      <c r="L430" s="23" t="str">
        <f>VLOOKUP(K430,Матрицы!B:C,2,0)</f>
        <v>поселок</v>
      </c>
      <c r="M430" s="31" t="s">
        <v>2333</v>
      </c>
      <c r="N430" s="28">
        <v>98641475056</v>
      </c>
      <c r="O430" s="32">
        <v>0</v>
      </c>
      <c r="P430" s="1">
        <v>1</v>
      </c>
      <c r="Q430" s="1" t="s">
        <v>2334</v>
      </c>
      <c r="R430" s="1" t="s">
        <v>2335</v>
      </c>
    </row>
    <row r="431" spans="1:18">
      <c r="A431" s="23">
        <v>430</v>
      </c>
      <c r="B431" s="27">
        <f t="shared" si="7"/>
        <v>98641475101</v>
      </c>
      <c r="C431" s="23" t="s">
        <v>735</v>
      </c>
      <c r="D431" s="28">
        <v>98600000</v>
      </c>
      <c r="E431" s="23" t="s">
        <v>735</v>
      </c>
      <c r="F431" s="28">
        <v>98000000</v>
      </c>
      <c r="G431" s="30" t="s">
        <v>954</v>
      </c>
      <c r="H431" s="28">
        <v>98641000</v>
      </c>
      <c r="I431" s="23" t="s">
        <v>2219</v>
      </c>
      <c r="J431" s="23" t="s">
        <v>2332</v>
      </c>
      <c r="K431" s="23" t="s">
        <v>754</v>
      </c>
      <c r="L431" s="23" t="str">
        <f>VLOOKUP(K431,Матрицы!B:C,2,0)</f>
        <v>село</v>
      </c>
      <c r="M431" s="31" t="s">
        <v>279</v>
      </c>
      <c r="N431" s="28">
        <v>98641475101</v>
      </c>
      <c r="O431" s="36">
        <v>476</v>
      </c>
      <c r="P431" s="1">
        <v>2</v>
      </c>
      <c r="Q431" s="1" t="s">
        <v>2336</v>
      </c>
      <c r="R431" s="1" t="s">
        <v>2337</v>
      </c>
    </row>
    <row r="432" spans="1:18">
      <c r="A432" s="23">
        <v>431</v>
      </c>
      <c r="B432" s="27">
        <f t="shared" si="7"/>
        <v>98641477101</v>
      </c>
      <c r="C432" s="23" t="s">
        <v>735</v>
      </c>
      <c r="D432" s="28">
        <v>98600000</v>
      </c>
      <c r="E432" s="23" t="s">
        <v>735</v>
      </c>
      <c r="F432" s="28">
        <v>98000000</v>
      </c>
      <c r="G432" s="30" t="s">
        <v>954</v>
      </c>
      <c r="H432" s="28">
        <v>98641000</v>
      </c>
      <c r="I432" s="23" t="s">
        <v>2219</v>
      </c>
      <c r="J432" s="23" t="s">
        <v>2338</v>
      </c>
      <c r="K432" s="23" t="s">
        <v>754</v>
      </c>
      <c r="L432" s="23" t="str">
        <f>VLOOKUP(K432,Матрицы!B:C,2,0)</f>
        <v>село</v>
      </c>
      <c r="M432" s="31" t="s">
        <v>2339</v>
      </c>
      <c r="N432" s="28">
        <v>98641477101</v>
      </c>
      <c r="O432" s="36">
        <v>370</v>
      </c>
      <c r="P432" s="1">
        <v>2</v>
      </c>
      <c r="Q432" s="1" t="s">
        <v>2340</v>
      </c>
      <c r="R432" s="1" t="s">
        <v>2341</v>
      </c>
    </row>
    <row r="433" spans="1:18">
      <c r="A433" s="23">
        <v>432</v>
      </c>
      <c r="B433" s="27">
        <f t="shared" si="7"/>
        <v>98641480101</v>
      </c>
      <c r="C433" s="23" t="s">
        <v>735</v>
      </c>
      <c r="D433" s="28">
        <v>98600000</v>
      </c>
      <c r="E433" s="23" t="s">
        <v>735</v>
      </c>
      <c r="F433" s="28">
        <v>98000000</v>
      </c>
      <c r="G433" s="30" t="s">
        <v>954</v>
      </c>
      <c r="H433" s="28">
        <v>98641000</v>
      </c>
      <c r="I433" s="23" t="s">
        <v>2219</v>
      </c>
      <c r="J433" s="23" t="s">
        <v>2342</v>
      </c>
      <c r="K433" s="23" t="s">
        <v>754</v>
      </c>
      <c r="L433" s="23" t="str">
        <f>VLOOKUP(K433,Матрицы!B:C,2,0)</f>
        <v>село</v>
      </c>
      <c r="M433" s="31" t="s">
        <v>2343</v>
      </c>
      <c r="N433" s="28">
        <v>98641480101</v>
      </c>
      <c r="O433" s="36">
        <v>246</v>
      </c>
      <c r="P433" s="1">
        <v>2</v>
      </c>
      <c r="Q433" s="1" t="s">
        <v>2344</v>
      </c>
      <c r="R433" s="1" t="s">
        <v>2345</v>
      </c>
    </row>
    <row r="434" spans="1:18">
      <c r="A434" s="23">
        <v>433</v>
      </c>
      <c r="B434" s="27">
        <f t="shared" si="7"/>
        <v>98641480106</v>
      </c>
      <c r="C434" s="23" t="s">
        <v>735</v>
      </c>
      <c r="D434" s="28">
        <v>98600000</v>
      </c>
      <c r="E434" s="23" t="s">
        <v>735</v>
      </c>
      <c r="F434" s="28">
        <v>98000000</v>
      </c>
      <c r="G434" s="30" t="s">
        <v>954</v>
      </c>
      <c r="H434" s="28">
        <v>98641000</v>
      </c>
      <c r="I434" s="23" t="s">
        <v>2219</v>
      </c>
      <c r="J434" s="23" t="s">
        <v>2342</v>
      </c>
      <c r="K434" s="23" t="s">
        <v>754</v>
      </c>
      <c r="L434" s="23" t="str">
        <f>VLOOKUP(K434,Матрицы!B:C,2,0)</f>
        <v>село</v>
      </c>
      <c r="M434" s="31" t="s">
        <v>75</v>
      </c>
      <c r="N434" s="28">
        <v>98641480106</v>
      </c>
      <c r="O434" s="36">
        <v>6</v>
      </c>
      <c r="P434" s="1">
        <v>2</v>
      </c>
      <c r="Q434" s="1" t="s">
        <v>2346</v>
      </c>
      <c r="R434" s="1" t="s">
        <v>2347</v>
      </c>
    </row>
    <row r="435" spans="1:18">
      <c r="A435" s="23">
        <v>434</v>
      </c>
      <c r="B435" s="27">
        <f t="shared" si="7"/>
        <v>98641485101</v>
      </c>
      <c r="C435" s="23" t="s">
        <v>735</v>
      </c>
      <c r="D435" s="28">
        <v>98600000</v>
      </c>
      <c r="E435" s="23" t="s">
        <v>735</v>
      </c>
      <c r="F435" s="28">
        <v>98000000</v>
      </c>
      <c r="G435" s="30" t="s">
        <v>954</v>
      </c>
      <c r="H435" s="28">
        <v>98641000</v>
      </c>
      <c r="I435" s="23" t="s">
        <v>2219</v>
      </c>
      <c r="J435" s="23" t="s">
        <v>1293</v>
      </c>
      <c r="K435" s="23" t="s">
        <v>754</v>
      </c>
      <c r="L435" s="23" t="str">
        <f>VLOOKUP(K435,Матрицы!B:C,2,0)</f>
        <v>село</v>
      </c>
      <c r="M435" s="31" t="s">
        <v>2348</v>
      </c>
      <c r="N435" s="28">
        <v>98641485101</v>
      </c>
      <c r="O435" s="36">
        <v>603</v>
      </c>
      <c r="P435" s="1">
        <v>2</v>
      </c>
      <c r="Q435" s="1" t="s">
        <v>2349</v>
      </c>
      <c r="R435" s="1" t="s">
        <v>2350</v>
      </c>
    </row>
    <row r="436" spans="1:18">
      <c r="A436" s="23">
        <v>435</v>
      </c>
      <c r="B436" s="27">
        <f t="shared" si="7"/>
        <v>98641485106</v>
      </c>
      <c r="C436" s="23" t="s">
        <v>735</v>
      </c>
      <c r="D436" s="28">
        <v>98600000</v>
      </c>
      <c r="E436" s="23" t="s">
        <v>735</v>
      </c>
      <c r="F436" s="28">
        <v>98000000</v>
      </c>
      <c r="G436" s="30" t="s">
        <v>954</v>
      </c>
      <c r="H436" s="28">
        <v>98641000</v>
      </c>
      <c r="I436" s="23" t="s">
        <v>2219</v>
      </c>
      <c r="J436" s="23" t="s">
        <v>1293</v>
      </c>
      <c r="K436" s="23" t="s">
        <v>754</v>
      </c>
      <c r="L436" s="23" t="str">
        <f>VLOOKUP(K436,Матрицы!B:C,2,0)</f>
        <v>село</v>
      </c>
      <c r="M436" s="31" t="s">
        <v>1194</v>
      </c>
      <c r="N436" s="28">
        <v>98641485106</v>
      </c>
      <c r="O436" s="36">
        <v>57</v>
      </c>
      <c r="P436" s="1">
        <v>2</v>
      </c>
      <c r="Q436" s="1" t="s">
        <v>2351</v>
      </c>
      <c r="R436" s="1" t="s">
        <v>2352</v>
      </c>
    </row>
    <row r="437" spans="1:18">
      <c r="A437" s="23">
        <v>436</v>
      </c>
      <c r="B437" s="27">
        <f t="shared" si="7"/>
        <v>98641485111</v>
      </c>
      <c r="C437" s="23" t="s">
        <v>735</v>
      </c>
      <c r="D437" s="28">
        <v>98600000</v>
      </c>
      <c r="E437" s="23" t="s">
        <v>735</v>
      </c>
      <c r="F437" s="28">
        <v>98000000</v>
      </c>
      <c r="G437" s="30" t="s">
        <v>954</v>
      </c>
      <c r="H437" s="28">
        <v>98641000</v>
      </c>
      <c r="I437" s="23" t="s">
        <v>2219</v>
      </c>
      <c r="J437" s="23" t="s">
        <v>1293</v>
      </c>
      <c r="K437" s="23" t="s">
        <v>754</v>
      </c>
      <c r="L437" s="23" t="str">
        <f>VLOOKUP(K437,Матрицы!B:C,2,0)</f>
        <v>село</v>
      </c>
      <c r="M437" s="31" t="s">
        <v>2353</v>
      </c>
      <c r="N437" s="28">
        <v>98641485111</v>
      </c>
      <c r="O437" s="32">
        <v>0</v>
      </c>
      <c r="P437" s="1">
        <v>2</v>
      </c>
      <c r="Q437" s="1" t="s">
        <v>2354</v>
      </c>
      <c r="R437" s="1" t="s">
        <v>2355</v>
      </c>
    </row>
    <row r="438" spans="1:18">
      <c r="A438" s="23">
        <v>437</v>
      </c>
      <c r="B438" s="27">
        <f t="shared" si="7"/>
        <v>98641487101</v>
      </c>
      <c r="C438" s="23" t="s">
        <v>735</v>
      </c>
      <c r="D438" s="28">
        <v>98600000</v>
      </c>
      <c r="E438" s="23" t="s">
        <v>735</v>
      </c>
      <c r="F438" s="28">
        <v>98000000</v>
      </c>
      <c r="G438" s="30" t="s">
        <v>954</v>
      </c>
      <c r="H438" s="28">
        <v>98641000</v>
      </c>
      <c r="I438" s="23" t="s">
        <v>2219</v>
      </c>
      <c r="J438" s="23" t="s">
        <v>2356</v>
      </c>
      <c r="K438" s="23" t="s">
        <v>754</v>
      </c>
      <c r="L438" s="23" t="str">
        <f>VLOOKUP(K438,Матрицы!B:C,2,0)</f>
        <v>село</v>
      </c>
      <c r="M438" s="31" t="s">
        <v>2357</v>
      </c>
      <c r="N438" s="28">
        <v>98641487101</v>
      </c>
      <c r="O438" s="36">
        <v>670</v>
      </c>
      <c r="P438" s="1">
        <v>2</v>
      </c>
      <c r="Q438" s="1" t="s">
        <v>2358</v>
      </c>
      <c r="R438" s="1" t="s">
        <v>2359</v>
      </c>
    </row>
    <row r="439" spans="1:18">
      <c r="A439" s="23">
        <v>438</v>
      </c>
      <c r="B439" s="27">
        <f t="shared" si="7"/>
        <v>98641487106</v>
      </c>
      <c r="C439" s="23" t="s">
        <v>735</v>
      </c>
      <c r="D439" s="28">
        <v>98600000</v>
      </c>
      <c r="E439" s="23" t="s">
        <v>735</v>
      </c>
      <c r="F439" s="28">
        <v>98000000</v>
      </c>
      <c r="G439" s="30" t="s">
        <v>954</v>
      </c>
      <c r="H439" s="28">
        <v>98641000</v>
      </c>
      <c r="I439" s="23" t="s">
        <v>2219</v>
      </c>
      <c r="J439" s="23" t="s">
        <v>2356</v>
      </c>
      <c r="K439" s="23" t="s">
        <v>754</v>
      </c>
      <c r="L439" s="23" t="str">
        <f>VLOOKUP(K439,Матрицы!B:C,2,0)</f>
        <v>село</v>
      </c>
      <c r="M439" s="31" t="s">
        <v>2360</v>
      </c>
      <c r="N439" s="28">
        <v>98641487106</v>
      </c>
      <c r="O439" s="36">
        <v>26</v>
      </c>
      <c r="P439" s="1">
        <v>2</v>
      </c>
      <c r="Q439" s="1" t="s">
        <v>2361</v>
      </c>
      <c r="R439" s="1" t="s">
        <v>2362</v>
      </c>
    </row>
    <row r="440" spans="1:18">
      <c r="A440" s="23">
        <v>439</v>
      </c>
      <c r="B440" s="27">
        <f t="shared" si="7"/>
        <v>98641490101</v>
      </c>
      <c r="C440" s="23" t="s">
        <v>735</v>
      </c>
      <c r="D440" s="28">
        <v>98600000</v>
      </c>
      <c r="E440" s="23" t="s">
        <v>735</v>
      </c>
      <c r="F440" s="28">
        <v>98000000</v>
      </c>
      <c r="G440" s="30" t="s">
        <v>954</v>
      </c>
      <c r="H440" s="28">
        <v>98641000</v>
      </c>
      <c r="I440" s="23" t="s">
        <v>2219</v>
      </c>
      <c r="J440" s="23" t="s">
        <v>2363</v>
      </c>
      <c r="K440" s="23" t="s">
        <v>754</v>
      </c>
      <c r="L440" s="23" t="str">
        <f>VLOOKUP(K440,Матрицы!B:C,2,0)</f>
        <v>село</v>
      </c>
      <c r="M440" s="31" t="s">
        <v>2364</v>
      </c>
      <c r="N440" s="28">
        <v>98641490101</v>
      </c>
      <c r="O440" s="36">
        <v>196</v>
      </c>
      <c r="P440" s="1">
        <v>2</v>
      </c>
      <c r="Q440" s="1" t="s">
        <v>2365</v>
      </c>
      <c r="R440" s="1" t="s">
        <v>2366</v>
      </c>
    </row>
    <row r="441" spans="1:18">
      <c r="A441" s="23">
        <v>440</v>
      </c>
      <c r="B441" s="27">
        <f t="shared" si="7"/>
        <v>98641493101</v>
      </c>
      <c r="C441" s="23" t="s">
        <v>735</v>
      </c>
      <c r="D441" s="28">
        <v>98600000</v>
      </c>
      <c r="E441" s="23" t="s">
        <v>735</v>
      </c>
      <c r="F441" s="28">
        <v>98000000</v>
      </c>
      <c r="G441" s="30" t="s">
        <v>954</v>
      </c>
      <c r="H441" s="28">
        <v>98641000</v>
      </c>
      <c r="I441" s="23" t="s">
        <v>2219</v>
      </c>
      <c r="J441" s="23" t="s">
        <v>2367</v>
      </c>
      <c r="K441" s="23" t="s">
        <v>754</v>
      </c>
      <c r="L441" s="23" t="str">
        <f>VLOOKUP(K441,Матрицы!B:C,2,0)</f>
        <v>село</v>
      </c>
      <c r="M441" s="31" t="s">
        <v>2368</v>
      </c>
      <c r="N441" s="28">
        <v>98641493101</v>
      </c>
      <c r="O441" s="36">
        <v>553</v>
      </c>
      <c r="P441" s="1">
        <v>2</v>
      </c>
      <c r="Q441" s="1" t="s">
        <v>2369</v>
      </c>
      <c r="R441" s="1" t="s">
        <v>2370</v>
      </c>
    </row>
    <row r="442" spans="1:18" s="23" customFormat="1" ht="30">
      <c r="A442" s="23">
        <v>441</v>
      </c>
      <c r="B442" s="27">
        <f t="shared" si="7"/>
        <v>98642411101</v>
      </c>
      <c r="C442" s="23" t="s">
        <v>735</v>
      </c>
      <c r="D442" s="28">
        <v>98600000</v>
      </c>
      <c r="E442" s="23" t="s">
        <v>735</v>
      </c>
      <c r="F442" s="28">
        <v>98000000</v>
      </c>
      <c r="G442" s="30" t="s">
        <v>960</v>
      </c>
      <c r="H442" s="28">
        <v>98642000</v>
      </c>
      <c r="I442" s="30" t="s">
        <v>2371</v>
      </c>
      <c r="J442" s="23" t="s">
        <v>2372</v>
      </c>
      <c r="K442" s="23" t="s">
        <v>754</v>
      </c>
      <c r="L442" s="23" t="str">
        <f>VLOOKUP(K442,Матрицы!B:C,2,0)</f>
        <v>село</v>
      </c>
      <c r="M442" s="31" t="s">
        <v>825</v>
      </c>
      <c r="N442" s="28">
        <v>98642411101</v>
      </c>
      <c r="O442" s="36">
        <v>709</v>
      </c>
      <c r="P442" s="1">
        <v>2</v>
      </c>
      <c r="Q442" s="11" t="s">
        <v>2373</v>
      </c>
      <c r="R442" s="11" t="s">
        <v>2374</v>
      </c>
    </row>
    <row r="443" spans="1:18" s="23" customFormat="1" ht="30">
      <c r="A443" s="23">
        <v>442</v>
      </c>
      <c r="B443" s="27">
        <f t="shared" si="7"/>
        <v>98642424101</v>
      </c>
      <c r="C443" s="23" t="s">
        <v>735</v>
      </c>
      <c r="D443" s="28">
        <v>98600000</v>
      </c>
      <c r="E443" s="23" t="s">
        <v>735</v>
      </c>
      <c r="F443" s="28">
        <v>98000000</v>
      </c>
      <c r="G443" s="30" t="s">
        <v>960</v>
      </c>
      <c r="H443" s="28">
        <v>98642000</v>
      </c>
      <c r="I443" s="30" t="s">
        <v>2371</v>
      </c>
      <c r="J443" s="23" t="s">
        <v>2375</v>
      </c>
      <c r="K443" s="23" t="s">
        <v>754</v>
      </c>
      <c r="L443" s="23" t="str">
        <f>VLOOKUP(K443,Матрицы!B:C,2,0)</f>
        <v>село</v>
      </c>
      <c r="M443" s="31" t="s">
        <v>1240</v>
      </c>
      <c r="N443" s="28">
        <v>98642424101</v>
      </c>
      <c r="O443" s="36">
        <v>843</v>
      </c>
      <c r="P443" s="1">
        <v>2</v>
      </c>
      <c r="Q443" s="1" t="s">
        <v>2376</v>
      </c>
      <c r="R443" s="1" t="s">
        <v>2377</v>
      </c>
    </row>
    <row r="444" spans="1:18" s="23" customFormat="1" ht="30">
      <c r="A444" s="23">
        <v>443</v>
      </c>
      <c r="B444" s="27">
        <f t="shared" si="7"/>
        <v>98642437101</v>
      </c>
      <c r="C444" s="23" t="s">
        <v>735</v>
      </c>
      <c r="D444" s="28">
        <v>98600000</v>
      </c>
      <c r="E444" s="23" t="s">
        <v>735</v>
      </c>
      <c r="F444" s="28">
        <v>98000000</v>
      </c>
      <c r="G444" s="30" t="s">
        <v>960</v>
      </c>
      <c r="H444" s="28">
        <v>98642000</v>
      </c>
      <c r="I444" s="30" t="s">
        <v>2371</v>
      </c>
      <c r="J444" s="23" t="s">
        <v>2378</v>
      </c>
      <c r="K444" s="23" t="s">
        <v>754</v>
      </c>
      <c r="L444" s="23" t="str">
        <f>VLOOKUP(K444,Матрицы!B:C,2,0)</f>
        <v>село</v>
      </c>
      <c r="M444" s="31" t="s">
        <v>832</v>
      </c>
      <c r="N444" s="28">
        <v>98642437101</v>
      </c>
      <c r="O444" s="36">
        <v>2438</v>
      </c>
      <c r="P444" s="1">
        <v>2</v>
      </c>
      <c r="Q444" s="11" t="s">
        <v>2379</v>
      </c>
      <c r="R444" s="11" t="s">
        <v>2380</v>
      </c>
    </row>
    <row r="445" spans="1:18" s="23" customFormat="1" ht="30">
      <c r="A445" s="23">
        <v>444</v>
      </c>
      <c r="B445" s="27">
        <f t="shared" si="7"/>
        <v>98642450101</v>
      </c>
      <c r="C445" s="23" t="s">
        <v>735</v>
      </c>
      <c r="D445" s="28">
        <v>98600000</v>
      </c>
      <c r="E445" s="23" t="s">
        <v>735</v>
      </c>
      <c r="F445" s="28">
        <v>98000000</v>
      </c>
      <c r="G445" s="30" t="s">
        <v>960</v>
      </c>
      <c r="H445" s="28">
        <v>98642000</v>
      </c>
      <c r="I445" s="30" t="s">
        <v>2371</v>
      </c>
      <c r="J445" s="23" t="s">
        <v>2381</v>
      </c>
      <c r="K445" s="23" t="s">
        <v>754</v>
      </c>
      <c r="L445" s="23" t="str">
        <f>VLOOKUP(K445,Матрицы!B:C,2,0)</f>
        <v>село</v>
      </c>
      <c r="M445" s="31" t="s">
        <v>840</v>
      </c>
      <c r="N445" s="28">
        <v>98642450101</v>
      </c>
      <c r="O445" s="36">
        <v>336</v>
      </c>
      <c r="P445" s="1">
        <v>2</v>
      </c>
      <c r="Q445" s="11" t="s">
        <v>2382</v>
      </c>
      <c r="R445" s="11" t="s">
        <v>2383</v>
      </c>
    </row>
    <row r="446" spans="1:18" s="23" customFormat="1" ht="75">
      <c r="A446" s="23">
        <v>445</v>
      </c>
      <c r="B446" s="29">
        <v>0</v>
      </c>
      <c r="C446" s="23" t="s">
        <v>735</v>
      </c>
      <c r="D446" s="28">
        <v>98600000</v>
      </c>
      <c r="E446" s="23" t="s">
        <v>735</v>
      </c>
      <c r="F446" s="28">
        <v>98000000</v>
      </c>
      <c r="G446" s="30" t="s">
        <v>960</v>
      </c>
      <c r="H446" s="28">
        <v>98642000</v>
      </c>
      <c r="I446" s="30" t="s">
        <v>2384</v>
      </c>
      <c r="J446" s="30" t="s">
        <v>2385</v>
      </c>
      <c r="K446" s="29">
        <v>0</v>
      </c>
      <c r="L446" s="29">
        <v>0</v>
      </c>
      <c r="M446" s="29">
        <v>0</v>
      </c>
      <c r="N446" s="29">
        <v>0</v>
      </c>
      <c r="O446" s="39">
        <v>0</v>
      </c>
      <c r="P446" s="1">
        <v>2</v>
      </c>
      <c r="Q446" s="1"/>
      <c r="R446" s="1"/>
    </row>
    <row r="447" spans="1:18" s="23" customFormat="1">
      <c r="A447" s="23">
        <v>446</v>
      </c>
      <c r="B447" s="27">
        <f t="shared" si="7"/>
        <v>98644101001</v>
      </c>
      <c r="C447" s="23" t="s">
        <v>735</v>
      </c>
      <c r="D447" s="28">
        <v>98600000</v>
      </c>
      <c r="E447" s="23" t="s">
        <v>735</v>
      </c>
      <c r="F447" s="28">
        <v>98000000</v>
      </c>
      <c r="G447" s="23" t="s">
        <v>1003</v>
      </c>
      <c r="H447" s="28">
        <v>98644000</v>
      </c>
      <c r="I447" s="30" t="s">
        <v>2386</v>
      </c>
      <c r="J447" s="23" t="s">
        <v>2387</v>
      </c>
      <c r="K447" s="23" t="s">
        <v>740</v>
      </c>
      <c r="L447" s="23" t="str">
        <f>VLOOKUP(K447,Матрицы!B:C,2,0)</f>
        <v>город</v>
      </c>
      <c r="M447" s="31" t="s">
        <v>99</v>
      </c>
      <c r="N447" s="28">
        <v>98644101001</v>
      </c>
      <c r="O447" s="36">
        <v>11991</v>
      </c>
      <c r="P447" s="1">
        <v>1</v>
      </c>
      <c r="Q447" s="1" t="s">
        <v>2388</v>
      </c>
      <c r="R447" s="1" t="s">
        <v>2389</v>
      </c>
    </row>
    <row r="448" spans="1:18" s="23" customFormat="1">
      <c r="A448" s="23">
        <v>447</v>
      </c>
      <c r="B448" s="27">
        <f t="shared" si="7"/>
        <v>98644157051</v>
      </c>
      <c r="C448" s="23" t="s">
        <v>735</v>
      </c>
      <c r="D448" s="28">
        <v>98600000</v>
      </c>
      <c r="E448" s="23" t="s">
        <v>735</v>
      </c>
      <c r="F448" s="28">
        <v>98000000</v>
      </c>
      <c r="G448" s="23" t="s">
        <v>1003</v>
      </c>
      <c r="H448" s="28">
        <v>98644000</v>
      </c>
      <c r="I448" s="30" t="s">
        <v>2386</v>
      </c>
      <c r="J448" s="23" t="s">
        <v>846</v>
      </c>
      <c r="K448" s="23" t="s">
        <v>819</v>
      </c>
      <c r="L448" s="23" t="str">
        <f>VLOOKUP(K448,Матрицы!B:C,2,0)</f>
        <v>поселок</v>
      </c>
      <c r="M448" s="31" t="s">
        <v>848</v>
      </c>
      <c r="N448" s="28">
        <v>98644157051</v>
      </c>
      <c r="O448" s="36">
        <v>5192</v>
      </c>
      <c r="P448" s="1">
        <v>1</v>
      </c>
      <c r="Q448" s="11" t="s">
        <v>2390</v>
      </c>
      <c r="R448" s="11" t="s">
        <v>2391</v>
      </c>
    </row>
    <row r="449" spans="1:18" s="23" customFormat="1">
      <c r="A449" s="23">
        <v>448</v>
      </c>
      <c r="B449" s="27">
        <f t="shared" si="7"/>
        <v>98644403101</v>
      </c>
      <c r="C449" s="23" t="s">
        <v>735</v>
      </c>
      <c r="D449" s="28">
        <v>98600000</v>
      </c>
      <c r="E449" s="23" t="s">
        <v>735</v>
      </c>
      <c r="F449" s="28">
        <v>98000000</v>
      </c>
      <c r="G449" s="23" t="s">
        <v>1003</v>
      </c>
      <c r="H449" s="28">
        <v>98644000</v>
      </c>
      <c r="I449" s="30" t="s">
        <v>2392</v>
      </c>
      <c r="J449" s="23" t="s">
        <v>1571</v>
      </c>
      <c r="K449" s="23" t="s">
        <v>754</v>
      </c>
      <c r="L449" s="23" t="str">
        <f>VLOOKUP(K449,Матрицы!B:C,2,0)</f>
        <v>село</v>
      </c>
      <c r="M449" s="31" t="s">
        <v>1572</v>
      </c>
      <c r="N449" s="28">
        <v>98644403101</v>
      </c>
      <c r="O449" s="36">
        <v>1385</v>
      </c>
      <c r="P449" s="1">
        <v>2</v>
      </c>
      <c r="Q449" s="1" t="s">
        <v>2393</v>
      </c>
      <c r="R449" s="1" t="s">
        <v>2394</v>
      </c>
    </row>
    <row r="450" spans="1:18" s="23" customFormat="1">
      <c r="A450" s="23">
        <v>449</v>
      </c>
      <c r="B450" s="27">
        <f t="shared" si="7"/>
        <v>98644403106</v>
      </c>
      <c r="C450" s="23" t="s">
        <v>735</v>
      </c>
      <c r="D450" s="28">
        <v>98600000</v>
      </c>
      <c r="E450" s="23" t="s">
        <v>735</v>
      </c>
      <c r="F450" s="28">
        <v>98000000</v>
      </c>
      <c r="G450" s="23" t="s">
        <v>1003</v>
      </c>
      <c r="H450" s="28">
        <v>98644000</v>
      </c>
      <c r="I450" s="30" t="s">
        <v>2392</v>
      </c>
      <c r="J450" s="23" t="s">
        <v>1571</v>
      </c>
      <c r="K450" s="23" t="s">
        <v>754</v>
      </c>
      <c r="L450" s="23" t="str">
        <f>VLOOKUP(K450,Матрицы!B:C,2,0)</f>
        <v>село</v>
      </c>
      <c r="M450" s="31" t="s">
        <v>2395</v>
      </c>
      <c r="N450" s="28">
        <v>98644403106</v>
      </c>
      <c r="O450" s="36">
        <v>23</v>
      </c>
      <c r="P450" s="1">
        <v>2</v>
      </c>
      <c r="Q450" s="1" t="s">
        <v>2396</v>
      </c>
      <c r="R450" s="1" t="s">
        <v>2397</v>
      </c>
    </row>
    <row r="451" spans="1:18" s="23" customFormat="1">
      <c r="A451" s="23">
        <v>450</v>
      </c>
      <c r="B451" s="27">
        <f t="shared" si="7"/>
        <v>98644406101</v>
      </c>
      <c r="C451" s="23" t="s">
        <v>735</v>
      </c>
      <c r="D451" s="28">
        <v>98600000</v>
      </c>
      <c r="E451" s="23" t="s">
        <v>735</v>
      </c>
      <c r="F451" s="28">
        <v>98000000</v>
      </c>
      <c r="G451" s="23" t="s">
        <v>1003</v>
      </c>
      <c r="H451" s="28">
        <v>98644000</v>
      </c>
      <c r="I451" s="30" t="s">
        <v>2392</v>
      </c>
      <c r="J451" s="23" t="s">
        <v>2398</v>
      </c>
      <c r="K451" s="23" t="s">
        <v>754</v>
      </c>
      <c r="L451" s="23" t="str">
        <f>VLOOKUP(K451,Матрицы!B:C,2,0)</f>
        <v>село</v>
      </c>
      <c r="M451" s="31" t="s">
        <v>2399</v>
      </c>
      <c r="N451" s="28">
        <v>98644406101</v>
      </c>
      <c r="O451" s="36">
        <v>638</v>
      </c>
      <c r="P451" s="1">
        <v>2</v>
      </c>
      <c r="Q451" s="1" t="s">
        <v>2400</v>
      </c>
      <c r="R451" s="1" t="s">
        <v>2401</v>
      </c>
    </row>
    <row r="452" spans="1:18" s="23" customFormat="1">
      <c r="A452" s="23">
        <v>451</v>
      </c>
      <c r="B452" s="27">
        <f t="shared" ref="B452:B515" si="8">N452</f>
        <v>98644406106</v>
      </c>
      <c r="C452" s="23" t="s">
        <v>735</v>
      </c>
      <c r="D452" s="28">
        <v>98600000</v>
      </c>
      <c r="E452" s="23" t="s">
        <v>735</v>
      </c>
      <c r="F452" s="28">
        <v>98000000</v>
      </c>
      <c r="G452" s="23" t="s">
        <v>1003</v>
      </c>
      <c r="H452" s="28">
        <v>98644000</v>
      </c>
      <c r="I452" s="30" t="s">
        <v>2392</v>
      </c>
      <c r="J452" s="23" t="s">
        <v>2398</v>
      </c>
      <c r="K452" s="23" t="s">
        <v>754</v>
      </c>
      <c r="L452" s="23" t="str">
        <f>VLOOKUP(K452,Матрицы!B:C,2,0)</f>
        <v>село</v>
      </c>
      <c r="M452" s="31" t="s">
        <v>2402</v>
      </c>
      <c r="N452" s="28">
        <v>98644406106</v>
      </c>
      <c r="O452" s="36">
        <v>207</v>
      </c>
      <c r="P452" s="1">
        <v>2</v>
      </c>
      <c r="Q452" s="1" t="s">
        <v>2403</v>
      </c>
      <c r="R452" s="1" t="s">
        <v>2404</v>
      </c>
    </row>
    <row r="453" spans="1:18" s="23" customFormat="1">
      <c r="A453" s="23">
        <v>452</v>
      </c>
      <c r="B453" s="27">
        <f t="shared" si="8"/>
        <v>98644407101</v>
      </c>
      <c r="C453" s="23" t="s">
        <v>735</v>
      </c>
      <c r="D453" s="28">
        <v>98600000</v>
      </c>
      <c r="E453" s="23" t="s">
        <v>735</v>
      </c>
      <c r="F453" s="28">
        <v>98000000</v>
      </c>
      <c r="G453" s="23" t="s">
        <v>1003</v>
      </c>
      <c r="H453" s="28">
        <v>98644000</v>
      </c>
      <c r="I453" s="30" t="s">
        <v>2392</v>
      </c>
      <c r="J453" s="23" t="s">
        <v>2405</v>
      </c>
      <c r="K453" s="23" t="s">
        <v>754</v>
      </c>
      <c r="L453" s="23" t="str">
        <f>VLOOKUP(K453,Матрицы!B:C,2,0)</f>
        <v>село</v>
      </c>
      <c r="M453" s="31" t="s">
        <v>2406</v>
      </c>
      <c r="N453" s="28">
        <v>98644407101</v>
      </c>
      <c r="O453" s="36">
        <v>877</v>
      </c>
      <c r="P453" s="1">
        <v>2</v>
      </c>
      <c r="Q453" s="1" t="s">
        <v>2407</v>
      </c>
      <c r="R453" s="1" t="s">
        <v>2408</v>
      </c>
    </row>
    <row r="454" spans="1:18" s="23" customFormat="1">
      <c r="A454" s="23">
        <v>453</v>
      </c>
      <c r="B454" s="27">
        <f t="shared" si="8"/>
        <v>98644407106</v>
      </c>
      <c r="C454" s="23" t="s">
        <v>735</v>
      </c>
      <c r="D454" s="28">
        <v>98600000</v>
      </c>
      <c r="E454" s="23" t="s">
        <v>735</v>
      </c>
      <c r="F454" s="28">
        <v>98000000</v>
      </c>
      <c r="G454" s="23" t="s">
        <v>1003</v>
      </c>
      <c r="H454" s="28">
        <v>98644000</v>
      </c>
      <c r="I454" s="30" t="s">
        <v>2392</v>
      </c>
      <c r="J454" s="23" t="s">
        <v>2405</v>
      </c>
      <c r="K454" s="23" t="s">
        <v>754</v>
      </c>
      <c r="L454" s="23" t="str">
        <f>VLOOKUP(K454,Матрицы!B:C,2,0)</f>
        <v>село</v>
      </c>
      <c r="M454" s="31" t="s">
        <v>2409</v>
      </c>
      <c r="N454" s="28">
        <v>98644407106</v>
      </c>
      <c r="O454" s="36">
        <v>3</v>
      </c>
      <c r="P454" s="1">
        <v>2</v>
      </c>
      <c r="Q454" s="1" t="s">
        <v>2410</v>
      </c>
      <c r="R454" s="1" t="s">
        <v>2411</v>
      </c>
    </row>
    <row r="455" spans="1:18" s="23" customFormat="1">
      <c r="A455" s="23">
        <v>454</v>
      </c>
      <c r="B455" s="27">
        <f t="shared" si="8"/>
        <v>98644409101</v>
      </c>
      <c r="C455" s="23" t="s">
        <v>735</v>
      </c>
      <c r="D455" s="28">
        <v>98600000</v>
      </c>
      <c r="E455" s="23" t="s">
        <v>735</v>
      </c>
      <c r="F455" s="28">
        <v>98000000</v>
      </c>
      <c r="G455" s="23" t="s">
        <v>1003</v>
      </c>
      <c r="H455" s="28">
        <v>98644000</v>
      </c>
      <c r="I455" s="30" t="s">
        <v>2392</v>
      </c>
      <c r="J455" s="23" t="s">
        <v>2412</v>
      </c>
      <c r="K455" s="23" t="s">
        <v>754</v>
      </c>
      <c r="L455" s="23" t="str">
        <f>VLOOKUP(K455,Матрицы!B:C,2,0)</f>
        <v>село</v>
      </c>
      <c r="M455" s="31" t="s">
        <v>2413</v>
      </c>
      <c r="N455" s="28">
        <v>98644409101</v>
      </c>
      <c r="O455" s="36">
        <v>809</v>
      </c>
      <c r="P455" s="1">
        <v>2</v>
      </c>
      <c r="Q455" s="1" t="s">
        <v>2414</v>
      </c>
      <c r="R455" s="1" t="s">
        <v>2415</v>
      </c>
    </row>
    <row r="456" spans="1:18" s="23" customFormat="1">
      <c r="A456" s="23">
        <v>455</v>
      </c>
      <c r="B456" s="27">
        <f t="shared" si="8"/>
        <v>98644412101</v>
      </c>
      <c r="C456" s="23" t="s">
        <v>735</v>
      </c>
      <c r="D456" s="28">
        <v>98600000</v>
      </c>
      <c r="E456" s="23" t="s">
        <v>735</v>
      </c>
      <c r="F456" s="28">
        <v>98000000</v>
      </c>
      <c r="G456" s="23" t="s">
        <v>1003</v>
      </c>
      <c r="H456" s="28">
        <v>98644000</v>
      </c>
      <c r="I456" s="30" t="s">
        <v>2392</v>
      </c>
      <c r="J456" s="23" t="s">
        <v>2416</v>
      </c>
      <c r="K456" s="23" t="s">
        <v>754</v>
      </c>
      <c r="L456" s="23" t="str">
        <f>VLOOKUP(K456,Матрицы!B:C,2,0)</f>
        <v>село</v>
      </c>
      <c r="M456" s="31" t="s">
        <v>2417</v>
      </c>
      <c r="N456" s="28">
        <v>98644412101</v>
      </c>
      <c r="O456" s="36">
        <v>252</v>
      </c>
      <c r="P456" s="1">
        <v>2</v>
      </c>
      <c r="Q456" s="1" t="s">
        <v>2418</v>
      </c>
      <c r="R456" s="1" t="s">
        <v>2419</v>
      </c>
    </row>
    <row r="457" spans="1:18" s="23" customFormat="1">
      <c r="A457" s="23">
        <v>456</v>
      </c>
      <c r="B457" s="27">
        <f t="shared" si="8"/>
        <v>98644412106</v>
      </c>
      <c r="C457" s="23" t="s">
        <v>735</v>
      </c>
      <c r="D457" s="28">
        <v>98600000</v>
      </c>
      <c r="E457" s="23" t="s">
        <v>735</v>
      </c>
      <c r="F457" s="28">
        <v>98000000</v>
      </c>
      <c r="G457" s="23" t="s">
        <v>1003</v>
      </c>
      <c r="H457" s="28">
        <v>98644000</v>
      </c>
      <c r="I457" s="30" t="s">
        <v>2392</v>
      </c>
      <c r="J457" s="23" t="s">
        <v>2416</v>
      </c>
      <c r="K457" s="23" t="s">
        <v>754</v>
      </c>
      <c r="L457" s="23" t="str">
        <f>VLOOKUP(K457,Матрицы!B:C,2,0)</f>
        <v>село</v>
      </c>
      <c r="M457" s="31" t="s">
        <v>2420</v>
      </c>
      <c r="N457" s="28">
        <v>98644412106</v>
      </c>
      <c r="O457" s="36">
        <v>21</v>
      </c>
      <c r="P457" s="1">
        <v>2</v>
      </c>
      <c r="Q457" s="1" t="s">
        <v>2421</v>
      </c>
      <c r="R457" s="1" t="s">
        <v>2422</v>
      </c>
    </row>
    <row r="458" spans="1:18" s="23" customFormat="1">
      <c r="A458" s="23">
        <v>457</v>
      </c>
      <c r="B458" s="27">
        <f t="shared" si="8"/>
        <v>98644418101</v>
      </c>
      <c r="C458" s="23" t="s">
        <v>735</v>
      </c>
      <c r="D458" s="28">
        <v>98600000</v>
      </c>
      <c r="E458" s="23" t="s">
        <v>735</v>
      </c>
      <c r="F458" s="28">
        <v>98000000</v>
      </c>
      <c r="G458" s="23" t="s">
        <v>1003</v>
      </c>
      <c r="H458" s="28">
        <v>98644000</v>
      </c>
      <c r="I458" s="30" t="s">
        <v>2392</v>
      </c>
      <c r="J458" s="23" t="s">
        <v>2423</v>
      </c>
      <c r="K458" s="23" t="s">
        <v>754</v>
      </c>
      <c r="L458" s="23" t="str">
        <f>VLOOKUP(K458,Матрицы!B:C,2,0)</f>
        <v>село</v>
      </c>
      <c r="M458" s="31" t="s">
        <v>2424</v>
      </c>
      <c r="N458" s="28">
        <v>98644418101</v>
      </c>
      <c r="O458" s="36">
        <v>808</v>
      </c>
      <c r="P458" s="1">
        <v>2</v>
      </c>
      <c r="Q458" s="1" t="s">
        <v>2425</v>
      </c>
      <c r="R458" s="1" t="s">
        <v>2426</v>
      </c>
    </row>
    <row r="459" spans="1:18" s="23" customFormat="1">
      <c r="A459" s="23">
        <v>458</v>
      </c>
      <c r="B459" s="27">
        <f t="shared" si="8"/>
        <v>98644418106</v>
      </c>
      <c r="C459" s="23" t="s">
        <v>735</v>
      </c>
      <c r="D459" s="28">
        <v>98600000</v>
      </c>
      <c r="E459" s="23" t="s">
        <v>735</v>
      </c>
      <c r="F459" s="28">
        <v>98000000</v>
      </c>
      <c r="G459" s="23" t="s">
        <v>1003</v>
      </c>
      <c r="H459" s="28">
        <v>98644000</v>
      </c>
      <c r="I459" s="30" t="s">
        <v>2392</v>
      </c>
      <c r="J459" s="23" t="s">
        <v>2423</v>
      </c>
      <c r="K459" s="23" t="s">
        <v>754</v>
      </c>
      <c r="L459" s="23" t="str">
        <f>VLOOKUP(K459,Матрицы!B:C,2,0)</f>
        <v>село</v>
      </c>
      <c r="M459" s="31" t="s">
        <v>2427</v>
      </c>
      <c r="N459" s="28">
        <v>98644418106</v>
      </c>
      <c r="O459" s="36">
        <v>231</v>
      </c>
      <c r="P459" s="1">
        <v>2</v>
      </c>
      <c r="Q459" s="1" t="s">
        <v>2428</v>
      </c>
      <c r="R459" s="1" t="s">
        <v>2429</v>
      </c>
    </row>
    <row r="460" spans="1:18" s="23" customFormat="1">
      <c r="A460" s="23">
        <v>459</v>
      </c>
      <c r="B460" s="27">
        <f t="shared" si="8"/>
        <v>98644423101</v>
      </c>
      <c r="C460" s="23" t="s">
        <v>735</v>
      </c>
      <c r="D460" s="28">
        <v>98600000</v>
      </c>
      <c r="E460" s="23" t="s">
        <v>735</v>
      </c>
      <c r="F460" s="28">
        <v>98000000</v>
      </c>
      <c r="G460" s="23" t="s">
        <v>1003</v>
      </c>
      <c r="H460" s="28">
        <v>98644000</v>
      </c>
      <c r="I460" s="30" t="s">
        <v>2392</v>
      </c>
      <c r="J460" s="23" t="s">
        <v>2430</v>
      </c>
      <c r="K460" s="23" t="s">
        <v>754</v>
      </c>
      <c r="L460" s="23" t="str">
        <f>VLOOKUP(K460,Матрицы!B:C,2,0)</f>
        <v>село</v>
      </c>
      <c r="M460" s="31" t="s">
        <v>2431</v>
      </c>
      <c r="N460" s="28">
        <v>98644423101</v>
      </c>
      <c r="O460" s="36">
        <v>1529</v>
      </c>
      <c r="P460" s="1">
        <v>2</v>
      </c>
      <c r="Q460" s="1" t="s">
        <v>2432</v>
      </c>
      <c r="R460" s="1" t="s">
        <v>2433</v>
      </c>
    </row>
    <row r="461" spans="1:18" s="23" customFormat="1">
      <c r="A461" s="23">
        <v>460</v>
      </c>
      <c r="B461" s="27">
        <f t="shared" si="8"/>
        <v>98644423106</v>
      </c>
      <c r="C461" s="23" t="s">
        <v>735</v>
      </c>
      <c r="D461" s="28">
        <v>98600000</v>
      </c>
      <c r="E461" s="23" t="s">
        <v>735</v>
      </c>
      <c r="F461" s="28">
        <v>98000000</v>
      </c>
      <c r="G461" s="23" t="s">
        <v>1003</v>
      </c>
      <c r="H461" s="28">
        <v>98644000</v>
      </c>
      <c r="I461" s="30" t="s">
        <v>2392</v>
      </c>
      <c r="J461" s="23" t="s">
        <v>2430</v>
      </c>
      <c r="K461" s="23" t="s">
        <v>754</v>
      </c>
      <c r="L461" s="23" t="str">
        <f>VLOOKUP(K461,Матрицы!B:C,2,0)</f>
        <v>село</v>
      </c>
      <c r="M461" s="31" t="s">
        <v>2434</v>
      </c>
      <c r="N461" s="28">
        <v>98644423106</v>
      </c>
      <c r="O461" s="36">
        <v>116</v>
      </c>
      <c r="P461" s="1">
        <v>2</v>
      </c>
      <c r="Q461" s="1" t="s">
        <v>2435</v>
      </c>
      <c r="R461" s="1" t="s">
        <v>2436</v>
      </c>
    </row>
    <row r="462" spans="1:18" s="23" customFormat="1">
      <c r="A462" s="23">
        <v>461</v>
      </c>
      <c r="B462" s="27">
        <f t="shared" si="8"/>
        <v>98644425101</v>
      </c>
      <c r="C462" s="23" t="s">
        <v>735</v>
      </c>
      <c r="D462" s="28">
        <v>98600000</v>
      </c>
      <c r="E462" s="23" t="s">
        <v>735</v>
      </c>
      <c r="F462" s="28">
        <v>98000000</v>
      </c>
      <c r="G462" s="23" t="s">
        <v>1003</v>
      </c>
      <c r="H462" s="28">
        <v>98644000</v>
      </c>
      <c r="I462" s="30" t="s">
        <v>2392</v>
      </c>
      <c r="J462" s="23" t="s">
        <v>2437</v>
      </c>
      <c r="K462" s="23" t="s">
        <v>754</v>
      </c>
      <c r="L462" s="23" t="str">
        <f>VLOOKUP(K462,Матрицы!B:C,2,0)</f>
        <v>село</v>
      </c>
      <c r="M462" s="31" t="s">
        <v>2438</v>
      </c>
      <c r="N462" s="28">
        <v>98644425101</v>
      </c>
      <c r="O462" s="36">
        <v>1354</v>
      </c>
      <c r="P462" s="1">
        <v>2</v>
      </c>
      <c r="Q462" s="1" t="s">
        <v>2439</v>
      </c>
      <c r="R462" s="1" t="s">
        <v>2440</v>
      </c>
    </row>
    <row r="463" spans="1:18" s="23" customFormat="1">
      <c r="A463" s="23">
        <v>462</v>
      </c>
      <c r="B463" s="27">
        <f t="shared" si="8"/>
        <v>98644425106</v>
      </c>
      <c r="C463" s="23" t="s">
        <v>735</v>
      </c>
      <c r="D463" s="28">
        <v>98600000</v>
      </c>
      <c r="E463" s="23" t="s">
        <v>735</v>
      </c>
      <c r="F463" s="28">
        <v>98000000</v>
      </c>
      <c r="G463" s="23" t="s">
        <v>1003</v>
      </c>
      <c r="H463" s="28">
        <v>98644000</v>
      </c>
      <c r="I463" s="30" t="s">
        <v>2392</v>
      </c>
      <c r="J463" s="23" t="s">
        <v>2437</v>
      </c>
      <c r="K463" s="23" t="s">
        <v>754</v>
      </c>
      <c r="L463" s="23" t="str">
        <f>VLOOKUP(K463,Матрицы!B:C,2,0)</f>
        <v>село</v>
      </c>
      <c r="M463" s="31" t="s">
        <v>2441</v>
      </c>
      <c r="N463" s="28">
        <v>98644425106</v>
      </c>
      <c r="O463" s="36">
        <v>11</v>
      </c>
      <c r="P463" s="1">
        <v>2</v>
      </c>
      <c r="Q463" s="1" t="s">
        <v>2442</v>
      </c>
      <c r="R463" s="1" t="s">
        <v>2443</v>
      </c>
    </row>
    <row r="464" spans="1:18" s="23" customFormat="1">
      <c r="A464" s="23">
        <v>463</v>
      </c>
      <c r="B464" s="27">
        <f t="shared" si="8"/>
        <v>98644427101</v>
      </c>
      <c r="C464" s="23" t="s">
        <v>735</v>
      </c>
      <c r="D464" s="28">
        <v>98600000</v>
      </c>
      <c r="E464" s="23" t="s">
        <v>735</v>
      </c>
      <c r="F464" s="28">
        <v>98000000</v>
      </c>
      <c r="G464" s="23" t="s">
        <v>1003</v>
      </c>
      <c r="H464" s="28">
        <v>98644000</v>
      </c>
      <c r="I464" s="30" t="s">
        <v>2392</v>
      </c>
      <c r="J464" s="23" t="s">
        <v>2444</v>
      </c>
      <c r="K464" s="23" t="s">
        <v>754</v>
      </c>
      <c r="L464" s="23" t="str">
        <f>VLOOKUP(K464,Матрицы!B:C,2,0)</f>
        <v>село</v>
      </c>
      <c r="M464" s="31" t="s">
        <v>1685</v>
      </c>
      <c r="N464" s="28">
        <v>98644427101</v>
      </c>
      <c r="O464" s="36">
        <v>373</v>
      </c>
      <c r="P464" s="1">
        <v>2</v>
      </c>
      <c r="Q464" s="1" t="s">
        <v>2445</v>
      </c>
      <c r="R464" s="1" t="s">
        <v>2446</v>
      </c>
    </row>
    <row r="465" spans="1:18" s="23" customFormat="1">
      <c r="A465" s="23">
        <v>464</v>
      </c>
      <c r="B465" s="27">
        <f t="shared" si="8"/>
        <v>98644428101</v>
      </c>
      <c r="C465" s="23" t="s">
        <v>735</v>
      </c>
      <c r="D465" s="28">
        <v>98600000</v>
      </c>
      <c r="E465" s="23" t="s">
        <v>735</v>
      </c>
      <c r="F465" s="28">
        <v>98000000</v>
      </c>
      <c r="G465" s="23" t="s">
        <v>1003</v>
      </c>
      <c r="H465" s="28">
        <v>98644000</v>
      </c>
      <c r="I465" s="30" t="s">
        <v>2392</v>
      </c>
      <c r="J465" s="23" t="s">
        <v>2447</v>
      </c>
      <c r="K465" s="23" t="s">
        <v>754</v>
      </c>
      <c r="L465" s="23" t="str">
        <f>VLOOKUP(K465,Матрицы!B:C,2,0)</f>
        <v>село</v>
      </c>
      <c r="M465" s="31" t="s">
        <v>2448</v>
      </c>
      <c r="N465" s="28">
        <v>98644428101</v>
      </c>
      <c r="O465" s="36">
        <v>435</v>
      </c>
      <c r="P465" s="1">
        <v>2</v>
      </c>
      <c r="Q465" s="1" t="s">
        <v>2449</v>
      </c>
      <c r="R465" s="1" t="s">
        <v>2450</v>
      </c>
    </row>
    <row r="466" spans="1:18" s="23" customFormat="1">
      <c r="A466" s="23">
        <v>465</v>
      </c>
      <c r="B466" s="27">
        <f t="shared" si="8"/>
        <v>98644435101</v>
      </c>
      <c r="C466" s="23" t="s">
        <v>735</v>
      </c>
      <c r="D466" s="28">
        <v>98600000</v>
      </c>
      <c r="E466" s="23" t="s">
        <v>735</v>
      </c>
      <c r="F466" s="28">
        <v>98000000</v>
      </c>
      <c r="G466" s="23" t="s">
        <v>1003</v>
      </c>
      <c r="H466" s="28">
        <v>98644000</v>
      </c>
      <c r="I466" s="30" t="s">
        <v>2392</v>
      </c>
      <c r="J466" s="23" t="s">
        <v>2451</v>
      </c>
      <c r="K466" s="23" t="s">
        <v>754</v>
      </c>
      <c r="L466" s="23" t="str">
        <f>VLOOKUP(K466,Матрицы!B:C,2,0)</f>
        <v>село</v>
      </c>
      <c r="M466" s="31" t="s">
        <v>2452</v>
      </c>
      <c r="N466" s="28">
        <v>98644435101</v>
      </c>
      <c r="O466" s="36">
        <v>2302</v>
      </c>
      <c r="P466" s="1">
        <v>2</v>
      </c>
      <c r="Q466" s="1" t="s">
        <v>2453</v>
      </c>
      <c r="R466" s="1" t="s">
        <v>2454</v>
      </c>
    </row>
    <row r="467" spans="1:18" s="23" customFormat="1">
      <c r="A467" s="23">
        <v>466</v>
      </c>
      <c r="B467" s="27">
        <f t="shared" si="8"/>
        <v>98644440101</v>
      </c>
      <c r="C467" s="23" t="s">
        <v>735</v>
      </c>
      <c r="D467" s="28">
        <v>98600000</v>
      </c>
      <c r="E467" s="23" t="s">
        <v>735</v>
      </c>
      <c r="F467" s="28">
        <v>98000000</v>
      </c>
      <c r="G467" s="23" t="s">
        <v>1003</v>
      </c>
      <c r="H467" s="28">
        <v>98644000</v>
      </c>
      <c r="I467" s="30" t="s">
        <v>2392</v>
      </c>
      <c r="J467" s="23" t="s">
        <v>2455</v>
      </c>
      <c r="K467" s="23" t="s">
        <v>754</v>
      </c>
      <c r="L467" s="23" t="str">
        <f>VLOOKUP(K467,Матрицы!B:C,2,0)</f>
        <v>село</v>
      </c>
      <c r="M467" s="31" t="s">
        <v>2456</v>
      </c>
      <c r="N467" s="28">
        <v>98644440101</v>
      </c>
      <c r="O467" s="36">
        <v>2085</v>
      </c>
      <c r="P467" s="1">
        <v>2</v>
      </c>
      <c r="Q467" s="1" t="s">
        <v>2457</v>
      </c>
      <c r="R467" s="1" t="s">
        <v>2458</v>
      </c>
    </row>
    <row r="468" spans="1:18" s="23" customFormat="1">
      <c r="A468" s="23">
        <v>467</v>
      </c>
      <c r="B468" s="27">
        <f t="shared" si="8"/>
        <v>98644440106</v>
      </c>
      <c r="C468" s="23" t="s">
        <v>735</v>
      </c>
      <c r="D468" s="28">
        <v>98600000</v>
      </c>
      <c r="E468" s="23" t="s">
        <v>735</v>
      </c>
      <c r="F468" s="28">
        <v>98000000</v>
      </c>
      <c r="G468" s="23" t="s">
        <v>1003</v>
      </c>
      <c r="H468" s="28">
        <v>98644000</v>
      </c>
      <c r="I468" s="30" t="s">
        <v>2392</v>
      </c>
      <c r="J468" s="23" t="s">
        <v>2455</v>
      </c>
      <c r="K468" s="23" t="s">
        <v>754</v>
      </c>
      <c r="L468" s="23" t="str">
        <f>VLOOKUP(K468,Матрицы!B:C,2,0)</f>
        <v>село</v>
      </c>
      <c r="M468" s="31" t="s">
        <v>2357</v>
      </c>
      <c r="N468" s="28">
        <v>98644440106</v>
      </c>
      <c r="O468" s="36">
        <v>705</v>
      </c>
      <c r="P468" s="1">
        <v>2</v>
      </c>
      <c r="Q468" s="1" t="s">
        <v>2459</v>
      </c>
      <c r="R468" s="1" t="s">
        <v>2460</v>
      </c>
    </row>
    <row r="469" spans="1:18" s="23" customFormat="1">
      <c r="A469" s="23">
        <v>468</v>
      </c>
      <c r="B469" s="27">
        <f t="shared" si="8"/>
        <v>98644445101</v>
      </c>
      <c r="C469" s="23" t="s">
        <v>735</v>
      </c>
      <c r="D469" s="28">
        <v>98600000</v>
      </c>
      <c r="E469" s="23" t="s">
        <v>735</v>
      </c>
      <c r="F469" s="28">
        <v>98000000</v>
      </c>
      <c r="G469" s="23" t="s">
        <v>1003</v>
      </c>
      <c r="H469" s="28">
        <v>98644000</v>
      </c>
      <c r="I469" s="30" t="s">
        <v>2392</v>
      </c>
      <c r="J469" s="23" t="s">
        <v>2461</v>
      </c>
      <c r="K469" s="23" t="s">
        <v>754</v>
      </c>
      <c r="L469" s="23" t="str">
        <f>VLOOKUP(K469,Матрицы!B:C,2,0)</f>
        <v>село</v>
      </c>
      <c r="M469" s="31" t="s">
        <v>2462</v>
      </c>
      <c r="N469" s="28">
        <v>98644445101</v>
      </c>
      <c r="O469" s="36">
        <v>863</v>
      </c>
      <c r="P469" s="1">
        <v>2</v>
      </c>
      <c r="Q469" s="1" t="s">
        <v>2463</v>
      </c>
      <c r="R469" s="1" t="s">
        <v>2464</v>
      </c>
    </row>
    <row r="470" spans="1:18" s="23" customFormat="1">
      <c r="A470" s="23">
        <v>469</v>
      </c>
      <c r="B470" s="27">
        <f t="shared" si="8"/>
        <v>98644447101</v>
      </c>
      <c r="C470" s="23" t="s">
        <v>735</v>
      </c>
      <c r="D470" s="28">
        <v>98600000</v>
      </c>
      <c r="E470" s="23" t="s">
        <v>735</v>
      </c>
      <c r="F470" s="28">
        <v>98000000</v>
      </c>
      <c r="G470" s="23" t="s">
        <v>1003</v>
      </c>
      <c r="H470" s="28">
        <v>98644000</v>
      </c>
      <c r="I470" s="30" t="s">
        <v>2392</v>
      </c>
      <c r="J470" s="23" t="s">
        <v>2465</v>
      </c>
      <c r="K470" s="23" t="s">
        <v>754</v>
      </c>
      <c r="L470" s="23" t="str">
        <f>VLOOKUP(K470,Матрицы!B:C,2,0)</f>
        <v>село</v>
      </c>
      <c r="M470" s="31" t="s">
        <v>2466</v>
      </c>
      <c r="N470" s="28">
        <v>98644447101</v>
      </c>
      <c r="O470" s="36">
        <v>809</v>
      </c>
      <c r="P470" s="1">
        <v>2</v>
      </c>
      <c r="Q470" s="1" t="s">
        <v>2467</v>
      </c>
      <c r="R470" s="1" t="s">
        <v>2468</v>
      </c>
    </row>
    <row r="471" spans="1:18" s="23" customFormat="1">
      <c r="A471" s="23">
        <v>470</v>
      </c>
      <c r="B471" s="27">
        <f t="shared" si="8"/>
        <v>98644447106</v>
      </c>
      <c r="C471" s="23" t="s">
        <v>735</v>
      </c>
      <c r="D471" s="28">
        <v>98600000</v>
      </c>
      <c r="E471" s="23" t="s">
        <v>735</v>
      </c>
      <c r="F471" s="28">
        <v>98000000</v>
      </c>
      <c r="G471" s="23" t="s">
        <v>1003</v>
      </c>
      <c r="H471" s="28">
        <v>98644000</v>
      </c>
      <c r="I471" s="30" t="s">
        <v>2392</v>
      </c>
      <c r="J471" s="23" t="s">
        <v>2465</v>
      </c>
      <c r="K471" s="23" t="s">
        <v>754</v>
      </c>
      <c r="L471" s="23" t="str">
        <f>VLOOKUP(K471,Матрицы!B:C,2,0)</f>
        <v>село</v>
      </c>
      <c r="M471" s="31" t="s">
        <v>2469</v>
      </c>
      <c r="N471" s="28">
        <v>98644447106</v>
      </c>
      <c r="O471" s="36">
        <v>2</v>
      </c>
      <c r="P471" s="1">
        <v>2</v>
      </c>
      <c r="Q471" s="1" t="s">
        <v>2470</v>
      </c>
      <c r="R471" s="1" t="s">
        <v>2471</v>
      </c>
    </row>
    <row r="472" spans="1:18" s="23" customFormat="1">
      <c r="A472" s="23">
        <v>471</v>
      </c>
      <c r="B472" s="27">
        <f t="shared" si="8"/>
        <v>98644450101</v>
      </c>
      <c r="C472" s="23" t="s">
        <v>735</v>
      </c>
      <c r="D472" s="28">
        <v>98600000</v>
      </c>
      <c r="E472" s="23" t="s">
        <v>735</v>
      </c>
      <c r="F472" s="28">
        <v>98000000</v>
      </c>
      <c r="G472" s="23" t="s">
        <v>1003</v>
      </c>
      <c r="H472" s="28">
        <v>98644000</v>
      </c>
      <c r="I472" s="30" t="s">
        <v>2392</v>
      </c>
      <c r="J472" s="23" t="s">
        <v>2472</v>
      </c>
      <c r="K472" s="23" t="s">
        <v>754</v>
      </c>
      <c r="L472" s="23" t="str">
        <f>VLOOKUP(K472,Матрицы!B:C,2,0)</f>
        <v>село</v>
      </c>
      <c r="M472" s="31" t="s">
        <v>2473</v>
      </c>
      <c r="N472" s="28">
        <v>98644450101</v>
      </c>
      <c r="O472" s="36">
        <v>421</v>
      </c>
      <c r="P472" s="1">
        <v>2</v>
      </c>
      <c r="Q472" s="1" t="s">
        <v>2474</v>
      </c>
      <c r="R472" s="1" t="s">
        <v>2475</v>
      </c>
    </row>
    <row r="473" spans="1:18">
      <c r="A473" s="23">
        <v>472</v>
      </c>
      <c r="B473" s="27">
        <f t="shared" si="8"/>
        <v>98644450106</v>
      </c>
      <c r="C473" s="23" t="s">
        <v>735</v>
      </c>
      <c r="D473" s="28">
        <v>98600000</v>
      </c>
      <c r="E473" s="23" t="s">
        <v>735</v>
      </c>
      <c r="F473" s="28">
        <v>98000000</v>
      </c>
      <c r="G473" s="23" t="s">
        <v>1003</v>
      </c>
      <c r="H473" s="28">
        <v>98644000</v>
      </c>
      <c r="I473" s="30" t="s">
        <v>2392</v>
      </c>
      <c r="J473" s="23" t="s">
        <v>2472</v>
      </c>
      <c r="K473" s="23" t="s">
        <v>754</v>
      </c>
      <c r="L473" s="23" t="str">
        <f>VLOOKUP(K473,Матрицы!B:C,2,0)</f>
        <v>село</v>
      </c>
      <c r="M473" s="31" t="s">
        <v>1240</v>
      </c>
      <c r="N473" s="28">
        <v>98644450106</v>
      </c>
      <c r="O473" s="36">
        <v>4</v>
      </c>
      <c r="P473" s="1">
        <v>2</v>
      </c>
      <c r="Q473" s="1" t="s">
        <v>2476</v>
      </c>
      <c r="R473" s="1" t="s">
        <v>2477</v>
      </c>
    </row>
    <row r="474" spans="1:18">
      <c r="A474" s="23">
        <v>473</v>
      </c>
      <c r="B474" s="27">
        <f t="shared" si="8"/>
        <v>98644450111</v>
      </c>
      <c r="C474" s="23" t="s">
        <v>735</v>
      </c>
      <c r="D474" s="28">
        <v>98600000</v>
      </c>
      <c r="E474" s="23" t="s">
        <v>735</v>
      </c>
      <c r="F474" s="28">
        <v>98000000</v>
      </c>
      <c r="G474" s="23" t="s">
        <v>1003</v>
      </c>
      <c r="H474" s="28">
        <v>98644000</v>
      </c>
      <c r="I474" s="30" t="s">
        <v>2392</v>
      </c>
      <c r="J474" s="23" t="s">
        <v>2472</v>
      </c>
      <c r="K474" s="23" t="s">
        <v>754</v>
      </c>
      <c r="L474" s="23" t="str">
        <f>VLOOKUP(K474,Матрицы!B:C,2,0)</f>
        <v>село</v>
      </c>
      <c r="M474" s="31" t="s">
        <v>1047</v>
      </c>
      <c r="N474" s="28">
        <v>98644450111</v>
      </c>
      <c r="O474" s="36">
        <v>264</v>
      </c>
      <c r="P474" s="1">
        <v>2</v>
      </c>
      <c r="Q474" s="1" t="s">
        <v>2478</v>
      </c>
      <c r="R474" s="1" t="s">
        <v>2479</v>
      </c>
    </row>
    <row r="475" spans="1:18">
      <c r="A475" s="23">
        <v>474</v>
      </c>
      <c r="B475" s="27">
        <f t="shared" si="8"/>
        <v>98644453101</v>
      </c>
      <c r="C475" s="23" t="s">
        <v>735</v>
      </c>
      <c r="D475" s="28">
        <v>98600000</v>
      </c>
      <c r="E475" s="23" t="s">
        <v>735</v>
      </c>
      <c r="F475" s="28">
        <v>98000000</v>
      </c>
      <c r="G475" s="23" t="s">
        <v>1003</v>
      </c>
      <c r="H475" s="28">
        <v>98644000</v>
      </c>
      <c r="I475" s="30" t="s">
        <v>2392</v>
      </c>
      <c r="J475" s="23" t="s">
        <v>2480</v>
      </c>
      <c r="K475" s="23" t="s">
        <v>754</v>
      </c>
      <c r="L475" s="23" t="str">
        <f>VLOOKUP(K475,Матрицы!B:C,2,0)</f>
        <v>село</v>
      </c>
      <c r="M475" s="31" t="s">
        <v>873</v>
      </c>
      <c r="N475" s="28">
        <v>98644453101</v>
      </c>
      <c r="O475" s="36">
        <v>228</v>
      </c>
      <c r="P475" s="1">
        <v>2</v>
      </c>
      <c r="Q475" s="1" t="s">
        <v>1110</v>
      </c>
      <c r="R475" s="1" t="s">
        <v>2481</v>
      </c>
    </row>
    <row r="476" spans="1:18">
      <c r="A476" s="23">
        <v>475</v>
      </c>
      <c r="B476" s="27">
        <f t="shared" si="8"/>
        <v>98646101001</v>
      </c>
      <c r="C476" s="23" t="s">
        <v>735</v>
      </c>
      <c r="D476" s="28">
        <v>98600000</v>
      </c>
      <c r="E476" s="23" t="s">
        <v>735</v>
      </c>
      <c r="F476" s="28">
        <v>98000000</v>
      </c>
      <c r="G476" s="23" t="s">
        <v>965</v>
      </c>
      <c r="H476" s="28">
        <v>98646000</v>
      </c>
      <c r="I476" s="30" t="s">
        <v>2482</v>
      </c>
      <c r="J476" s="23" t="s">
        <v>2483</v>
      </c>
      <c r="K476" s="23" t="s">
        <v>740</v>
      </c>
      <c r="L476" s="23" t="str">
        <f>VLOOKUP(K476,Матрицы!B:C,2,0)</f>
        <v>город</v>
      </c>
      <c r="M476" s="31" t="s">
        <v>682</v>
      </c>
      <c r="N476" s="28">
        <v>98646101001</v>
      </c>
      <c r="O476" s="36">
        <v>3118</v>
      </c>
      <c r="P476" s="1">
        <v>1</v>
      </c>
      <c r="Q476" s="1" t="s">
        <v>2484</v>
      </c>
      <c r="R476" s="1" t="s">
        <v>2485</v>
      </c>
    </row>
    <row r="477" spans="1:18">
      <c r="A477" s="23">
        <v>476</v>
      </c>
      <c r="B477" s="27">
        <f t="shared" si="8"/>
        <v>98646101106</v>
      </c>
      <c r="C477" s="23" t="s">
        <v>735</v>
      </c>
      <c r="D477" s="28">
        <v>98600000</v>
      </c>
      <c r="E477" s="23" t="s">
        <v>735</v>
      </c>
      <c r="F477" s="28">
        <v>98000000</v>
      </c>
      <c r="G477" s="23" t="s">
        <v>965</v>
      </c>
      <c r="H477" s="28">
        <v>98646000</v>
      </c>
      <c r="I477" s="30" t="s">
        <v>2482</v>
      </c>
      <c r="J477" s="23" t="s">
        <v>2483</v>
      </c>
      <c r="K477" s="23" t="s">
        <v>754</v>
      </c>
      <c r="L477" s="23" t="str">
        <f>VLOOKUP(K477,Матрицы!B:C,2,0)</f>
        <v>село</v>
      </c>
      <c r="M477" s="31" t="s">
        <v>2486</v>
      </c>
      <c r="N477" s="28">
        <v>98646101106</v>
      </c>
      <c r="O477" s="36">
        <v>1</v>
      </c>
      <c r="P477" s="1">
        <v>2</v>
      </c>
      <c r="Q477" s="1" t="s">
        <v>2487</v>
      </c>
      <c r="R477" s="1" t="s">
        <v>2488</v>
      </c>
    </row>
    <row r="478" spans="1:18">
      <c r="A478" s="23">
        <v>477</v>
      </c>
      <c r="B478" s="27">
        <f t="shared" si="8"/>
        <v>98646405101</v>
      </c>
      <c r="C478" s="23" t="s">
        <v>735</v>
      </c>
      <c r="D478" s="28">
        <v>98600000</v>
      </c>
      <c r="E478" s="23" t="s">
        <v>735</v>
      </c>
      <c r="F478" s="28">
        <v>98000000</v>
      </c>
      <c r="G478" s="23" t="s">
        <v>965</v>
      </c>
      <c r="H478" s="28">
        <v>98646000</v>
      </c>
      <c r="I478" s="30" t="s">
        <v>2489</v>
      </c>
      <c r="J478" s="23" t="s">
        <v>2490</v>
      </c>
      <c r="K478" s="23" t="s">
        <v>754</v>
      </c>
      <c r="L478" s="23" t="str">
        <f>VLOOKUP(K478,Матрицы!B:C,2,0)</f>
        <v>село</v>
      </c>
      <c r="M478" s="31" t="s">
        <v>711</v>
      </c>
      <c r="N478" s="28">
        <v>98646405101</v>
      </c>
      <c r="O478" s="36">
        <v>469</v>
      </c>
      <c r="P478" s="1">
        <v>2</v>
      </c>
      <c r="Q478" s="1" t="s">
        <v>2491</v>
      </c>
      <c r="R478" s="1" t="s">
        <v>2492</v>
      </c>
    </row>
    <row r="479" spans="1:18">
      <c r="A479" s="23">
        <v>478</v>
      </c>
      <c r="B479" s="27">
        <f t="shared" si="8"/>
        <v>98646410101</v>
      </c>
      <c r="C479" s="23" t="s">
        <v>735</v>
      </c>
      <c r="D479" s="28">
        <v>98600000</v>
      </c>
      <c r="E479" s="23" t="s">
        <v>735</v>
      </c>
      <c r="F479" s="28">
        <v>98000000</v>
      </c>
      <c r="G479" s="23" t="s">
        <v>965</v>
      </c>
      <c r="H479" s="28">
        <v>98646000</v>
      </c>
      <c r="I479" s="30" t="s">
        <v>2489</v>
      </c>
      <c r="J479" s="23" t="s">
        <v>2493</v>
      </c>
      <c r="K479" s="23" t="s">
        <v>754</v>
      </c>
      <c r="L479" s="23" t="str">
        <f>VLOOKUP(K479,Матрицы!B:C,2,0)</f>
        <v>село</v>
      </c>
      <c r="M479" s="31" t="s">
        <v>2494</v>
      </c>
      <c r="N479" s="28">
        <v>98646410101</v>
      </c>
      <c r="O479" s="36">
        <v>418</v>
      </c>
      <c r="P479" s="1">
        <v>2</v>
      </c>
      <c r="Q479" s="1" t="s">
        <v>2495</v>
      </c>
      <c r="R479" s="1" t="s">
        <v>2496</v>
      </c>
    </row>
    <row r="480" spans="1:18">
      <c r="A480" s="23">
        <v>479</v>
      </c>
      <c r="B480" s="27">
        <f t="shared" si="8"/>
        <v>98646415101</v>
      </c>
      <c r="C480" s="23" t="s">
        <v>735</v>
      </c>
      <c r="D480" s="28">
        <v>98600000</v>
      </c>
      <c r="E480" s="23" t="s">
        <v>735</v>
      </c>
      <c r="F480" s="28">
        <v>98000000</v>
      </c>
      <c r="G480" s="23" t="s">
        <v>965</v>
      </c>
      <c r="H480" s="28">
        <v>98646000</v>
      </c>
      <c r="I480" s="30" t="s">
        <v>2489</v>
      </c>
      <c r="J480" s="23" t="s">
        <v>2497</v>
      </c>
      <c r="K480" s="23" t="s">
        <v>754</v>
      </c>
      <c r="L480" s="23" t="str">
        <f>VLOOKUP(K480,Матрицы!B:C,2,0)</f>
        <v>село</v>
      </c>
      <c r="M480" s="31" t="s">
        <v>810</v>
      </c>
      <c r="N480" s="28">
        <v>98646415101</v>
      </c>
      <c r="O480" s="36">
        <v>280</v>
      </c>
      <c r="P480" s="1">
        <v>2</v>
      </c>
      <c r="Q480" s="1" t="s">
        <v>2498</v>
      </c>
      <c r="R480" s="1" t="s">
        <v>2499</v>
      </c>
    </row>
    <row r="481" spans="1:18">
      <c r="A481" s="23">
        <v>480</v>
      </c>
      <c r="B481" s="27">
        <f t="shared" si="8"/>
        <v>98646415106</v>
      </c>
      <c r="C481" s="23" t="s">
        <v>735</v>
      </c>
      <c r="D481" s="28">
        <v>98600000</v>
      </c>
      <c r="E481" s="23" t="s">
        <v>735</v>
      </c>
      <c r="F481" s="28">
        <v>98000000</v>
      </c>
      <c r="G481" s="23" t="s">
        <v>965</v>
      </c>
      <c r="H481" s="28">
        <v>98646000</v>
      </c>
      <c r="I481" s="30" t="s">
        <v>2489</v>
      </c>
      <c r="J481" s="23" t="s">
        <v>2497</v>
      </c>
      <c r="K481" s="23" t="s">
        <v>754</v>
      </c>
      <c r="L481" s="23" t="str">
        <f>VLOOKUP(K481,Матрицы!B:C,2,0)</f>
        <v>село</v>
      </c>
      <c r="M481" s="31" t="s">
        <v>2500</v>
      </c>
      <c r="N481" s="28">
        <v>98646415106</v>
      </c>
      <c r="O481" s="36">
        <v>3</v>
      </c>
      <c r="P481" s="1">
        <v>2</v>
      </c>
      <c r="Q481" s="1" t="s">
        <v>2501</v>
      </c>
      <c r="R481" s="1" t="s">
        <v>2502</v>
      </c>
    </row>
    <row r="482" spans="1:18">
      <c r="A482" s="23">
        <v>481</v>
      </c>
      <c r="B482" s="27">
        <f t="shared" si="8"/>
        <v>98646420101</v>
      </c>
      <c r="C482" s="23" t="s">
        <v>735</v>
      </c>
      <c r="D482" s="28">
        <v>98600000</v>
      </c>
      <c r="E482" s="23" t="s">
        <v>735</v>
      </c>
      <c r="F482" s="28">
        <v>98000000</v>
      </c>
      <c r="G482" s="23" t="s">
        <v>965</v>
      </c>
      <c r="H482" s="28">
        <v>98646000</v>
      </c>
      <c r="I482" s="30" t="s">
        <v>2489</v>
      </c>
      <c r="J482" s="23" t="s">
        <v>2503</v>
      </c>
      <c r="K482" s="23" t="s">
        <v>754</v>
      </c>
      <c r="L482" s="23" t="str">
        <f>VLOOKUP(K482,Матрицы!B:C,2,0)</f>
        <v>село</v>
      </c>
      <c r="M482" s="31" t="s">
        <v>2504</v>
      </c>
      <c r="N482" s="28">
        <v>98646420101</v>
      </c>
      <c r="O482" s="36">
        <v>512</v>
      </c>
      <c r="P482" s="1">
        <v>2</v>
      </c>
      <c r="Q482" s="1" t="s">
        <v>2505</v>
      </c>
      <c r="R482" s="1" t="s">
        <v>2506</v>
      </c>
    </row>
    <row r="483" spans="1:18">
      <c r="A483" s="23">
        <v>482</v>
      </c>
      <c r="B483" s="27">
        <f t="shared" si="8"/>
        <v>98646420106</v>
      </c>
      <c r="C483" s="23" t="s">
        <v>735</v>
      </c>
      <c r="D483" s="28">
        <v>98600000</v>
      </c>
      <c r="E483" s="23" t="s">
        <v>735</v>
      </c>
      <c r="F483" s="28">
        <v>98000000</v>
      </c>
      <c r="G483" s="23" t="s">
        <v>965</v>
      </c>
      <c r="H483" s="28">
        <v>98646000</v>
      </c>
      <c r="I483" s="30" t="s">
        <v>2489</v>
      </c>
      <c r="J483" s="23" t="s">
        <v>2503</v>
      </c>
      <c r="K483" s="23" t="s">
        <v>754</v>
      </c>
      <c r="L483" s="23" t="str">
        <f>VLOOKUP(K483,Матрицы!B:C,2,0)</f>
        <v>село</v>
      </c>
      <c r="M483" s="31" t="s">
        <v>2507</v>
      </c>
      <c r="N483" s="28">
        <v>98646420106</v>
      </c>
      <c r="O483" s="32">
        <v>0</v>
      </c>
      <c r="P483" s="1">
        <v>2</v>
      </c>
      <c r="Q483" s="1" t="s">
        <v>2508</v>
      </c>
      <c r="R483" s="1" t="s">
        <v>2509</v>
      </c>
    </row>
    <row r="484" spans="1:18">
      <c r="A484" s="23">
        <v>483</v>
      </c>
      <c r="B484" s="27">
        <f t="shared" si="8"/>
        <v>98646422101</v>
      </c>
      <c r="C484" s="23" t="s">
        <v>735</v>
      </c>
      <c r="D484" s="28">
        <v>98600000</v>
      </c>
      <c r="E484" s="23" t="s">
        <v>735</v>
      </c>
      <c r="F484" s="28">
        <v>98000000</v>
      </c>
      <c r="G484" s="23" t="s">
        <v>965</v>
      </c>
      <c r="H484" s="28">
        <v>98646000</v>
      </c>
      <c r="I484" s="30" t="s">
        <v>2489</v>
      </c>
      <c r="J484" s="23" t="s">
        <v>2510</v>
      </c>
      <c r="K484" s="23" t="s">
        <v>754</v>
      </c>
      <c r="L484" s="23" t="str">
        <f>VLOOKUP(K484,Матрицы!B:C,2,0)</f>
        <v>село</v>
      </c>
      <c r="M484" s="31" t="s">
        <v>2511</v>
      </c>
      <c r="N484" s="28">
        <v>98646422101</v>
      </c>
      <c r="O484" s="36">
        <v>453</v>
      </c>
      <c r="P484" s="1">
        <v>2</v>
      </c>
      <c r="Q484" s="1" t="s">
        <v>2512</v>
      </c>
      <c r="R484" s="1" t="s">
        <v>2513</v>
      </c>
    </row>
    <row r="485" spans="1:18">
      <c r="A485" s="23">
        <v>484</v>
      </c>
      <c r="B485" s="27">
        <f t="shared" si="8"/>
        <v>98646435101</v>
      </c>
      <c r="C485" s="23" t="s">
        <v>735</v>
      </c>
      <c r="D485" s="28">
        <v>98600000</v>
      </c>
      <c r="E485" s="23" t="s">
        <v>735</v>
      </c>
      <c r="F485" s="28">
        <v>98000000</v>
      </c>
      <c r="G485" s="23" t="s">
        <v>965</v>
      </c>
      <c r="H485" s="28">
        <v>98646000</v>
      </c>
      <c r="I485" s="30" t="s">
        <v>2489</v>
      </c>
      <c r="J485" s="23" t="s">
        <v>2514</v>
      </c>
      <c r="K485" s="23" t="s">
        <v>754</v>
      </c>
      <c r="L485" s="23" t="str">
        <f>VLOOKUP(K485,Матрицы!B:C,2,0)</f>
        <v>село</v>
      </c>
      <c r="M485" s="31" t="s">
        <v>2515</v>
      </c>
      <c r="N485" s="28">
        <v>98646435101</v>
      </c>
      <c r="O485" s="36">
        <v>440</v>
      </c>
      <c r="P485" s="1">
        <v>2</v>
      </c>
      <c r="Q485" s="1" t="s">
        <v>2516</v>
      </c>
      <c r="R485" s="1" t="s">
        <v>2517</v>
      </c>
    </row>
    <row r="486" spans="1:18">
      <c r="A486" s="23">
        <v>485</v>
      </c>
      <c r="B486" s="27">
        <f t="shared" si="8"/>
        <v>98646436101</v>
      </c>
      <c r="C486" s="23" t="s">
        <v>735</v>
      </c>
      <c r="D486" s="28">
        <v>98600000</v>
      </c>
      <c r="E486" s="23" t="s">
        <v>735</v>
      </c>
      <c r="F486" s="28">
        <v>98000000</v>
      </c>
      <c r="G486" s="23" t="s">
        <v>965</v>
      </c>
      <c r="H486" s="28">
        <v>98646000</v>
      </c>
      <c r="I486" s="30" t="s">
        <v>2489</v>
      </c>
      <c r="J486" s="23" t="s">
        <v>2518</v>
      </c>
      <c r="K486" s="23" t="s">
        <v>754</v>
      </c>
      <c r="L486" s="23" t="str">
        <f>VLOOKUP(K486,Матрицы!B:C,2,0)</f>
        <v>село</v>
      </c>
      <c r="M486" s="31" t="s">
        <v>708</v>
      </c>
      <c r="N486" s="28">
        <v>98646436101</v>
      </c>
      <c r="O486" s="36">
        <v>502</v>
      </c>
      <c r="P486" s="1">
        <v>2</v>
      </c>
      <c r="Q486" s="1" t="s">
        <v>2519</v>
      </c>
      <c r="R486" s="1" t="s">
        <v>2520</v>
      </c>
    </row>
    <row r="487" spans="1:18">
      <c r="A487" s="23">
        <v>486</v>
      </c>
      <c r="B487" s="27">
        <f t="shared" si="8"/>
        <v>98646436106</v>
      </c>
      <c r="C487" s="23" t="s">
        <v>735</v>
      </c>
      <c r="D487" s="28">
        <v>98600000</v>
      </c>
      <c r="E487" s="23" t="s">
        <v>735</v>
      </c>
      <c r="F487" s="28">
        <v>98000000</v>
      </c>
      <c r="G487" s="23" t="s">
        <v>965</v>
      </c>
      <c r="H487" s="28">
        <v>98646000</v>
      </c>
      <c r="I487" s="30" t="s">
        <v>2489</v>
      </c>
      <c r="J487" s="23" t="s">
        <v>2518</v>
      </c>
      <c r="K487" s="23" t="s">
        <v>754</v>
      </c>
      <c r="L487" s="23" t="str">
        <f>VLOOKUP(K487,Матрицы!B:C,2,0)</f>
        <v>село</v>
      </c>
      <c r="M487" s="31" t="s">
        <v>2521</v>
      </c>
      <c r="N487" s="28">
        <v>98646436106</v>
      </c>
      <c r="O487" s="36">
        <v>10</v>
      </c>
      <c r="P487" s="1">
        <v>2</v>
      </c>
      <c r="Q487" s="1" t="s">
        <v>2522</v>
      </c>
      <c r="R487" s="1" t="s">
        <v>2523</v>
      </c>
    </row>
    <row r="488" spans="1:18">
      <c r="A488" s="23">
        <v>487</v>
      </c>
      <c r="B488" s="27">
        <f t="shared" si="8"/>
        <v>98646442101</v>
      </c>
      <c r="C488" s="23" t="s">
        <v>735</v>
      </c>
      <c r="D488" s="28">
        <v>98600000</v>
      </c>
      <c r="E488" s="23" t="s">
        <v>735</v>
      </c>
      <c r="F488" s="28">
        <v>98000000</v>
      </c>
      <c r="G488" s="23" t="s">
        <v>965</v>
      </c>
      <c r="H488" s="28">
        <v>98646000</v>
      </c>
      <c r="I488" s="30" t="s">
        <v>2489</v>
      </c>
      <c r="J488" s="23" t="s">
        <v>2524</v>
      </c>
      <c r="K488" s="23" t="s">
        <v>754</v>
      </c>
      <c r="L488" s="23" t="str">
        <f>VLOOKUP(K488,Матрицы!B:C,2,0)</f>
        <v>село</v>
      </c>
      <c r="M488" s="31" t="s">
        <v>2525</v>
      </c>
      <c r="N488" s="28">
        <v>98646442101</v>
      </c>
      <c r="O488" s="36">
        <v>530</v>
      </c>
      <c r="P488" s="1">
        <v>2</v>
      </c>
      <c r="Q488" s="1" t="s">
        <v>2526</v>
      </c>
      <c r="R488" s="1" t="s">
        <v>2527</v>
      </c>
    </row>
    <row r="489" spans="1:18">
      <c r="A489" s="23">
        <v>488</v>
      </c>
      <c r="B489" s="27">
        <f t="shared" si="8"/>
        <v>98646442106</v>
      </c>
      <c r="C489" s="23" t="s">
        <v>735</v>
      </c>
      <c r="D489" s="28">
        <v>98600000</v>
      </c>
      <c r="E489" s="23" t="s">
        <v>735</v>
      </c>
      <c r="F489" s="28">
        <v>98000000</v>
      </c>
      <c r="G489" s="23" t="s">
        <v>965</v>
      </c>
      <c r="H489" s="28">
        <v>98646000</v>
      </c>
      <c r="I489" s="30" t="s">
        <v>2489</v>
      </c>
      <c r="J489" s="23" t="s">
        <v>2524</v>
      </c>
      <c r="K489" s="23" t="s">
        <v>754</v>
      </c>
      <c r="L489" s="23" t="str">
        <f>VLOOKUP(K489,Матрицы!B:C,2,0)</f>
        <v>село</v>
      </c>
      <c r="M489" s="31" t="s">
        <v>2528</v>
      </c>
      <c r="N489" s="28">
        <v>98646442106</v>
      </c>
      <c r="O489" s="32">
        <v>0</v>
      </c>
      <c r="P489" s="1">
        <v>2</v>
      </c>
      <c r="Q489" s="1" t="s">
        <v>2529</v>
      </c>
      <c r="R489" s="1" t="s">
        <v>2530</v>
      </c>
    </row>
    <row r="490" spans="1:18">
      <c r="A490" s="23">
        <v>489</v>
      </c>
      <c r="B490" s="27">
        <f t="shared" si="8"/>
        <v>98646448101</v>
      </c>
      <c r="C490" s="23" t="s">
        <v>735</v>
      </c>
      <c r="D490" s="28">
        <v>98600000</v>
      </c>
      <c r="E490" s="23" t="s">
        <v>735</v>
      </c>
      <c r="F490" s="28">
        <v>98000000</v>
      </c>
      <c r="G490" s="23" t="s">
        <v>965</v>
      </c>
      <c r="H490" s="28">
        <v>98646000</v>
      </c>
      <c r="I490" s="30" t="s">
        <v>2489</v>
      </c>
      <c r="J490" s="23" t="s">
        <v>2531</v>
      </c>
      <c r="K490" s="23" t="s">
        <v>754</v>
      </c>
      <c r="L490" s="23" t="str">
        <f>VLOOKUP(K490,Матрицы!B:C,2,0)</f>
        <v>село</v>
      </c>
      <c r="M490" s="31" t="s">
        <v>2532</v>
      </c>
      <c r="N490" s="28">
        <v>98646448101</v>
      </c>
      <c r="O490" s="36">
        <v>241</v>
      </c>
      <c r="P490" s="1">
        <v>2</v>
      </c>
      <c r="Q490" s="1" t="s">
        <v>2533</v>
      </c>
      <c r="R490" s="1" t="s">
        <v>2534</v>
      </c>
    </row>
    <row r="491" spans="1:18">
      <c r="A491" s="23">
        <v>490</v>
      </c>
      <c r="B491" s="27">
        <f t="shared" si="8"/>
        <v>98648404101</v>
      </c>
      <c r="C491" s="23" t="s">
        <v>735</v>
      </c>
      <c r="D491" s="28">
        <v>98600000</v>
      </c>
      <c r="E491" s="23" t="s">
        <v>735</v>
      </c>
      <c r="F491" s="28">
        <v>98000000</v>
      </c>
      <c r="G491" s="23" t="s">
        <v>969</v>
      </c>
      <c r="H491" s="28">
        <v>98648000</v>
      </c>
      <c r="I491" s="30" t="s">
        <v>2535</v>
      </c>
      <c r="J491" s="23" t="s">
        <v>2536</v>
      </c>
      <c r="K491" s="23" t="s">
        <v>754</v>
      </c>
      <c r="L491" s="23" t="str">
        <f>VLOOKUP(K491,Матрицы!B:C,2,0)</f>
        <v>село</v>
      </c>
      <c r="M491" s="31" t="s">
        <v>2537</v>
      </c>
      <c r="N491" s="28">
        <v>98648404101</v>
      </c>
      <c r="O491" s="36">
        <v>430</v>
      </c>
      <c r="P491" s="1">
        <v>2</v>
      </c>
      <c r="Q491" s="1" t="s">
        <v>2538</v>
      </c>
      <c r="R491" s="1" t="s">
        <v>2539</v>
      </c>
    </row>
    <row r="492" spans="1:18">
      <c r="A492" s="23">
        <v>491</v>
      </c>
      <c r="B492" s="27">
        <f t="shared" si="8"/>
        <v>98648405101</v>
      </c>
      <c r="C492" s="23" t="s">
        <v>735</v>
      </c>
      <c r="D492" s="28">
        <v>98600000</v>
      </c>
      <c r="E492" s="23" t="s">
        <v>735</v>
      </c>
      <c r="F492" s="28">
        <v>98000000</v>
      </c>
      <c r="G492" s="23" t="s">
        <v>969</v>
      </c>
      <c r="H492" s="28">
        <v>98648000</v>
      </c>
      <c r="I492" s="30" t="s">
        <v>2535</v>
      </c>
      <c r="J492" s="23" t="s">
        <v>1302</v>
      </c>
      <c r="K492" s="23" t="s">
        <v>754</v>
      </c>
      <c r="L492" s="23" t="str">
        <f>VLOOKUP(K492,Матрицы!B:C,2,0)</f>
        <v>село</v>
      </c>
      <c r="M492" s="31" t="s">
        <v>1303</v>
      </c>
      <c r="N492" s="28">
        <v>98648405101</v>
      </c>
      <c r="O492" s="36">
        <v>622</v>
      </c>
      <c r="P492" s="1">
        <v>2</v>
      </c>
      <c r="Q492" s="1" t="s">
        <v>2540</v>
      </c>
      <c r="R492" s="1" t="s">
        <v>2541</v>
      </c>
    </row>
    <row r="493" spans="1:18">
      <c r="A493" s="23">
        <v>492</v>
      </c>
      <c r="B493" s="27">
        <f t="shared" si="8"/>
        <v>98648410101</v>
      </c>
      <c r="C493" s="23" t="s">
        <v>735</v>
      </c>
      <c r="D493" s="28">
        <v>98600000</v>
      </c>
      <c r="E493" s="23" t="s">
        <v>735</v>
      </c>
      <c r="F493" s="28">
        <v>98000000</v>
      </c>
      <c r="G493" s="23" t="s">
        <v>969</v>
      </c>
      <c r="H493" s="28">
        <v>98648000</v>
      </c>
      <c r="I493" s="30" t="s">
        <v>2535</v>
      </c>
      <c r="J493" s="23" t="s">
        <v>1678</v>
      </c>
      <c r="K493" s="23" t="s">
        <v>754</v>
      </c>
      <c r="L493" s="23" t="str">
        <f>VLOOKUP(K493,Матрицы!B:C,2,0)</f>
        <v>село</v>
      </c>
      <c r="M493" s="31" t="s">
        <v>2542</v>
      </c>
      <c r="N493" s="28">
        <v>98648410101</v>
      </c>
      <c r="O493" s="36">
        <v>820</v>
      </c>
      <c r="P493" s="1">
        <v>2</v>
      </c>
      <c r="Q493" s="1" t="s">
        <v>2543</v>
      </c>
      <c r="R493" s="1" t="s">
        <v>2544</v>
      </c>
    </row>
    <row r="494" spans="1:18">
      <c r="A494" s="23">
        <v>493</v>
      </c>
      <c r="B494" s="27">
        <f t="shared" si="8"/>
        <v>98648415101</v>
      </c>
      <c r="C494" s="23" t="s">
        <v>735</v>
      </c>
      <c r="D494" s="28">
        <v>98600000</v>
      </c>
      <c r="E494" s="23" t="s">
        <v>735</v>
      </c>
      <c r="F494" s="28">
        <v>98000000</v>
      </c>
      <c r="G494" s="23" t="s">
        <v>969</v>
      </c>
      <c r="H494" s="28">
        <v>98648000</v>
      </c>
      <c r="I494" s="30" t="s">
        <v>2535</v>
      </c>
      <c r="J494" s="23" t="s">
        <v>2545</v>
      </c>
      <c r="K494" s="23" t="s">
        <v>754</v>
      </c>
      <c r="L494" s="23" t="str">
        <f>VLOOKUP(K494,Матрицы!B:C,2,0)</f>
        <v>село</v>
      </c>
      <c r="M494" s="31" t="s">
        <v>2546</v>
      </c>
      <c r="N494" s="28">
        <v>98648415101</v>
      </c>
      <c r="O494" s="36">
        <v>600</v>
      </c>
      <c r="P494" s="1">
        <v>2</v>
      </c>
      <c r="Q494" s="1" t="s">
        <v>2547</v>
      </c>
      <c r="R494" s="1" t="s">
        <v>2548</v>
      </c>
    </row>
    <row r="495" spans="1:18">
      <c r="A495" s="23">
        <v>494</v>
      </c>
      <c r="B495" s="27">
        <f t="shared" si="8"/>
        <v>98648415106</v>
      </c>
      <c r="C495" s="23" t="s">
        <v>735</v>
      </c>
      <c r="D495" s="28">
        <v>98600000</v>
      </c>
      <c r="E495" s="23" t="s">
        <v>735</v>
      </c>
      <c r="F495" s="28">
        <v>98000000</v>
      </c>
      <c r="G495" s="23" t="s">
        <v>969</v>
      </c>
      <c r="H495" s="28">
        <v>98648000</v>
      </c>
      <c r="I495" s="30" t="s">
        <v>2535</v>
      </c>
      <c r="J495" s="23" t="s">
        <v>2545</v>
      </c>
      <c r="K495" s="23" t="s">
        <v>754</v>
      </c>
      <c r="L495" s="23" t="str">
        <f>VLOOKUP(K495,Матрицы!B:C,2,0)</f>
        <v>село</v>
      </c>
      <c r="M495" s="31" t="s">
        <v>2549</v>
      </c>
      <c r="N495" s="28">
        <v>98648415106</v>
      </c>
      <c r="O495" s="36">
        <v>2</v>
      </c>
      <c r="P495" s="1">
        <v>2</v>
      </c>
      <c r="Q495" s="1" t="s">
        <v>2550</v>
      </c>
      <c r="R495" s="1" t="s">
        <v>2551</v>
      </c>
    </row>
    <row r="496" spans="1:18">
      <c r="A496" s="23">
        <v>495</v>
      </c>
      <c r="B496" s="27">
        <f t="shared" si="8"/>
        <v>98648420101</v>
      </c>
      <c r="C496" s="23" t="s">
        <v>735</v>
      </c>
      <c r="D496" s="28">
        <v>98600000</v>
      </c>
      <c r="E496" s="23" t="s">
        <v>735</v>
      </c>
      <c r="F496" s="28">
        <v>98000000</v>
      </c>
      <c r="G496" s="23" t="s">
        <v>969</v>
      </c>
      <c r="H496" s="28">
        <v>98648000</v>
      </c>
      <c r="I496" s="30" t="s">
        <v>2535</v>
      </c>
      <c r="J496" s="23" t="s">
        <v>1688</v>
      </c>
      <c r="K496" s="23" t="s">
        <v>754</v>
      </c>
      <c r="L496" s="23" t="str">
        <f>VLOOKUP(K496,Матрицы!B:C,2,0)</f>
        <v>село</v>
      </c>
      <c r="M496" s="31" t="s">
        <v>2552</v>
      </c>
      <c r="N496" s="28">
        <v>98648420101</v>
      </c>
      <c r="O496" s="36">
        <v>468</v>
      </c>
      <c r="P496" s="1">
        <v>2</v>
      </c>
      <c r="Q496" s="1" t="s">
        <v>2553</v>
      </c>
      <c r="R496" s="1" t="s">
        <v>2554</v>
      </c>
    </row>
    <row r="497" spans="1:18">
      <c r="A497" s="23">
        <v>496</v>
      </c>
      <c r="B497" s="27">
        <f t="shared" si="8"/>
        <v>98648422101</v>
      </c>
      <c r="C497" s="23" t="s">
        <v>735</v>
      </c>
      <c r="D497" s="28">
        <v>98600000</v>
      </c>
      <c r="E497" s="23" t="s">
        <v>735</v>
      </c>
      <c r="F497" s="28">
        <v>98000000</v>
      </c>
      <c r="G497" s="23" t="s">
        <v>969</v>
      </c>
      <c r="H497" s="28">
        <v>98648000</v>
      </c>
      <c r="I497" s="30" t="s">
        <v>2535</v>
      </c>
      <c r="J497" s="23" t="s">
        <v>2555</v>
      </c>
      <c r="K497" s="23" t="s">
        <v>754</v>
      </c>
      <c r="L497" s="23" t="str">
        <f>VLOOKUP(K497,Матрицы!B:C,2,0)</f>
        <v>село</v>
      </c>
      <c r="M497" s="31" t="s">
        <v>2556</v>
      </c>
      <c r="N497" s="28">
        <v>98648422101</v>
      </c>
      <c r="O497" s="36">
        <v>271</v>
      </c>
      <c r="P497" s="1">
        <v>2</v>
      </c>
      <c r="Q497" s="1" t="s">
        <v>2557</v>
      </c>
      <c r="R497" s="1" t="s">
        <v>2558</v>
      </c>
    </row>
    <row r="498" spans="1:18">
      <c r="A498" s="23">
        <v>497</v>
      </c>
      <c r="B498" s="27">
        <f t="shared" si="8"/>
        <v>98648425101</v>
      </c>
      <c r="C498" s="23" t="s">
        <v>735</v>
      </c>
      <c r="D498" s="28">
        <v>98600000</v>
      </c>
      <c r="E498" s="23" t="s">
        <v>735</v>
      </c>
      <c r="F498" s="28">
        <v>98000000</v>
      </c>
      <c r="G498" s="23" t="s">
        <v>969</v>
      </c>
      <c r="H498" s="28">
        <v>98648000</v>
      </c>
      <c r="I498" s="30" t="s">
        <v>2535</v>
      </c>
      <c r="J498" s="23" t="s">
        <v>2559</v>
      </c>
      <c r="K498" s="23" t="s">
        <v>754</v>
      </c>
      <c r="L498" s="23" t="str">
        <f>VLOOKUP(K498,Матрицы!B:C,2,0)</f>
        <v>село</v>
      </c>
      <c r="M498" s="31" t="s">
        <v>2560</v>
      </c>
      <c r="N498" s="28">
        <v>98648425101</v>
      </c>
      <c r="O498" s="36">
        <v>357</v>
      </c>
      <c r="P498" s="1">
        <v>2</v>
      </c>
      <c r="Q498" s="1" t="s">
        <v>2561</v>
      </c>
      <c r="R498" s="1" t="s">
        <v>2562</v>
      </c>
    </row>
    <row r="499" spans="1:18">
      <c r="A499" s="23">
        <v>498</v>
      </c>
      <c r="B499" s="27">
        <f t="shared" si="8"/>
        <v>98648425106</v>
      </c>
      <c r="C499" s="23" t="s">
        <v>735</v>
      </c>
      <c r="D499" s="28">
        <v>98600000</v>
      </c>
      <c r="E499" s="23" t="s">
        <v>735</v>
      </c>
      <c r="F499" s="28">
        <v>98000000</v>
      </c>
      <c r="G499" s="23" t="s">
        <v>969</v>
      </c>
      <c r="H499" s="28">
        <v>98648000</v>
      </c>
      <c r="I499" s="30" t="s">
        <v>2535</v>
      </c>
      <c r="J499" s="23" t="s">
        <v>2559</v>
      </c>
      <c r="K499" s="23" t="s">
        <v>754</v>
      </c>
      <c r="L499" s="23" t="str">
        <f>VLOOKUP(K499,Матрицы!B:C,2,0)</f>
        <v>село</v>
      </c>
      <c r="M499" s="31" t="s">
        <v>2563</v>
      </c>
      <c r="N499" s="28">
        <v>98648425106</v>
      </c>
      <c r="O499" s="32">
        <v>0</v>
      </c>
      <c r="P499" s="1">
        <v>2</v>
      </c>
      <c r="Q499" s="1" t="s">
        <v>2564</v>
      </c>
      <c r="R499" s="1" t="s">
        <v>2565</v>
      </c>
    </row>
    <row r="500" spans="1:18">
      <c r="A500" s="23">
        <v>499</v>
      </c>
      <c r="B500" s="27">
        <f t="shared" si="8"/>
        <v>98648430101</v>
      </c>
      <c r="C500" s="23" t="s">
        <v>735</v>
      </c>
      <c r="D500" s="28">
        <v>98600000</v>
      </c>
      <c r="E500" s="23" t="s">
        <v>735</v>
      </c>
      <c r="F500" s="28">
        <v>98000000</v>
      </c>
      <c r="G500" s="23" t="s">
        <v>969</v>
      </c>
      <c r="H500" s="28">
        <v>98648000</v>
      </c>
      <c r="I500" s="30" t="s">
        <v>2535</v>
      </c>
      <c r="J500" s="23" t="s">
        <v>2566</v>
      </c>
      <c r="K500" s="23" t="s">
        <v>754</v>
      </c>
      <c r="L500" s="23" t="str">
        <f>VLOOKUP(K500,Матрицы!B:C,2,0)</f>
        <v>село</v>
      </c>
      <c r="M500" s="31" t="s">
        <v>498</v>
      </c>
      <c r="N500" s="28">
        <v>98648430101</v>
      </c>
      <c r="O500" s="36">
        <v>794</v>
      </c>
      <c r="P500" s="1">
        <v>2</v>
      </c>
      <c r="Q500" s="1" t="s">
        <v>2567</v>
      </c>
      <c r="R500" s="1" t="s">
        <v>2568</v>
      </c>
    </row>
    <row r="501" spans="1:18">
      <c r="A501" s="23">
        <v>500</v>
      </c>
      <c r="B501" s="27">
        <f t="shared" si="8"/>
        <v>98648435101</v>
      </c>
      <c r="C501" s="23" t="s">
        <v>735</v>
      </c>
      <c r="D501" s="28">
        <v>98600000</v>
      </c>
      <c r="E501" s="23" t="s">
        <v>735</v>
      </c>
      <c r="F501" s="28">
        <v>98000000</v>
      </c>
      <c r="G501" s="23" t="s">
        <v>969</v>
      </c>
      <c r="H501" s="28">
        <v>98648000</v>
      </c>
      <c r="I501" s="30" t="s">
        <v>2535</v>
      </c>
      <c r="J501" s="23" t="s">
        <v>2569</v>
      </c>
      <c r="K501" s="23" t="s">
        <v>754</v>
      </c>
      <c r="L501" s="23" t="str">
        <f>VLOOKUP(K501,Матрицы!B:C,2,0)</f>
        <v>село</v>
      </c>
      <c r="M501" s="31" t="s">
        <v>2570</v>
      </c>
      <c r="N501" s="28">
        <v>98648435101</v>
      </c>
      <c r="O501" s="36">
        <v>518</v>
      </c>
      <c r="P501" s="1">
        <v>2</v>
      </c>
      <c r="Q501" s="1" t="s">
        <v>2571</v>
      </c>
      <c r="R501" s="1" t="s">
        <v>2572</v>
      </c>
    </row>
    <row r="502" spans="1:18">
      <c r="A502" s="23">
        <v>501</v>
      </c>
      <c r="B502" s="27">
        <f t="shared" si="8"/>
        <v>98648440101</v>
      </c>
      <c r="C502" s="23" t="s">
        <v>735</v>
      </c>
      <c r="D502" s="28">
        <v>98600000</v>
      </c>
      <c r="E502" s="23" t="s">
        <v>735</v>
      </c>
      <c r="F502" s="28">
        <v>98000000</v>
      </c>
      <c r="G502" s="23" t="s">
        <v>969</v>
      </c>
      <c r="H502" s="28">
        <v>98648000</v>
      </c>
      <c r="I502" s="30" t="s">
        <v>2535</v>
      </c>
      <c r="J502" s="23" t="s">
        <v>2573</v>
      </c>
      <c r="K502" s="23" t="s">
        <v>754</v>
      </c>
      <c r="L502" s="23" t="str">
        <f>VLOOKUP(K502,Матрицы!B:C,2,0)</f>
        <v>село</v>
      </c>
      <c r="M502" s="31" t="s">
        <v>957</v>
      </c>
      <c r="N502" s="28">
        <v>98648440101</v>
      </c>
      <c r="O502" s="36">
        <v>721</v>
      </c>
      <c r="P502" s="1">
        <v>2</v>
      </c>
      <c r="Q502" s="1" t="s">
        <v>2574</v>
      </c>
      <c r="R502" s="1" t="s">
        <v>2575</v>
      </c>
    </row>
    <row r="503" spans="1:18">
      <c r="A503" s="23">
        <v>502</v>
      </c>
      <c r="B503" s="27">
        <f t="shared" si="8"/>
        <v>98648440106</v>
      </c>
      <c r="C503" s="23" t="s">
        <v>735</v>
      </c>
      <c r="D503" s="28">
        <v>98600000</v>
      </c>
      <c r="E503" s="23" t="s">
        <v>735</v>
      </c>
      <c r="F503" s="28">
        <v>98000000</v>
      </c>
      <c r="G503" s="23" t="s">
        <v>969</v>
      </c>
      <c r="H503" s="28">
        <v>98648000</v>
      </c>
      <c r="I503" s="30" t="s">
        <v>2535</v>
      </c>
      <c r="J503" s="23" t="s">
        <v>2573</v>
      </c>
      <c r="K503" s="23" t="s">
        <v>754</v>
      </c>
      <c r="L503" s="23" t="str">
        <f>VLOOKUP(K503,Матрицы!B:C,2,0)</f>
        <v>село</v>
      </c>
      <c r="M503" s="31" t="s">
        <v>873</v>
      </c>
      <c r="N503" s="28">
        <v>98648440106</v>
      </c>
      <c r="O503" s="36">
        <v>2</v>
      </c>
      <c r="P503" s="1">
        <v>2</v>
      </c>
      <c r="Q503" s="1" t="s">
        <v>2576</v>
      </c>
      <c r="R503" s="1" t="s">
        <v>2577</v>
      </c>
    </row>
    <row r="504" spans="1:18">
      <c r="A504" s="23">
        <v>503</v>
      </c>
      <c r="B504" s="27">
        <f t="shared" si="8"/>
        <v>98648443101</v>
      </c>
      <c r="C504" s="23" t="s">
        <v>735</v>
      </c>
      <c r="D504" s="28">
        <v>98600000</v>
      </c>
      <c r="E504" s="23" t="s">
        <v>735</v>
      </c>
      <c r="F504" s="28">
        <v>98000000</v>
      </c>
      <c r="G504" s="23" t="s">
        <v>969</v>
      </c>
      <c r="H504" s="28">
        <v>98648000</v>
      </c>
      <c r="I504" s="30" t="s">
        <v>2535</v>
      </c>
      <c r="J504" s="23" t="s">
        <v>2578</v>
      </c>
      <c r="K504" s="23" t="s">
        <v>754</v>
      </c>
      <c r="L504" s="23" t="str">
        <f>VLOOKUP(K504,Матрицы!B:C,2,0)</f>
        <v>село</v>
      </c>
      <c r="M504" s="31" t="s">
        <v>2579</v>
      </c>
      <c r="N504" s="28">
        <v>98648443101</v>
      </c>
      <c r="O504" s="36">
        <v>390</v>
      </c>
      <c r="P504" s="1">
        <v>2</v>
      </c>
      <c r="Q504" s="1" t="s">
        <v>2580</v>
      </c>
      <c r="R504" s="1" t="s">
        <v>2581</v>
      </c>
    </row>
    <row r="505" spans="1:18">
      <c r="A505" s="23">
        <v>504</v>
      </c>
      <c r="B505" s="27">
        <f t="shared" si="8"/>
        <v>98648445101</v>
      </c>
      <c r="C505" s="23" t="s">
        <v>735</v>
      </c>
      <c r="D505" s="28">
        <v>98600000</v>
      </c>
      <c r="E505" s="23" t="s">
        <v>735</v>
      </c>
      <c r="F505" s="28">
        <v>98000000</v>
      </c>
      <c r="G505" s="23" t="s">
        <v>969</v>
      </c>
      <c r="H505" s="28">
        <v>98648000</v>
      </c>
      <c r="I505" s="30" t="s">
        <v>2535</v>
      </c>
      <c r="J505" s="23" t="s">
        <v>2582</v>
      </c>
      <c r="K505" s="23" t="s">
        <v>754</v>
      </c>
      <c r="L505" s="23" t="str">
        <f>VLOOKUP(K505,Матрицы!B:C,2,0)</f>
        <v>село</v>
      </c>
      <c r="M505" s="31" t="s">
        <v>2583</v>
      </c>
      <c r="N505" s="28">
        <v>98648445101</v>
      </c>
      <c r="O505" s="36">
        <v>723</v>
      </c>
      <c r="P505" s="1">
        <v>2</v>
      </c>
      <c r="Q505" s="1" t="s">
        <v>2584</v>
      </c>
      <c r="R505" s="1" t="s">
        <v>2585</v>
      </c>
    </row>
    <row r="506" spans="1:18">
      <c r="A506" s="23">
        <v>505</v>
      </c>
      <c r="B506" s="27">
        <f t="shared" si="8"/>
        <v>98648445106</v>
      </c>
      <c r="C506" s="23" t="s">
        <v>735</v>
      </c>
      <c r="D506" s="28">
        <v>98600000</v>
      </c>
      <c r="E506" s="23" t="s">
        <v>735</v>
      </c>
      <c r="F506" s="28">
        <v>98000000</v>
      </c>
      <c r="G506" s="23" t="s">
        <v>969</v>
      </c>
      <c r="H506" s="28">
        <v>98648000</v>
      </c>
      <c r="I506" s="30" t="s">
        <v>2535</v>
      </c>
      <c r="J506" s="23" t="s">
        <v>2582</v>
      </c>
      <c r="K506" s="23" t="s">
        <v>754</v>
      </c>
      <c r="L506" s="23" t="str">
        <f>VLOOKUP(K506,Матрицы!B:C,2,0)</f>
        <v>село</v>
      </c>
      <c r="M506" s="31" t="s">
        <v>2586</v>
      </c>
      <c r="N506" s="28">
        <v>98648445106</v>
      </c>
      <c r="O506" s="36">
        <v>9</v>
      </c>
      <c r="P506" s="1">
        <v>2</v>
      </c>
      <c r="Q506" s="1" t="s">
        <v>2587</v>
      </c>
      <c r="R506" s="1" t="s">
        <v>2588</v>
      </c>
    </row>
    <row r="507" spans="1:18">
      <c r="A507" s="23">
        <v>506</v>
      </c>
      <c r="B507" s="27">
        <f t="shared" si="8"/>
        <v>98648445111</v>
      </c>
      <c r="C507" s="23" t="s">
        <v>735</v>
      </c>
      <c r="D507" s="28">
        <v>98600000</v>
      </c>
      <c r="E507" s="23" t="s">
        <v>735</v>
      </c>
      <c r="F507" s="28">
        <v>98000000</v>
      </c>
      <c r="G507" s="23" t="s">
        <v>969</v>
      </c>
      <c r="H507" s="28">
        <v>98648000</v>
      </c>
      <c r="I507" s="30" t="s">
        <v>2535</v>
      </c>
      <c r="J507" s="23" t="s">
        <v>2582</v>
      </c>
      <c r="K507" s="23" t="s">
        <v>754</v>
      </c>
      <c r="L507" s="23" t="str">
        <f>VLOOKUP(K507,Матрицы!B:C,2,0)</f>
        <v>село</v>
      </c>
      <c r="M507" s="31" t="s">
        <v>1240</v>
      </c>
      <c r="N507" s="28">
        <v>98648445111</v>
      </c>
      <c r="O507" s="32">
        <v>0</v>
      </c>
      <c r="P507" s="1">
        <v>2</v>
      </c>
      <c r="Q507" s="1" t="s">
        <v>2589</v>
      </c>
      <c r="R507" s="1" t="s">
        <v>2590</v>
      </c>
    </row>
    <row r="508" spans="1:18">
      <c r="A508" s="23">
        <v>507</v>
      </c>
      <c r="B508" s="27">
        <f t="shared" si="8"/>
        <v>98648450101</v>
      </c>
      <c r="C508" s="23" t="s">
        <v>735</v>
      </c>
      <c r="D508" s="28">
        <v>98600000</v>
      </c>
      <c r="E508" s="23" t="s">
        <v>735</v>
      </c>
      <c r="F508" s="28">
        <v>98000000</v>
      </c>
      <c r="G508" s="23" t="s">
        <v>969</v>
      </c>
      <c r="H508" s="28">
        <v>98648000</v>
      </c>
      <c r="I508" s="30" t="s">
        <v>2535</v>
      </c>
      <c r="J508" s="23" t="s">
        <v>2591</v>
      </c>
      <c r="K508" s="23" t="s">
        <v>754</v>
      </c>
      <c r="L508" s="23" t="str">
        <f>VLOOKUP(K508,Матрицы!B:C,2,0)</f>
        <v>село</v>
      </c>
      <c r="M508" s="31" t="s">
        <v>2592</v>
      </c>
      <c r="N508" s="28">
        <v>98648450101</v>
      </c>
      <c r="O508" s="36">
        <v>431</v>
      </c>
      <c r="P508" s="1">
        <v>2</v>
      </c>
      <c r="Q508" s="1" t="s">
        <v>2593</v>
      </c>
      <c r="R508" s="1" t="s">
        <v>2594</v>
      </c>
    </row>
    <row r="509" spans="1:18">
      <c r="A509" s="23">
        <v>508</v>
      </c>
      <c r="B509" s="27">
        <f t="shared" si="8"/>
        <v>98648452101</v>
      </c>
      <c r="C509" s="23" t="s">
        <v>735</v>
      </c>
      <c r="D509" s="28">
        <v>98600000</v>
      </c>
      <c r="E509" s="23" t="s">
        <v>735</v>
      </c>
      <c r="F509" s="28">
        <v>98000000</v>
      </c>
      <c r="G509" s="23" t="s">
        <v>969</v>
      </c>
      <c r="H509" s="28">
        <v>98648000</v>
      </c>
      <c r="I509" s="30" t="s">
        <v>2535</v>
      </c>
      <c r="J509" s="23" t="s">
        <v>2595</v>
      </c>
      <c r="K509" s="23" t="s">
        <v>754</v>
      </c>
      <c r="L509" s="23" t="str">
        <f>VLOOKUP(K509,Матрицы!B:C,2,0)</f>
        <v>село</v>
      </c>
      <c r="M509" s="31" t="s">
        <v>2596</v>
      </c>
      <c r="N509" s="28">
        <v>98648452101</v>
      </c>
      <c r="O509" s="36">
        <v>110</v>
      </c>
      <c r="P509" s="1">
        <v>2</v>
      </c>
      <c r="Q509" s="1" t="s">
        <v>2597</v>
      </c>
      <c r="R509" s="1" t="s">
        <v>2598</v>
      </c>
    </row>
    <row r="510" spans="1:18">
      <c r="A510" s="23">
        <v>509</v>
      </c>
      <c r="B510" s="27">
        <f t="shared" si="8"/>
        <v>98648455101</v>
      </c>
      <c r="C510" s="23" t="s">
        <v>735</v>
      </c>
      <c r="D510" s="28">
        <v>98600000</v>
      </c>
      <c r="E510" s="23" t="s">
        <v>735</v>
      </c>
      <c r="F510" s="28">
        <v>98000000</v>
      </c>
      <c r="G510" s="23" t="s">
        <v>969</v>
      </c>
      <c r="H510" s="28">
        <v>98648000</v>
      </c>
      <c r="I510" s="30" t="s">
        <v>2535</v>
      </c>
      <c r="J510" s="23" t="s">
        <v>2599</v>
      </c>
      <c r="K510" s="23" t="s">
        <v>754</v>
      </c>
      <c r="L510" s="23" t="str">
        <f>VLOOKUP(K510,Матрицы!B:C,2,0)</f>
        <v>село</v>
      </c>
      <c r="M510" s="31" t="s">
        <v>501</v>
      </c>
      <c r="N510" s="28">
        <v>98648455101</v>
      </c>
      <c r="O510" s="36">
        <v>10035</v>
      </c>
      <c r="P510" s="1">
        <v>2</v>
      </c>
      <c r="Q510" s="1" t="s">
        <v>2600</v>
      </c>
      <c r="R510" s="1" t="s">
        <v>2601</v>
      </c>
    </row>
    <row r="511" spans="1:18">
      <c r="A511" s="23">
        <v>510</v>
      </c>
      <c r="B511" s="27">
        <f t="shared" si="8"/>
        <v>98648457101</v>
      </c>
      <c r="C511" s="23" t="s">
        <v>735</v>
      </c>
      <c r="D511" s="28">
        <v>98600000</v>
      </c>
      <c r="E511" s="23" t="s">
        <v>735</v>
      </c>
      <c r="F511" s="28">
        <v>98000000</v>
      </c>
      <c r="G511" s="23" t="s">
        <v>969</v>
      </c>
      <c r="H511" s="28">
        <v>98648000</v>
      </c>
      <c r="I511" s="30" t="s">
        <v>2535</v>
      </c>
      <c r="J511" s="23" t="s">
        <v>2602</v>
      </c>
      <c r="K511" s="23" t="s">
        <v>754</v>
      </c>
      <c r="L511" s="23" t="str">
        <f>VLOOKUP(K511,Матрицы!B:C,2,0)</f>
        <v>село</v>
      </c>
      <c r="M511" s="31" t="s">
        <v>2603</v>
      </c>
      <c r="N511" s="28">
        <v>98648457101</v>
      </c>
      <c r="O511" s="36">
        <v>100</v>
      </c>
      <c r="P511" s="1">
        <v>2</v>
      </c>
      <c r="Q511" s="1" t="s">
        <v>2604</v>
      </c>
      <c r="R511" s="1" t="s">
        <v>2605</v>
      </c>
    </row>
    <row r="512" spans="1:18">
      <c r="A512" s="23">
        <v>511</v>
      </c>
      <c r="B512" s="27">
        <f t="shared" si="8"/>
        <v>98648459101</v>
      </c>
      <c r="C512" s="23" t="s">
        <v>735</v>
      </c>
      <c r="D512" s="28">
        <v>98600000</v>
      </c>
      <c r="E512" s="23" t="s">
        <v>735</v>
      </c>
      <c r="F512" s="28">
        <v>98000000</v>
      </c>
      <c r="G512" s="23" t="s">
        <v>969</v>
      </c>
      <c r="H512" s="28">
        <v>98648000</v>
      </c>
      <c r="I512" s="30" t="s">
        <v>2535</v>
      </c>
      <c r="J512" s="23" t="s">
        <v>1802</v>
      </c>
      <c r="K512" s="23" t="s">
        <v>754</v>
      </c>
      <c r="L512" s="23" t="str">
        <f>VLOOKUP(K512,Матрицы!B:C,2,0)</f>
        <v>село</v>
      </c>
      <c r="M512" s="31" t="s">
        <v>864</v>
      </c>
      <c r="N512" s="28">
        <v>98648459101</v>
      </c>
      <c r="O512" s="36">
        <v>125</v>
      </c>
      <c r="P512" s="1">
        <v>2</v>
      </c>
      <c r="Q512" s="11" t="s">
        <v>2606</v>
      </c>
      <c r="R512" s="11" t="s">
        <v>2607</v>
      </c>
    </row>
    <row r="513" spans="1:18">
      <c r="A513" s="23">
        <v>512</v>
      </c>
      <c r="B513" s="27">
        <f t="shared" si="8"/>
        <v>98648460101</v>
      </c>
      <c r="C513" s="23" t="s">
        <v>735</v>
      </c>
      <c r="D513" s="28">
        <v>98600000</v>
      </c>
      <c r="E513" s="23" t="s">
        <v>735</v>
      </c>
      <c r="F513" s="28">
        <v>98000000</v>
      </c>
      <c r="G513" s="23" t="s">
        <v>969</v>
      </c>
      <c r="H513" s="28">
        <v>98648000</v>
      </c>
      <c r="I513" s="30" t="s">
        <v>2535</v>
      </c>
      <c r="J513" s="23" t="s">
        <v>2608</v>
      </c>
      <c r="K513" s="23" t="s">
        <v>754</v>
      </c>
      <c r="L513" s="23" t="str">
        <f>VLOOKUP(K513,Матрицы!B:C,2,0)</f>
        <v>село</v>
      </c>
      <c r="M513" s="31" t="s">
        <v>2609</v>
      </c>
      <c r="N513" s="28">
        <v>98648460101</v>
      </c>
      <c r="O513" s="36">
        <v>1426</v>
      </c>
      <c r="P513" s="1">
        <v>2</v>
      </c>
      <c r="Q513" s="1" t="s">
        <v>2610</v>
      </c>
      <c r="R513" s="1" t="s">
        <v>2611</v>
      </c>
    </row>
    <row r="514" spans="1:18">
      <c r="A514" s="23">
        <v>513</v>
      </c>
      <c r="B514" s="27">
        <f t="shared" si="8"/>
        <v>98648461101</v>
      </c>
      <c r="C514" s="23" t="s">
        <v>735</v>
      </c>
      <c r="D514" s="28">
        <v>98600000</v>
      </c>
      <c r="E514" s="23" t="s">
        <v>735</v>
      </c>
      <c r="F514" s="28">
        <v>98000000</v>
      </c>
      <c r="G514" s="23" t="s">
        <v>969</v>
      </c>
      <c r="H514" s="28">
        <v>98648000</v>
      </c>
      <c r="I514" s="30" t="s">
        <v>2535</v>
      </c>
      <c r="J514" s="23" t="s">
        <v>2612</v>
      </c>
      <c r="K514" s="23" t="s">
        <v>754</v>
      </c>
      <c r="L514" s="23" t="str">
        <f>VLOOKUP(K514,Матрицы!B:C,2,0)</f>
        <v>село</v>
      </c>
      <c r="M514" s="31" t="s">
        <v>2613</v>
      </c>
      <c r="N514" s="28">
        <v>98648461101</v>
      </c>
      <c r="O514" s="36">
        <v>168</v>
      </c>
      <c r="P514" s="1">
        <v>2</v>
      </c>
      <c r="Q514" s="1" t="s">
        <v>2614</v>
      </c>
      <c r="R514" s="1" t="s">
        <v>2615</v>
      </c>
    </row>
    <row r="515" spans="1:18">
      <c r="A515" s="23">
        <v>514</v>
      </c>
      <c r="B515" s="27">
        <f t="shared" si="8"/>
        <v>98648462101</v>
      </c>
      <c r="C515" s="23" t="s">
        <v>735</v>
      </c>
      <c r="D515" s="28">
        <v>98600000</v>
      </c>
      <c r="E515" s="23" t="s">
        <v>735</v>
      </c>
      <c r="F515" s="28">
        <v>98000000</v>
      </c>
      <c r="G515" s="23" t="s">
        <v>969</v>
      </c>
      <c r="H515" s="28">
        <v>98648000</v>
      </c>
      <c r="I515" s="30" t="s">
        <v>2535</v>
      </c>
      <c r="J515" s="23" t="s">
        <v>2616</v>
      </c>
      <c r="K515" s="23" t="s">
        <v>754</v>
      </c>
      <c r="L515" s="23" t="str">
        <f>VLOOKUP(K515,Матрицы!B:C,2,0)</f>
        <v>село</v>
      </c>
      <c r="M515" s="31" t="s">
        <v>856</v>
      </c>
      <c r="N515" s="28">
        <v>98648462101</v>
      </c>
      <c r="O515" s="36">
        <v>478</v>
      </c>
      <c r="P515" s="1">
        <v>2</v>
      </c>
      <c r="Q515" s="11" t="s">
        <v>2617</v>
      </c>
      <c r="R515" s="11" t="s">
        <v>2618</v>
      </c>
    </row>
    <row r="516" spans="1:18">
      <c r="A516" s="23">
        <v>515</v>
      </c>
      <c r="B516" s="27">
        <f t="shared" ref="B516:B579" si="9">N516</f>
        <v>98648462106</v>
      </c>
      <c r="C516" s="23" t="s">
        <v>735</v>
      </c>
      <c r="D516" s="28">
        <v>98600000</v>
      </c>
      <c r="E516" s="23" t="s">
        <v>735</v>
      </c>
      <c r="F516" s="28">
        <v>98000000</v>
      </c>
      <c r="G516" s="23" t="s">
        <v>969</v>
      </c>
      <c r="H516" s="28">
        <v>98648000</v>
      </c>
      <c r="I516" s="30" t="s">
        <v>2535</v>
      </c>
      <c r="J516" s="23" t="s">
        <v>2616</v>
      </c>
      <c r="K516" s="23" t="s">
        <v>754</v>
      </c>
      <c r="L516" s="23" t="str">
        <f>VLOOKUP(K516,Матрицы!B:C,2,0)</f>
        <v>село</v>
      </c>
      <c r="M516" s="31" t="s">
        <v>2619</v>
      </c>
      <c r="N516" s="28">
        <v>98648462106</v>
      </c>
      <c r="O516" s="32">
        <v>0</v>
      </c>
      <c r="P516" s="1">
        <v>2</v>
      </c>
      <c r="Q516" s="1" t="s">
        <v>2620</v>
      </c>
      <c r="R516" s="1" t="s">
        <v>2621</v>
      </c>
    </row>
    <row r="517" spans="1:18">
      <c r="A517" s="23">
        <v>516</v>
      </c>
      <c r="B517" s="27">
        <f t="shared" si="9"/>
        <v>98648462111</v>
      </c>
      <c r="C517" s="23" t="s">
        <v>735</v>
      </c>
      <c r="D517" s="28">
        <v>98600000</v>
      </c>
      <c r="E517" s="23" t="s">
        <v>735</v>
      </c>
      <c r="F517" s="28">
        <v>98000000</v>
      </c>
      <c r="G517" s="23" t="s">
        <v>969</v>
      </c>
      <c r="H517" s="28">
        <v>98648000</v>
      </c>
      <c r="I517" s="30" t="s">
        <v>2535</v>
      </c>
      <c r="J517" s="23" t="s">
        <v>2616</v>
      </c>
      <c r="K517" s="23" t="s">
        <v>754</v>
      </c>
      <c r="L517" s="23" t="str">
        <f>VLOOKUP(K517,Матрицы!B:C,2,0)</f>
        <v>село</v>
      </c>
      <c r="M517" s="31" t="s">
        <v>2622</v>
      </c>
      <c r="N517" s="28">
        <v>98648462111</v>
      </c>
      <c r="O517" s="36">
        <v>25</v>
      </c>
      <c r="P517" s="1">
        <v>2</v>
      </c>
      <c r="Q517" s="1" t="s">
        <v>2623</v>
      </c>
      <c r="R517" s="1" t="s">
        <v>2624</v>
      </c>
    </row>
    <row r="518" spans="1:18">
      <c r="A518" s="23">
        <v>517</v>
      </c>
      <c r="B518" s="27">
        <f t="shared" si="9"/>
        <v>98648463101</v>
      </c>
      <c r="C518" s="23" t="s">
        <v>735</v>
      </c>
      <c r="D518" s="28">
        <v>98600000</v>
      </c>
      <c r="E518" s="23" t="s">
        <v>735</v>
      </c>
      <c r="F518" s="28">
        <v>98000000</v>
      </c>
      <c r="G518" s="23" t="s">
        <v>969</v>
      </c>
      <c r="H518" s="28">
        <v>98648000</v>
      </c>
      <c r="I518" s="30" t="s">
        <v>2535</v>
      </c>
      <c r="J518" s="23" t="s">
        <v>2625</v>
      </c>
      <c r="K518" s="23" t="s">
        <v>754</v>
      </c>
      <c r="L518" s="23" t="str">
        <f>VLOOKUP(K518,Матрицы!B:C,2,0)</f>
        <v>село</v>
      </c>
      <c r="M518" s="31" t="s">
        <v>2626</v>
      </c>
      <c r="N518" s="28">
        <v>98648463101</v>
      </c>
      <c r="O518" s="36">
        <v>220</v>
      </c>
      <c r="P518" s="1">
        <v>2</v>
      </c>
      <c r="Q518" s="1" t="s">
        <v>2627</v>
      </c>
      <c r="R518" s="1" t="s">
        <v>2628</v>
      </c>
    </row>
    <row r="519" spans="1:18">
      <c r="A519" s="23">
        <v>518</v>
      </c>
      <c r="B519" s="27">
        <f t="shared" si="9"/>
        <v>98648463106</v>
      </c>
      <c r="C519" s="23" t="s">
        <v>735</v>
      </c>
      <c r="D519" s="28">
        <v>98600000</v>
      </c>
      <c r="E519" s="23" t="s">
        <v>735</v>
      </c>
      <c r="F519" s="28">
        <v>98000000</v>
      </c>
      <c r="G519" s="23" t="s">
        <v>969</v>
      </c>
      <c r="H519" s="28">
        <v>98648000</v>
      </c>
      <c r="I519" s="30" t="s">
        <v>2535</v>
      </c>
      <c r="J519" s="23" t="s">
        <v>2625</v>
      </c>
      <c r="K519" s="23" t="s">
        <v>754</v>
      </c>
      <c r="L519" s="23" t="str">
        <f>VLOOKUP(K519,Матрицы!B:C,2,0)</f>
        <v>село</v>
      </c>
      <c r="M519" s="31" t="s">
        <v>2629</v>
      </c>
      <c r="N519" s="28">
        <v>98648463106</v>
      </c>
      <c r="O519" s="32">
        <v>0</v>
      </c>
      <c r="P519" s="1">
        <v>2</v>
      </c>
      <c r="Q519" s="1" t="s">
        <v>2630</v>
      </c>
      <c r="R519" s="1" t="s">
        <v>2631</v>
      </c>
    </row>
    <row r="520" spans="1:18">
      <c r="A520" s="23">
        <v>519</v>
      </c>
      <c r="B520" s="27">
        <f t="shared" si="9"/>
        <v>98648465101</v>
      </c>
      <c r="C520" s="23" t="s">
        <v>735</v>
      </c>
      <c r="D520" s="28">
        <v>98600000</v>
      </c>
      <c r="E520" s="23" t="s">
        <v>735</v>
      </c>
      <c r="F520" s="28">
        <v>98000000</v>
      </c>
      <c r="G520" s="23" t="s">
        <v>969</v>
      </c>
      <c r="H520" s="28">
        <v>98648000</v>
      </c>
      <c r="I520" s="30" t="s">
        <v>2535</v>
      </c>
      <c r="J520" s="23" t="s">
        <v>2632</v>
      </c>
      <c r="K520" s="23" t="s">
        <v>754</v>
      </c>
      <c r="L520" s="23" t="str">
        <f>VLOOKUP(K520,Матрицы!B:C,2,0)</f>
        <v>село</v>
      </c>
      <c r="M520" s="31" t="s">
        <v>2633</v>
      </c>
      <c r="N520" s="28">
        <v>98648465101</v>
      </c>
      <c r="O520" s="36">
        <v>312</v>
      </c>
      <c r="P520" s="1">
        <v>2</v>
      </c>
      <c r="Q520" s="1" t="s">
        <v>2604</v>
      </c>
      <c r="R520" s="1" t="s">
        <v>2634</v>
      </c>
    </row>
    <row r="521" spans="1:18">
      <c r="A521" s="23">
        <v>520</v>
      </c>
      <c r="B521" s="27">
        <f t="shared" si="9"/>
        <v>98648465106</v>
      </c>
      <c r="C521" s="23" t="s">
        <v>735</v>
      </c>
      <c r="D521" s="28">
        <v>98600000</v>
      </c>
      <c r="E521" s="23" t="s">
        <v>735</v>
      </c>
      <c r="F521" s="28">
        <v>98000000</v>
      </c>
      <c r="G521" s="23" t="s">
        <v>969</v>
      </c>
      <c r="H521" s="28">
        <v>98648000</v>
      </c>
      <c r="I521" s="30" t="s">
        <v>2535</v>
      </c>
      <c r="J521" s="23" t="s">
        <v>2632</v>
      </c>
      <c r="K521" s="23" t="s">
        <v>754</v>
      </c>
      <c r="L521" s="23" t="str">
        <f>VLOOKUP(K521,Матрицы!B:C,2,0)</f>
        <v>село</v>
      </c>
      <c r="M521" s="31" t="s">
        <v>864</v>
      </c>
      <c r="N521" s="28">
        <v>98648465106</v>
      </c>
      <c r="O521" s="32">
        <v>0</v>
      </c>
      <c r="P521" s="1">
        <v>2</v>
      </c>
      <c r="Q521" s="11" t="s">
        <v>2635</v>
      </c>
      <c r="R521" s="11" t="s">
        <v>2636</v>
      </c>
    </row>
    <row r="522" spans="1:18">
      <c r="A522" s="23">
        <v>521</v>
      </c>
      <c r="B522" s="27">
        <f t="shared" si="9"/>
        <v>98648465111</v>
      </c>
      <c r="C522" s="23" t="s">
        <v>735</v>
      </c>
      <c r="D522" s="28">
        <v>98600000</v>
      </c>
      <c r="E522" s="23" t="s">
        <v>735</v>
      </c>
      <c r="F522" s="28">
        <v>98000000</v>
      </c>
      <c r="G522" s="23" t="s">
        <v>969</v>
      </c>
      <c r="H522" s="28">
        <v>98648000</v>
      </c>
      <c r="I522" s="30" t="s">
        <v>2535</v>
      </c>
      <c r="J522" s="23" t="s">
        <v>2632</v>
      </c>
      <c r="K522" s="23" t="s">
        <v>754</v>
      </c>
      <c r="L522" s="23" t="str">
        <f>VLOOKUP(K522,Матрицы!B:C,2,0)</f>
        <v>село</v>
      </c>
      <c r="M522" s="31" t="s">
        <v>2637</v>
      </c>
      <c r="N522" s="28">
        <v>98648465111</v>
      </c>
      <c r="O522" s="32">
        <v>0</v>
      </c>
      <c r="P522" s="1">
        <v>2</v>
      </c>
      <c r="Q522" s="1" t="s">
        <v>2638</v>
      </c>
      <c r="R522" s="1" t="s">
        <v>2639</v>
      </c>
    </row>
    <row r="523" spans="1:18">
      <c r="A523" s="23">
        <v>522</v>
      </c>
      <c r="B523" s="27">
        <f t="shared" si="9"/>
        <v>98648466101</v>
      </c>
      <c r="C523" s="23" t="s">
        <v>735</v>
      </c>
      <c r="D523" s="28">
        <v>98600000</v>
      </c>
      <c r="E523" s="23" t="s">
        <v>735</v>
      </c>
      <c r="F523" s="28">
        <v>98000000</v>
      </c>
      <c r="G523" s="23" t="s">
        <v>969</v>
      </c>
      <c r="H523" s="28">
        <v>98648000</v>
      </c>
      <c r="I523" s="30" t="s">
        <v>2535</v>
      </c>
      <c r="J523" s="23" t="s">
        <v>1293</v>
      </c>
      <c r="K523" s="23" t="s">
        <v>754</v>
      </c>
      <c r="L523" s="23" t="str">
        <f>VLOOKUP(K523,Матрицы!B:C,2,0)</f>
        <v>село</v>
      </c>
      <c r="M523" s="31" t="s">
        <v>1294</v>
      </c>
      <c r="N523" s="28">
        <v>98648466101</v>
      </c>
      <c r="O523" s="36">
        <v>241</v>
      </c>
      <c r="P523" s="1">
        <v>2</v>
      </c>
      <c r="Q523" s="1" t="s">
        <v>2640</v>
      </c>
      <c r="R523" s="1" t="s">
        <v>2641</v>
      </c>
    </row>
    <row r="524" spans="1:18">
      <c r="A524" s="23">
        <v>523</v>
      </c>
      <c r="B524" s="27">
        <f t="shared" si="9"/>
        <v>98648470101</v>
      </c>
      <c r="C524" s="23" t="s">
        <v>735</v>
      </c>
      <c r="D524" s="28">
        <v>98600000</v>
      </c>
      <c r="E524" s="23" t="s">
        <v>735</v>
      </c>
      <c r="F524" s="28">
        <v>98000000</v>
      </c>
      <c r="G524" s="23" t="s">
        <v>969</v>
      </c>
      <c r="H524" s="28">
        <v>98648000</v>
      </c>
      <c r="I524" s="30" t="s">
        <v>2535</v>
      </c>
      <c r="J524" s="23" t="s">
        <v>2642</v>
      </c>
      <c r="K524" s="23" t="s">
        <v>754</v>
      </c>
      <c r="L524" s="23" t="str">
        <f>VLOOKUP(K524,Матрицы!B:C,2,0)</f>
        <v>село</v>
      </c>
      <c r="M524" s="31" t="s">
        <v>2643</v>
      </c>
      <c r="N524" s="28">
        <v>98648470101</v>
      </c>
      <c r="O524" s="36">
        <v>567</v>
      </c>
      <c r="P524" s="1">
        <v>2</v>
      </c>
      <c r="Q524" s="1" t="s">
        <v>2644</v>
      </c>
      <c r="R524" s="1" t="s">
        <v>2645</v>
      </c>
    </row>
    <row r="525" spans="1:18">
      <c r="A525" s="23">
        <v>524</v>
      </c>
      <c r="B525" s="27">
        <f t="shared" si="9"/>
        <v>98648470106</v>
      </c>
      <c r="C525" s="23" t="s">
        <v>735</v>
      </c>
      <c r="D525" s="28">
        <v>98600000</v>
      </c>
      <c r="E525" s="23" t="s">
        <v>735</v>
      </c>
      <c r="F525" s="28">
        <v>98000000</v>
      </c>
      <c r="G525" s="23" t="s">
        <v>969</v>
      </c>
      <c r="H525" s="28">
        <v>98648000</v>
      </c>
      <c r="I525" s="30" t="s">
        <v>2535</v>
      </c>
      <c r="J525" s="23" t="s">
        <v>2642</v>
      </c>
      <c r="K525" s="23" t="s">
        <v>754</v>
      </c>
      <c r="L525" s="23" t="str">
        <f>VLOOKUP(K525,Матрицы!B:C,2,0)</f>
        <v>село</v>
      </c>
      <c r="M525" s="31" t="s">
        <v>2646</v>
      </c>
      <c r="N525" s="28">
        <v>98648470106</v>
      </c>
      <c r="O525" s="32">
        <v>0</v>
      </c>
      <c r="P525" s="1">
        <v>2</v>
      </c>
      <c r="Q525" s="1" t="s">
        <v>2647</v>
      </c>
      <c r="R525" s="1" t="s">
        <v>2648</v>
      </c>
    </row>
    <row r="526" spans="1:18">
      <c r="A526" s="23">
        <v>525</v>
      </c>
      <c r="B526" s="27">
        <f t="shared" si="9"/>
        <v>98648470111</v>
      </c>
      <c r="C526" s="23" t="s">
        <v>735</v>
      </c>
      <c r="D526" s="28">
        <v>98600000</v>
      </c>
      <c r="E526" s="23" t="s">
        <v>735</v>
      </c>
      <c r="F526" s="28">
        <v>98000000</v>
      </c>
      <c r="G526" s="23" t="s">
        <v>969</v>
      </c>
      <c r="H526" s="28">
        <v>98648000</v>
      </c>
      <c r="I526" s="30" t="s">
        <v>2535</v>
      </c>
      <c r="J526" s="23" t="s">
        <v>2642</v>
      </c>
      <c r="K526" s="23" t="s">
        <v>754</v>
      </c>
      <c r="L526" s="23" t="str">
        <f>VLOOKUP(K526,Матрицы!B:C,2,0)</f>
        <v>село</v>
      </c>
      <c r="M526" s="31" t="s">
        <v>2649</v>
      </c>
      <c r="N526" s="28">
        <v>98648470111</v>
      </c>
      <c r="O526" s="32">
        <v>0</v>
      </c>
      <c r="P526" s="1">
        <v>2</v>
      </c>
      <c r="Q526" s="1" t="s">
        <v>2650</v>
      </c>
      <c r="R526" s="1" t="s">
        <v>2651</v>
      </c>
    </row>
    <row r="527" spans="1:18">
      <c r="A527" s="23">
        <v>526</v>
      </c>
      <c r="B527" s="27">
        <f t="shared" si="9"/>
        <v>98648475101</v>
      </c>
      <c r="C527" s="23" t="s">
        <v>735</v>
      </c>
      <c r="D527" s="28">
        <v>98600000</v>
      </c>
      <c r="E527" s="23" t="s">
        <v>735</v>
      </c>
      <c r="F527" s="28">
        <v>98000000</v>
      </c>
      <c r="G527" s="23" t="s">
        <v>969</v>
      </c>
      <c r="H527" s="28">
        <v>98648000</v>
      </c>
      <c r="I527" s="30" t="s">
        <v>2535</v>
      </c>
      <c r="J527" s="23" t="s">
        <v>2652</v>
      </c>
      <c r="K527" s="23" t="s">
        <v>754</v>
      </c>
      <c r="L527" s="23" t="str">
        <f>VLOOKUP(K527,Матрицы!B:C,2,0)</f>
        <v>село</v>
      </c>
      <c r="M527" s="31" t="s">
        <v>2653</v>
      </c>
      <c r="N527" s="28">
        <v>98648475101</v>
      </c>
      <c r="O527" s="36">
        <v>1569</v>
      </c>
      <c r="P527" s="1">
        <v>2</v>
      </c>
      <c r="Q527" s="1" t="s">
        <v>2654</v>
      </c>
      <c r="R527" s="1" t="s">
        <v>2655</v>
      </c>
    </row>
    <row r="528" spans="1:18">
      <c r="A528" s="23">
        <v>527</v>
      </c>
      <c r="B528" s="27">
        <f t="shared" si="9"/>
        <v>98648475106</v>
      </c>
      <c r="C528" s="23" t="s">
        <v>735</v>
      </c>
      <c r="D528" s="28">
        <v>98600000</v>
      </c>
      <c r="E528" s="23" t="s">
        <v>735</v>
      </c>
      <c r="F528" s="28">
        <v>98000000</v>
      </c>
      <c r="G528" s="23" t="s">
        <v>969</v>
      </c>
      <c r="H528" s="28">
        <v>98648000</v>
      </c>
      <c r="I528" s="30" t="s">
        <v>2535</v>
      </c>
      <c r="J528" s="23" t="s">
        <v>2652</v>
      </c>
      <c r="K528" s="23" t="s">
        <v>754</v>
      </c>
      <c r="L528" s="23" t="str">
        <f>VLOOKUP(K528,Матрицы!B:C,2,0)</f>
        <v>село</v>
      </c>
      <c r="M528" s="31" t="s">
        <v>2656</v>
      </c>
      <c r="N528" s="28">
        <v>98648475106</v>
      </c>
      <c r="O528" s="36">
        <v>1</v>
      </c>
      <c r="P528" s="1">
        <v>2</v>
      </c>
      <c r="Q528" s="1" t="s">
        <v>2657</v>
      </c>
      <c r="R528" s="1" t="s">
        <v>2658</v>
      </c>
    </row>
    <row r="529" spans="1:18">
      <c r="A529" s="23">
        <v>528</v>
      </c>
      <c r="B529" s="27">
        <f t="shared" si="9"/>
        <v>98648480101</v>
      </c>
      <c r="C529" s="23" t="s">
        <v>735</v>
      </c>
      <c r="D529" s="28">
        <v>98600000</v>
      </c>
      <c r="E529" s="23" t="s">
        <v>735</v>
      </c>
      <c r="F529" s="28">
        <v>98000000</v>
      </c>
      <c r="G529" s="23" t="s">
        <v>969</v>
      </c>
      <c r="H529" s="28">
        <v>98648000</v>
      </c>
      <c r="I529" s="30" t="s">
        <v>2535</v>
      </c>
      <c r="J529" s="23" t="s">
        <v>2659</v>
      </c>
      <c r="K529" s="23" t="s">
        <v>754</v>
      </c>
      <c r="L529" s="23" t="str">
        <f>VLOOKUP(K529,Матрицы!B:C,2,0)</f>
        <v>село</v>
      </c>
      <c r="M529" s="31" t="s">
        <v>2660</v>
      </c>
      <c r="N529" s="28">
        <v>98648480101</v>
      </c>
      <c r="O529" s="36">
        <v>311</v>
      </c>
      <c r="P529" s="1">
        <v>2</v>
      </c>
      <c r="Q529" s="1" t="s">
        <v>2661</v>
      </c>
      <c r="R529" s="1" t="s">
        <v>2662</v>
      </c>
    </row>
    <row r="530" spans="1:18">
      <c r="A530" s="23">
        <v>529</v>
      </c>
      <c r="B530" s="27">
        <f t="shared" si="9"/>
        <v>98650151051</v>
      </c>
      <c r="C530" s="23" t="s">
        <v>735</v>
      </c>
      <c r="D530" s="28">
        <v>98600000</v>
      </c>
      <c r="E530" s="23" t="s">
        <v>735</v>
      </c>
      <c r="F530" s="28">
        <v>98000000</v>
      </c>
      <c r="G530" s="23" t="s">
        <v>980</v>
      </c>
      <c r="H530" s="28">
        <v>98650000</v>
      </c>
      <c r="I530" s="30" t="s">
        <v>2663</v>
      </c>
      <c r="J530" s="23" t="s">
        <v>2664</v>
      </c>
      <c r="K530" s="23" t="s">
        <v>819</v>
      </c>
      <c r="L530" s="23" t="str">
        <f>VLOOKUP(K530,Матрицы!B:C,2,0)</f>
        <v>поселок</v>
      </c>
      <c r="M530" s="31" t="s">
        <v>360</v>
      </c>
      <c r="N530" s="28">
        <v>98650151051</v>
      </c>
      <c r="O530" s="36">
        <v>5179</v>
      </c>
      <c r="P530" s="1">
        <v>1</v>
      </c>
      <c r="Q530" s="1" t="s">
        <v>2665</v>
      </c>
      <c r="R530" s="1" t="s">
        <v>2666</v>
      </c>
    </row>
    <row r="531" spans="1:18">
      <c r="A531" s="23">
        <v>530</v>
      </c>
      <c r="B531" s="27">
        <f t="shared" si="9"/>
        <v>98650152051</v>
      </c>
      <c r="C531" s="23" t="s">
        <v>735</v>
      </c>
      <c r="D531" s="28">
        <v>98600000</v>
      </c>
      <c r="E531" s="23" t="s">
        <v>735</v>
      </c>
      <c r="F531" s="28">
        <v>98000000</v>
      </c>
      <c r="G531" s="23" t="s">
        <v>980</v>
      </c>
      <c r="H531" s="28">
        <v>98650000</v>
      </c>
      <c r="I531" s="30" t="s">
        <v>2663</v>
      </c>
      <c r="J531" s="23" t="s">
        <v>2667</v>
      </c>
      <c r="K531" s="23" t="s">
        <v>819</v>
      </c>
      <c r="L531" s="23" t="str">
        <f>VLOOKUP(K531,Матрицы!B:C,2,0)</f>
        <v>поселок</v>
      </c>
      <c r="M531" s="31" t="s">
        <v>2668</v>
      </c>
      <c r="N531" s="28">
        <v>98650152051</v>
      </c>
      <c r="O531" s="36">
        <v>1008</v>
      </c>
      <c r="P531" s="1">
        <v>1</v>
      </c>
      <c r="Q531" s="1" t="s">
        <v>2669</v>
      </c>
      <c r="R531" s="1" t="s">
        <v>2670</v>
      </c>
    </row>
    <row r="532" spans="1:18">
      <c r="A532" s="23">
        <v>531</v>
      </c>
      <c r="B532" s="27">
        <f t="shared" si="9"/>
        <v>98650405101</v>
      </c>
      <c r="C532" s="23" t="s">
        <v>735</v>
      </c>
      <c r="D532" s="28">
        <v>98600000</v>
      </c>
      <c r="E532" s="23" t="s">
        <v>735</v>
      </c>
      <c r="F532" s="28">
        <v>98000000</v>
      </c>
      <c r="G532" s="23" t="s">
        <v>980</v>
      </c>
      <c r="H532" s="28">
        <v>98650000</v>
      </c>
      <c r="I532" s="30" t="s">
        <v>2671</v>
      </c>
      <c r="J532" s="23" t="s">
        <v>2672</v>
      </c>
      <c r="K532" s="23" t="s">
        <v>754</v>
      </c>
      <c r="L532" s="23" t="str">
        <f>VLOOKUP(K532,Матрицы!B:C,2,0)</f>
        <v>село</v>
      </c>
      <c r="M532" s="31" t="s">
        <v>369</v>
      </c>
      <c r="N532" s="28">
        <v>98650405101</v>
      </c>
      <c r="O532" s="36">
        <v>1332</v>
      </c>
      <c r="P532" s="1">
        <v>2</v>
      </c>
      <c r="Q532" s="1" t="s">
        <v>2673</v>
      </c>
      <c r="R532" s="1" t="s">
        <v>2674</v>
      </c>
    </row>
    <row r="533" spans="1:18">
      <c r="A533" s="23">
        <v>532</v>
      </c>
      <c r="B533" s="27">
        <f t="shared" si="9"/>
        <v>98650405106</v>
      </c>
      <c r="C533" s="23" t="s">
        <v>735</v>
      </c>
      <c r="D533" s="28">
        <v>98600000</v>
      </c>
      <c r="E533" s="23" t="s">
        <v>735</v>
      </c>
      <c r="F533" s="28">
        <v>98000000</v>
      </c>
      <c r="G533" s="23" t="s">
        <v>980</v>
      </c>
      <c r="H533" s="28">
        <v>98650000</v>
      </c>
      <c r="I533" s="30" t="s">
        <v>2671</v>
      </c>
      <c r="J533" s="23" t="s">
        <v>2672</v>
      </c>
      <c r="K533" s="23" t="s">
        <v>754</v>
      </c>
      <c r="L533" s="23" t="str">
        <f>VLOOKUP(K533,Матрицы!B:C,2,0)</f>
        <v>село</v>
      </c>
      <c r="M533" s="31" t="s">
        <v>2675</v>
      </c>
      <c r="N533" s="28">
        <v>98650405106</v>
      </c>
      <c r="O533" s="36">
        <v>167</v>
      </c>
      <c r="P533" s="1">
        <v>2</v>
      </c>
      <c r="Q533" s="1" t="s">
        <v>2676</v>
      </c>
      <c r="R533" s="1" t="s">
        <v>2677</v>
      </c>
    </row>
    <row r="534" spans="1:18">
      <c r="A534" s="23">
        <v>533</v>
      </c>
      <c r="B534" s="27">
        <f t="shared" si="9"/>
        <v>98650405111</v>
      </c>
      <c r="C534" s="23" t="s">
        <v>735</v>
      </c>
      <c r="D534" s="28">
        <v>98600000</v>
      </c>
      <c r="E534" s="23" t="s">
        <v>735</v>
      </c>
      <c r="F534" s="28">
        <v>98000000</v>
      </c>
      <c r="G534" s="23" t="s">
        <v>980</v>
      </c>
      <c r="H534" s="28">
        <v>98650000</v>
      </c>
      <c r="I534" s="30" t="s">
        <v>2671</v>
      </c>
      <c r="J534" s="23" t="s">
        <v>2672</v>
      </c>
      <c r="K534" s="23" t="s">
        <v>754</v>
      </c>
      <c r="L534" s="23" t="str">
        <f>VLOOKUP(K534,Матрицы!B:C,2,0)</f>
        <v>село</v>
      </c>
      <c r="M534" s="31" t="s">
        <v>2678</v>
      </c>
      <c r="N534" s="28">
        <v>98650405111</v>
      </c>
      <c r="O534" s="36">
        <v>140</v>
      </c>
      <c r="P534" s="1">
        <v>2</v>
      </c>
      <c r="Q534" s="1" t="s">
        <v>2679</v>
      </c>
      <c r="R534" s="1" t="s">
        <v>2680</v>
      </c>
    </row>
    <row r="535" spans="1:18">
      <c r="A535" s="23">
        <v>534</v>
      </c>
      <c r="B535" s="27">
        <f t="shared" si="9"/>
        <v>98650415101</v>
      </c>
      <c r="C535" s="23" t="s">
        <v>735</v>
      </c>
      <c r="D535" s="28">
        <v>98600000</v>
      </c>
      <c r="E535" s="23" t="s">
        <v>735</v>
      </c>
      <c r="F535" s="28">
        <v>98000000</v>
      </c>
      <c r="G535" s="23" t="s">
        <v>980</v>
      </c>
      <c r="H535" s="28">
        <v>98650000</v>
      </c>
      <c r="I535" s="30" t="s">
        <v>2671</v>
      </c>
      <c r="J535" s="23" t="s">
        <v>2681</v>
      </c>
      <c r="K535" s="23" t="s">
        <v>754</v>
      </c>
      <c r="L535" s="23" t="str">
        <f>VLOOKUP(K535,Матрицы!B:C,2,0)</f>
        <v>село</v>
      </c>
      <c r="M535" s="31" t="s">
        <v>2682</v>
      </c>
      <c r="N535" s="28">
        <v>98650415101</v>
      </c>
      <c r="O535" s="36">
        <v>913</v>
      </c>
      <c r="P535" s="1">
        <v>2</v>
      </c>
      <c r="Q535" s="1" t="s">
        <v>2683</v>
      </c>
      <c r="R535" s="1" t="s">
        <v>2684</v>
      </c>
    </row>
    <row r="536" spans="1:18">
      <c r="A536" s="23">
        <v>535</v>
      </c>
      <c r="B536" s="27">
        <f t="shared" si="9"/>
        <v>98650425101</v>
      </c>
      <c r="C536" s="23" t="s">
        <v>735</v>
      </c>
      <c r="D536" s="28">
        <v>98600000</v>
      </c>
      <c r="E536" s="23" t="s">
        <v>735</v>
      </c>
      <c r="F536" s="28">
        <v>98000000</v>
      </c>
      <c r="G536" s="23" t="s">
        <v>980</v>
      </c>
      <c r="H536" s="28">
        <v>98650000</v>
      </c>
      <c r="I536" s="30" t="s">
        <v>2671</v>
      </c>
      <c r="J536" s="23" t="s">
        <v>2685</v>
      </c>
      <c r="K536" s="23" t="s">
        <v>754</v>
      </c>
      <c r="L536" s="23" t="str">
        <f>VLOOKUP(K536,Матрицы!B:C,2,0)</f>
        <v>село</v>
      </c>
      <c r="M536" s="31" t="s">
        <v>2686</v>
      </c>
      <c r="N536" s="28">
        <v>98650425101</v>
      </c>
      <c r="O536" s="36">
        <v>136</v>
      </c>
      <c r="P536" s="1">
        <v>2</v>
      </c>
      <c r="Q536" s="1" t="s">
        <v>2687</v>
      </c>
      <c r="R536" s="1" t="s">
        <v>2688</v>
      </c>
    </row>
    <row r="537" spans="1:18">
      <c r="A537" s="23">
        <v>536</v>
      </c>
      <c r="B537" s="27">
        <f t="shared" si="9"/>
        <v>98650430101</v>
      </c>
      <c r="C537" s="23" t="s">
        <v>735</v>
      </c>
      <c r="D537" s="28">
        <v>98600000</v>
      </c>
      <c r="E537" s="23" t="s">
        <v>735</v>
      </c>
      <c r="F537" s="28">
        <v>98000000</v>
      </c>
      <c r="G537" s="23" t="s">
        <v>980</v>
      </c>
      <c r="H537" s="28">
        <v>98650000</v>
      </c>
      <c r="I537" s="30" t="s">
        <v>2671</v>
      </c>
      <c r="J537" s="23" t="s">
        <v>2689</v>
      </c>
      <c r="K537" s="23" t="s">
        <v>754</v>
      </c>
      <c r="L537" s="23" t="str">
        <f>VLOOKUP(K537,Матрицы!B:C,2,0)</f>
        <v>село</v>
      </c>
      <c r="M537" s="31" t="s">
        <v>2690</v>
      </c>
      <c r="N537" s="28">
        <v>98650430101</v>
      </c>
      <c r="O537" s="36">
        <v>550</v>
      </c>
      <c r="P537" s="1">
        <v>2</v>
      </c>
      <c r="Q537" s="1" t="s">
        <v>2691</v>
      </c>
      <c r="R537" s="1" t="s">
        <v>2692</v>
      </c>
    </row>
    <row r="538" spans="1:18">
      <c r="A538" s="23">
        <v>537</v>
      </c>
      <c r="B538" s="27">
        <f t="shared" si="9"/>
        <v>98650433101</v>
      </c>
      <c r="C538" s="23" t="s">
        <v>735</v>
      </c>
      <c r="D538" s="28">
        <v>98600000</v>
      </c>
      <c r="E538" s="23" t="s">
        <v>735</v>
      </c>
      <c r="F538" s="28">
        <v>98000000</v>
      </c>
      <c r="G538" s="23" t="s">
        <v>980</v>
      </c>
      <c r="H538" s="28">
        <v>98650000</v>
      </c>
      <c r="I538" s="30" t="s">
        <v>2671</v>
      </c>
      <c r="J538" s="23" t="s">
        <v>2693</v>
      </c>
      <c r="K538" s="23" t="s">
        <v>754</v>
      </c>
      <c r="L538" s="23" t="str">
        <f>VLOOKUP(K538,Матрицы!B:C,2,0)</f>
        <v>село</v>
      </c>
      <c r="M538" s="31" t="s">
        <v>2694</v>
      </c>
      <c r="N538" s="28">
        <v>98650433101</v>
      </c>
      <c r="O538" s="36">
        <v>345</v>
      </c>
      <c r="P538" s="1">
        <v>2</v>
      </c>
      <c r="Q538" s="1" t="s">
        <v>2695</v>
      </c>
      <c r="R538" s="1" t="s">
        <v>2696</v>
      </c>
    </row>
    <row r="539" spans="1:18">
      <c r="A539" s="23">
        <v>538</v>
      </c>
      <c r="B539" s="27">
        <f t="shared" si="9"/>
        <v>98650433106</v>
      </c>
      <c r="C539" s="23" t="s">
        <v>735</v>
      </c>
      <c r="D539" s="28">
        <v>98600000</v>
      </c>
      <c r="E539" s="23" t="s">
        <v>735</v>
      </c>
      <c r="F539" s="28">
        <v>98000000</v>
      </c>
      <c r="G539" s="23" t="s">
        <v>980</v>
      </c>
      <c r="H539" s="28">
        <v>98650000</v>
      </c>
      <c r="I539" s="30" t="s">
        <v>2671</v>
      </c>
      <c r="J539" s="23" t="s">
        <v>2693</v>
      </c>
      <c r="K539" s="23" t="s">
        <v>754</v>
      </c>
      <c r="L539" s="23" t="str">
        <f>VLOOKUP(K539,Матрицы!B:C,2,0)</f>
        <v>село</v>
      </c>
      <c r="M539" s="31" t="s">
        <v>2179</v>
      </c>
      <c r="N539" s="28">
        <v>98650433106</v>
      </c>
      <c r="O539" s="36">
        <v>96</v>
      </c>
      <c r="P539" s="1">
        <v>2</v>
      </c>
      <c r="Q539" s="1" t="s">
        <v>2697</v>
      </c>
      <c r="R539" s="1" t="s">
        <v>2698</v>
      </c>
    </row>
    <row r="540" spans="1:18">
      <c r="A540" s="23">
        <v>539</v>
      </c>
      <c r="B540" s="27">
        <f t="shared" si="9"/>
        <v>98650433111</v>
      </c>
      <c r="C540" s="23" t="s">
        <v>735</v>
      </c>
      <c r="D540" s="28">
        <v>98600000</v>
      </c>
      <c r="E540" s="23" t="s">
        <v>735</v>
      </c>
      <c r="F540" s="28">
        <v>98000000</v>
      </c>
      <c r="G540" s="23" t="s">
        <v>980</v>
      </c>
      <c r="H540" s="28">
        <v>98650000</v>
      </c>
      <c r="I540" s="30" t="s">
        <v>2671</v>
      </c>
      <c r="J540" s="23" t="s">
        <v>2693</v>
      </c>
      <c r="K540" s="23" t="s">
        <v>754</v>
      </c>
      <c r="L540" s="23" t="str">
        <f>VLOOKUP(K540,Матрицы!B:C,2,0)</f>
        <v>село</v>
      </c>
      <c r="M540" s="31" t="s">
        <v>2699</v>
      </c>
      <c r="N540" s="28">
        <v>98650433111</v>
      </c>
      <c r="O540" s="36">
        <v>13</v>
      </c>
      <c r="P540" s="1">
        <v>2</v>
      </c>
      <c r="Q540" s="1" t="s">
        <v>2700</v>
      </c>
      <c r="R540" s="1" t="s">
        <v>2701</v>
      </c>
    </row>
    <row r="541" spans="1:18">
      <c r="A541" s="23">
        <v>540</v>
      </c>
      <c r="B541" s="27">
        <f t="shared" si="9"/>
        <v>98650435101</v>
      </c>
      <c r="C541" s="23" t="s">
        <v>735</v>
      </c>
      <c r="D541" s="28">
        <v>98600000</v>
      </c>
      <c r="E541" s="23" t="s">
        <v>735</v>
      </c>
      <c r="F541" s="28">
        <v>98000000</v>
      </c>
      <c r="G541" s="23" t="s">
        <v>980</v>
      </c>
      <c r="H541" s="28">
        <v>98650000</v>
      </c>
      <c r="I541" s="30" t="s">
        <v>2671</v>
      </c>
      <c r="J541" s="23" t="s">
        <v>2702</v>
      </c>
      <c r="K541" s="23" t="s">
        <v>754</v>
      </c>
      <c r="L541" s="23" t="str">
        <f>VLOOKUP(K541,Матрицы!B:C,2,0)</f>
        <v>село</v>
      </c>
      <c r="M541" s="31" t="s">
        <v>2703</v>
      </c>
      <c r="N541" s="28">
        <v>98650435101</v>
      </c>
      <c r="O541" s="36">
        <v>929</v>
      </c>
      <c r="P541" s="1">
        <v>2</v>
      </c>
      <c r="Q541" s="1" t="s">
        <v>2704</v>
      </c>
      <c r="R541" s="1" t="s">
        <v>2705</v>
      </c>
    </row>
    <row r="542" spans="1:18">
      <c r="A542" s="23">
        <v>541</v>
      </c>
      <c r="B542" s="27">
        <f t="shared" si="9"/>
        <v>98650440101</v>
      </c>
      <c r="C542" s="23" t="s">
        <v>735</v>
      </c>
      <c r="D542" s="28">
        <v>98600000</v>
      </c>
      <c r="E542" s="23" t="s">
        <v>735</v>
      </c>
      <c r="F542" s="28">
        <v>98000000</v>
      </c>
      <c r="G542" s="23" t="s">
        <v>980</v>
      </c>
      <c r="H542" s="28">
        <v>98650000</v>
      </c>
      <c r="I542" s="30" t="s">
        <v>2671</v>
      </c>
      <c r="J542" s="23" t="s">
        <v>2706</v>
      </c>
      <c r="K542" s="23" t="s">
        <v>754</v>
      </c>
      <c r="L542" s="23" t="str">
        <f>VLOOKUP(K542,Матрицы!B:C,2,0)</f>
        <v>село</v>
      </c>
      <c r="M542" s="31" t="s">
        <v>1972</v>
      </c>
      <c r="N542" s="28">
        <v>98650440101</v>
      </c>
      <c r="O542" s="36">
        <v>280</v>
      </c>
      <c r="P542" s="1">
        <v>2</v>
      </c>
      <c r="Q542" s="1" t="s">
        <v>2707</v>
      </c>
      <c r="R542" s="1" t="s">
        <v>2708</v>
      </c>
    </row>
    <row r="543" spans="1:18">
      <c r="A543" s="23">
        <v>542</v>
      </c>
      <c r="B543" s="27">
        <f t="shared" si="9"/>
        <v>98650440106</v>
      </c>
      <c r="C543" s="23" t="s">
        <v>735</v>
      </c>
      <c r="D543" s="28">
        <v>98600000</v>
      </c>
      <c r="E543" s="23" t="s">
        <v>735</v>
      </c>
      <c r="F543" s="28">
        <v>98000000</v>
      </c>
      <c r="G543" s="23" t="s">
        <v>980</v>
      </c>
      <c r="H543" s="28">
        <v>98650000</v>
      </c>
      <c r="I543" s="30" t="s">
        <v>2671</v>
      </c>
      <c r="J543" s="23" t="s">
        <v>2706</v>
      </c>
      <c r="K543" s="23" t="s">
        <v>754</v>
      </c>
      <c r="L543" s="23" t="str">
        <f>VLOOKUP(K543,Матрицы!B:C,2,0)</f>
        <v>село</v>
      </c>
      <c r="M543" s="31" t="s">
        <v>595</v>
      </c>
      <c r="N543" s="28">
        <v>98650440106</v>
      </c>
      <c r="O543" s="36">
        <v>112</v>
      </c>
      <c r="P543" s="1">
        <v>2</v>
      </c>
      <c r="Q543" s="1" t="s">
        <v>2709</v>
      </c>
      <c r="R543" s="1" t="s">
        <v>2710</v>
      </c>
    </row>
    <row r="544" spans="1:18">
      <c r="A544" s="23">
        <v>543</v>
      </c>
      <c r="B544" s="27">
        <f t="shared" si="9"/>
        <v>98652405101</v>
      </c>
      <c r="C544" s="23" t="s">
        <v>735</v>
      </c>
      <c r="D544" s="28">
        <v>98600000</v>
      </c>
      <c r="E544" s="23" t="s">
        <v>735</v>
      </c>
      <c r="F544" s="28">
        <v>98000000</v>
      </c>
      <c r="G544" s="23" t="s">
        <v>985</v>
      </c>
      <c r="H544" s="28">
        <v>98652000</v>
      </c>
      <c r="I544" s="30" t="s">
        <v>2711</v>
      </c>
      <c r="J544" s="23" t="s">
        <v>2712</v>
      </c>
      <c r="K544" s="23" t="s">
        <v>754</v>
      </c>
      <c r="L544" s="23" t="str">
        <f>VLOOKUP(K544,Матрицы!B:C,2,0)</f>
        <v>село</v>
      </c>
      <c r="M544" s="31" t="s">
        <v>760</v>
      </c>
      <c r="N544" s="28">
        <v>98652405101</v>
      </c>
      <c r="O544" s="36">
        <v>475</v>
      </c>
      <c r="P544" s="1">
        <v>2</v>
      </c>
      <c r="Q544" s="1" t="s">
        <v>2713</v>
      </c>
      <c r="R544" s="1" t="s">
        <v>2714</v>
      </c>
    </row>
    <row r="545" spans="1:18">
      <c r="A545" s="23">
        <v>544</v>
      </c>
      <c r="B545" s="27">
        <f t="shared" si="9"/>
        <v>98652410101</v>
      </c>
      <c r="C545" s="23" t="s">
        <v>735</v>
      </c>
      <c r="D545" s="28">
        <v>98600000</v>
      </c>
      <c r="E545" s="23" t="s">
        <v>735</v>
      </c>
      <c r="F545" s="28">
        <v>98000000</v>
      </c>
      <c r="G545" s="23" t="s">
        <v>985</v>
      </c>
      <c r="H545" s="28">
        <v>98652000</v>
      </c>
      <c r="I545" s="30" t="s">
        <v>2711</v>
      </c>
      <c r="J545" s="23" t="s">
        <v>2672</v>
      </c>
      <c r="K545" s="23" t="s">
        <v>754</v>
      </c>
      <c r="L545" s="23" t="str">
        <f>VLOOKUP(K545,Матрицы!B:C,2,0)</f>
        <v>село</v>
      </c>
      <c r="M545" s="31" t="s">
        <v>2715</v>
      </c>
      <c r="N545" s="28">
        <v>98652410101</v>
      </c>
      <c r="O545" s="36">
        <v>554</v>
      </c>
      <c r="P545" s="1">
        <v>2</v>
      </c>
      <c r="Q545" s="1" t="s">
        <v>2716</v>
      </c>
      <c r="R545" s="1" t="s">
        <v>2717</v>
      </c>
    </row>
    <row r="546" spans="1:18">
      <c r="A546" s="23">
        <v>545</v>
      </c>
      <c r="B546" s="27">
        <f t="shared" si="9"/>
        <v>98652415101</v>
      </c>
      <c r="C546" s="23" t="s">
        <v>735</v>
      </c>
      <c r="D546" s="28">
        <v>98600000</v>
      </c>
      <c r="E546" s="23" t="s">
        <v>735</v>
      </c>
      <c r="F546" s="28">
        <v>98000000</v>
      </c>
      <c r="G546" s="23" t="s">
        <v>985</v>
      </c>
      <c r="H546" s="28">
        <v>98652000</v>
      </c>
      <c r="I546" s="30" t="s">
        <v>2711</v>
      </c>
      <c r="J546" s="23" t="s">
        <v>1161</v>
      </c>
      <c r="K546" s="23" t="s">
        <v>754</v>
      </c>
      <c r="L546" s="23" t="str">
        <f>VLOOKUP(K546,Матрицы!B:C,2,0)</f>
        <v>село</v>
      </c>
      <c r="M546" s="31" t="s">
        <v>873</v>
      </c>
      <c r="N546" s="28">
        <v>98652415101</v>
      </c>
      <c r="O546" s="36">
        <v>602</v>
      </c>
      <c r="P546" s="1">
        <v>2</v>
      </c>
      <c r="Q546" s="11" t="s">
        <v>2718</v>
      </c>
      <c r="R546" s="11" t="s">
        <v>2719</v>
      </c>
    </row>
    <row r="547" spans="1:18">
      <c r="A547" s="23">
        <v>546</v>
      </c>
      <c r="B547" s="27">
        <f t="shared" si="9"/>
        <v>98652415106</v>
      </c>
      <c r="C547" s="23" t="s">
        <v>735</v>
      </c>
      <c r="D547" s="28">
        <v>98600000</v>
      </c>
      <c r="E547" s="23" t="s">
        <v>735</v>
      </c>
      <c r="F547" s="28">
        <v>98000000</v>
      </c>
      <c r="G547" s="23" t="s">
        <v>985</v>
      </c>
      <c r="H547" s="28">
        <v>98652000</v>
      </c>
      <c r="I547" s="30" t="s">
        <v>2711</v>
      </c>
      <c r="J547" s="23" t="s">
        <v>1161</v>
      </c>
      <c r="K547" s="23" t="s">
        <v>754</v>
      </c>
      <c r="L547" s="23" t="str">
        <f>VLOOKUP(K547,Матрицы!B:C,2,0)</f>
        <v>село</v>
      </c>
      <c r="M547" s="31" t="s">
        <v>2720</v>
      </c>
      <c r="N547" s="28">
        <v>98652415106</v>
      </c>
      <c r="O547" s="36">
        <v>125</v>
      </c>
      <c r="P547" s="1">
        <v>2</v>
      </c>
      <c r="Q547" s="1" t="s">
        <v>2721</v>
      </c>
      <c r="R547" s="1" t="s">
        <v>2722</v>
      </c>
    </row>
    <row r="548" spans="1:18">
      <c r="A548" s="23">
        <v>547</v>
      </c>
      <c r="B548" s="27">
        <f t="shared" si="9"/>
        <v>98652415111</v>
      </c>
      <c r="C548" s="23" t="s">
        <v>735</v>
      </c>
      <c r="D548" s="28">
        <v>98600000</v>
      </c>
      <c r="E548" s="23" t="s">
        <v>735</v>
      </c>
      <c r="F548" s="28">
        <v>98000000</v>
      </c>
      <c r="G548" s="23" t="s">
        <v>985</v>
      </c>
      <c r="H548" s="28">
        <v>98652000</v>
      </c>
      <c r="I548" s="30" t="s">
        <v>2711</v>
      </c>
      <c r="J548" s="23" t="s">
        <v>1161</v>
      </c>
      <c r="K548" s="23" t="s">
        <v>754</v>
      </c>
      <c r="L548" s="23" t="str">
        <f>VLOOKUP(K548,Матрицы!B:C,2,0)</f>
        <v>село</v>
      </c>
      <c r="M548" s="31" t="s">
        <v>2723</v>
      </c>
      <c r="N548" s="28">
        <v>98652415111</v>
      </c>
      <c r="O548" s="36">
        <v>108</v>
      </c>
      <c r="P548" s="1">
        <v>2</v>
      </c>
      <c r="Q548" s="1" t="s">
        <v>2724</v>
      </c>
      <c r="R548" s="1" t="s">
        <v>2725</v>
      </c>
    </row>
    <row r="549" spans="1:18">
      <c r="A549" s="23">
        <v>548</v>
      </c>
      <c r="B549" s="27">
        <f t="shared" si="9"/>
        <v>98652420101</v>
      </c>
      <c r="C549" s="23" t="s">
        <v>735</v>
      </c>
      <c r="D549" s="28">
        <v>98600000</v>
      </c>
      <c r="E549" s="23" t="s">
        <v>735</v>
      </c>
      <c r="F549" s="28">
        <v>98000000</v>
      </c>
      <c r="G549" s="23" t="s">
        <v>985</v>
      </c>
      <c r="H549" s="28">
        <v>98652000</v>
      </c>
      <c r="I549" s="30" t="s">
        <v>2711</v>
      </c>
      <c r="J549" s="23" t="s">
        <v>2726</v>
      </c>
      <c r="K549" s="23" t="s">
        <v>754</v>
      </c>
      <c r="L549" s="23" t="str">
        <f>VLOOKUP(K549,Матрицы!B:C,2,0)</f>
        <v>село</v>
      </c>
      <c r="M549" s="31" t="s">
        <v>793</v>
      </c>
      <c r="N549" s="28">
        <v>98652420101</v>
      </c>
      <c r="O549" s="36">
        <v>733</v>
      </c>
      <c r="P549" s="1">
        <v>2</v>
      </c>
      <c r="Q549" s="1" t="s">
        <v>2727</v>
      </c>
      <c r="R549" s="1" t="s">
        <v>2728</v>
      </c>
    </row>
    <row r="550" spans="1:18">
      <c r="A550" s="23">
        <v>549</v>
      </c>
      <c r="B550" s="27">
        <f t="shared" si="9"/>
        <v>98652420106</v>
      </c>
      <c r="C550" s="23" t="s">
        <v>735</v>
      </c>
      <c r="D550" s="28">
        <v>98600000</v>
      </c>
      <c r="E550" s="23" t="s">
        <v>735</v>
      </c>
      <c r="F550" s="28">
        <v>98000000</v>
      </c>
      <c r="G550" s="23" t="s">
        <v>985</v>
      </c>
      <c r="H550" s="28">
        <v>98652000</v>
      </c>
      <c r="I550" s="30" t="s">
        <v>2711</v>
      </c>
      <c r="J550" s="23" t="s">
        <v>2726</v>
      </c>
      <c r="K550" s="23" t="s">
        <v>754</v>
      </c>
      <c r="L550" s="23" t="str">
        <f>VLOOKUP(K550,Матрицы!B:C,2,0)</f>
        <v>село</v>
      </c>
      <c r="M550" s="31" t="s">
        <v>2729</v>
      </c>
      <c r="N550" s="28">
        <v>98652420106</v>
      </c>
      <c r="O550" s="36">
        <v>1</v>
      </c>
      <c r="P550" s="1">
        <v>2</v>
      </c>
      <c r="Q550" s="1" t="s">
        <v>2730</v>
      </c>
      <c r="R550" s="1" t="s">
        <v>2731</v>
      </c>
    </row>
    <row r="551" spans="1:18">
      <c r="A551" s="23">
        <v>550</v>
      </c>
      <c r="B551" s="27">
        <f t="shared" si="9"/>
        <v>98652425101</v>
      </c>
      <c r="C551" s="23" t="s">
        <v>735</v>
      </c>
      <c r="D551" s="28">
        <v>98600000</v>
      </c>
      <c r="E551" s="23" t="s">
        <v>735</v>
      </c>
      <c r="F551" s="28">
        <v>98000000</v>
      </c>
      <c r="G551" s="23" t="s">
        <v>985</v>
      </c>
      <c r="H551" s="28">
        <v>98652000</v>
      </c>
      <c r="I551" s="30" t="s">
        <v>2711</v>
      </c>
      <c r="J551" s="23" t="s">
        <v>2732</v>
      </c>
      <c r="K551" s="23" t="s">
        <v>754</v>
      </c>
      <c r="L551" s="23" t="str">
        <f>VLOOKUP(K551,Матрицы!B:C,2,0)</f>
        <v>село</v>
      </c>
      <c r="M551" s="31" t="s">
        <v>2733</v>
      </c>
      <c r="N551" s="28">
        <v>98652425101</v>
      </c>
      <c r="O551" s="36">
        <v>242</v>
      </c>
      <c r="P551" s="1">
        <v>2</v>
      </c>
      <c r="Q551" s="1" t="s">
        <v>2734</v>
      </c>
      <c r="R551" s="1" t="s">
        <v>2735</v>
      </c>
    </row>
    <row r="552" spans="1:18">
      <c r="A552" s="23">
        <v>551</v>
      </c>
      <c r="B552" s="27">
        <f t="shared" si="9"/>
        <v>98652430101</v>
      </c>
      <c r="C552" s="23" t="s">
        <v>735</v>
      </c>
      <c r="D552" s="28">
        <v>98600000</v>
      </c>
      <c r="E552" s="23" t="s">
        <v>735</v>
      </c>
      <c r="F552" s="28">
        <v>98000000</v>
      </c>
      <c r="G552" s="23" t="s">
        <v>985</v>
      </c>
      <c r="H552" s="28">
        <v>98652000</v>
      </c>
      <c r="I552" s="30" t="s">
        <v>2711</v>
      </c>
      <c r="J552" s="23" t="s">
        <v>2736</v>
      </c>
      <c r="K552" s="23" t="s">
        <v>754</v>
      </c>
      <c r="L552" s="23" t="str">
        <f>VLOOKUP(K552,Матрицы!B:C,2,0)</f>
        <v>село</v>
      </c>
      <c r="M552" s="31" t="s">
        <v>2737</v>
      </c>
      <c r="N552" s="28">
        <v>98652430101</v>
      </c>
      <c r="O552" s="36">
        <v>1031</v>
      </c>
      <c r="P552" s="1">
        <v>2</v>
      </c>
      <c r="Q552" s="1" t="s">
        <v>2738</v>
      </c>
      <c r="R552" s="1" t="s">
        <v>2739</v>
      </c>
    </row>
    <row r="553" spans="1:18">
      <c r="A553" s="23">
        <v>552</v>
      </c>
      <c r="B553" s="27">
        <f t="shared" si="9"/>
        <v>98652430106</v>
      </c>
      <c r="C553" s="23" t="s">
        <v>735</v>
      </c>
      <c r="D553" s="28">
        <v>98600000</v>
      </c>
      <c r="E553" s="23" t="s">
        <v>735</v>
      </c>
      <c r="F553" s="28">
        <v>98000000</v>
      </c>
      <c r="G553" s="23" t="s">
        <v>985</v>
      </c>
      <c r="H553" s="28">
        <v>98652000</v>
      </c>
      <c r="I553" s="30" t="s">
        <v>2711</v>
      </c>
      <c r="J553" s="23" t="s">
        <v>2736</v>
      </c>
      <c r="K553" s="23" t="s">
        <v>754</v>
      </c>
      <c r="L553" s="23" t="str">
        <f>VLOOKUP(K553,Матрицы!B:C,2,0)</f>
        <v>село</v>
      </c>
      <c r="M553" s="31" t="s">
        <v>2740</v>
      </c>
      <c r="N553" s="28">
        <v>98652430106</v>
      </c>
      <c r="O553" s="36">
        <v>335</v>
      </c>
      <c r="P553" s="1">
        <v>2</v>
      </c>
      <c r="Q553" s="1" t="s">
        <v>2741</v>
      </c>
      <c r="R553" s="1" t="s">
        <v>2742</v>
      </c>
    </row>
    <row r="554" spans="1:18">
      <c r="A554" s="23">
        <v>553</v>
      </c>
      <c r="B554" s="27">
        <f t="shared" si="9"/>
        <v>98652430111</v>
      </c>
      <c r="C554" s="23" t="s">
        <v>735</v>
      </c>
      <c r="D554" s="28">
        <v>98600000</v>
      </c>
      <c r="E554" s="23" t="s">
        <v>735</v>
      </c>
      <c r="F554" s="28">
        <v>98000000</v>
      </c>
      <c r="G554" s="23" t="s">
        <v>985</v>
      </c>
      <c r="H554" s="28">
        <v>98652000</v>
      </c>
      <c r="I554" s="30" t="s">
        <v>2711</v>
      </c>
      <c r="J554" s="23" t="s">
        <v>2736</v>
      </c>
      <c r="K554" s="23" t="s">
        <v>754</v>
      </c>
      <c r="L554" s="23" t="str">
        <f>VLOOKUP(K554,Матрицы!B:C,2,0)</f>
        <v>село</v>
      </c>
      <c r="M554" s="31" t="s">
        <v>2743</v>
      </c>
      <c r="N554" s="28">
        <v>98652430111</v>
      </c>
      <c r="O554" s="36">
        <v>62</v>
      </c>
      <c r="P554" s="1">
        <v>2</v>
      </c>
      <c r="Q554" s="1" t="s">
        <v>2744</v>
      </c>
      <c r="R554" s="1" t="s">
        <v>2745</v>
      </c>
    </row>
    <row r="555" spans="1:18">
      <c r="A555" s="23">
        <v>554</v>
      </c>
      <c r="B555" s="27">
        <f t="shared" si="9"/>
        <v>98652435101</v>
      </c>
      <c r="C555" s="23" t="s">
        <v>735</v>
      </c>
      <c r="D555" s="28">
        <v>98600000</v>
      </c>
      <c r="E555" s="23" t="s">
        <v>735</v>
      </c>
      <c r="F555" s="28">
        <v>98000000</v>
      </c>
      <c r="G555" s="23" t="s">
        <v>985</v>
      </c>
      <c r="H555" s="28">
        <v>98652000</v>
      </c>
      <c r="I555" s="30" t="s">
        <v>2711</v>
      </c>
      <c r="J555" s="23" t="s">
        <v>2746</v>
      </c>
      <c r="K555" s="23" t="s">
        <v>754</v>
      </c>
      <c r="L555" s="23" t="str">
        <f>VLOOKUP(K555,Матрицы!B:C,2,0)</f>
        <v>село</v>
      </c>
      <c r="M555" s="31" t="s">
        <v>2747</v>
      </c>
      <c r="N555" s="28">
        <v>98652435101</v>
      </c>
      <c r="O555" s="36">
        <v>740</v>
      </c>
      <c r="P555" s="1">
        <v>2</v>
      </c>
      <c r="Q555" s="1" t="s">
        <v>2748</v>
      </c>
      <c r="R555" s="1" t="s">
        <v>2749</v>
      </c>
    </row>
    <row r="556" spans="1:18">
      <c r="A556" s="23">
        <v>555</v>
      </c>
      <c r="B556" s="27">
        <f t="shared" si="9"/>
        <v>98652435106</v>
      </c>
      <c r="C556" s="23" t="s">
        <v>735</v>
      </c>
      <c r="D556" s="28">
        <v>98600000</v>
      </c>
      <c r="E556" s="23" t="s">
        <v>735</v>
      </c>
      <c r="F556" s="28">
        <v>98000000</v>
      </c>
      <c r="G556" s="23" t="s">
        <v>985</v>
      </c>
      <c r="H556" s="28">
        <v>98652000</v>
      </c>
      <c r="I556" s="30" t="s">
        <v>2711</v>
      </c>
      <c r="J556" s="23" t="s">
        <v>2746</v>
      </c>
      <c r="K556" s="23" t="s">
        <v>754</v>
      </c>
      <c r="L556" s="23" t="str">
        <f>VLOOKUP(K556,Матрицы!B:C,2,0)</f>
        <v>село</v>
      </c>
      <c r="M556" s="31" t="s">
        <v>1194</v>
      </c>
      <c r="N556" s="28">
        <v>98652435106</v>
      </c>
      <c r="O556" s="36">
        <v>50</v>
      </c>
      <c r="P556" s="1">
        <v>2</v>
      </c>
      <c r="Q556" s="1" t="s">
        <v>2750</v>
      </c>
      <c r="R556" s="1" t="s">
        <v>2751</v>
      </c>
    </row>
    <row r="557" spans="1:18">
      <c r="A557" s="23">
        <v>556</v>
      </c>
      <c r="B557" s="27">
        <f t="shared" si="9"/>
        <v>98652435111</v>
      </c>
      <c r="C557" s="23" t="s">
        <v>735</v>
      </c>
      <c r="D557" s="28">
        <v>98600000</v>
      </c>
      <c r="E557" s="23" t="s">
        <v>735</v>
      </c>
      <c r="F557" s="28">
        <v>98000000</v>
      </c>
      <c r="G557" s="23" t="s">
        <v>985</v>
      </c>
      <c r="H557" s="28">
        <v>98652000</v>
      </c>
      <c r="I557" s="30" t="s">
        <v>2711</v>
      </c>
      <c r="J557" s="23" t="s">
        <v>2746</v>
      </c>
      <c r="K557" s="23" t="s">
        <v>754</v>
      </c>
      <c r="L557" s="23" t="str">
        <f>VLOOKUP(K557,Матрицы!B:C,2,0)</f>
        <v>село</v>
      </c>
      <c r="M557" s="31" t="s">
        <v>2752</v>
      </c>
      <c r="N557" s="28">
        <v>98652435111</v>
      </c>
      <c r="O557" s="36">
        <v>209</v>
      </c>
      <c r="P557" s="1">
        <v>2</v>
      </c>
      <c r="Q557" s="1" t="s">
        <v>2753</v>
      </c>
      <c r="R557" s="1" t="s">
        <v>2754</v>
      </c>
    </row>
    <row r="558" spans="1:18">
      <c r="A558" s="23">
        <v>557</v>
      </c>
      <c r="B558" s="27">
        <f t="shared" si="9"/>
        <v>98652440101</v>
      </c>
      <c r="C558" s="23" t="s">
        <v>735</v>
      </c>
      <c r="D558" s="28">
        <v>98600000</v>
      </c>
      <c r="E558" s="23" t="s">
        <v>735</v>
      </c>
      <c r="F558" s="28">
        <v>98000000</v>
      </c>
      <c r="G558" s="23" t="s">
        <v>985</v>
      </c>
      <c r="H558" s="28">
        <v>98652000</v>
      </c>
      <c r="I558" s="30" t="s">
        <v>2711</v>
      </c>
      <c r="J558" s="23" t="s">
        <v>2755</v>
      </c>
      <c r="K558" s="23" t="s">
        <v>754</v>
      </c>
      <c r="L558" s="23" t="str">
        <f>VLOOKUP(K558,Матрицы!B:C,2,0)</f>
        <v>село</v>
      </c>
      <c r="M558" s="31" t="s">
        <v>2756</v>
      </c>
      <c r="N558" s="28">
        <v>98652440101</v>
      </c>
      <c r="O558" s="36">
        <v>1063</v>
      </c>
      <c r="P558" s="1">
        <v>2</v>
      </c>
      <c r="Q558" s="1" t="s">
        <v>2757</v>
      </c>
      <c r="R558" s="1" t="s">
        <v>2758</v>
      </c>
    </row>
    <row r="559" spans="1:18">
      <c r="A559" s="23">
        <v>558</v>
      </c>
      <c r="B559" s="27">
        <f t="shared" si="9"/>
        <v>98652440106</v>
      </c>
      <c r="C559" s="23" t="s">
        <v>735</v>
      </c>
      <c r="D559" s="28">
        <v>98600000</v>
      </c>
      <c r="E559" s="23" t="s">
        <v>735</v>
      </c>
      <c r="F559" s="28">
        <v>98000000</v>
      </c>
      <c r="G559" s="23" t="s">
        <v>985</v>
      </c>
      <c r="H559" s="28">
        <v>98652000</v>
      </c>
      <c r="I559" s="30" t="s">
        <v>2711</v>
      </c>
      <c r="J559" s="23" t="s">
        <v>2755</v>
      </c>
      <c r="K559" s="23" t="s">
        <v>754</v>
      </c>
      <c r="L559" s="23" t="str">
        <f>VLOOKUP(K559,Матрицы!B:C,2,0)</f>
        <v>село</v>
      </c>
      <c r="M559" s="31" t="s">
        <v>2759</v>
      </c>
      <c r="N559" s="28">
        <v>98652440106</v>
      </c>
      <c r="O559" s="36">
        <v>49</v>
      </c>
      <c r="P559" s="1">
        <v>2</v>
      </c>
      <c r="Q559" s="1" t="s">
        <v>2760</v>
      </c>
      <c r="R559" s="1" t="s">
        <v>2761</v>
      </c>
    </row>
    <row r="560" spans="1:18">
      <c r="A560" s="23">
        <v>559</v>
      </c>
      <c r="B560" s="27">
        <f t="shared" si="9"/>
        <v>98652440111</v>
      </c>
      <c r="C560" s="23" t="s">
        <v>735</v>
      </c>
      <c r="D560" s="28">
        <v>98600000</v>
      </c>
      <c r="E560" s="23" t="s">
        <v>735</v>
      </c>
      <c r="F560" s="28">
        <v>98000000</v>
      </c>
      <c r="G560" s="23" t="s">
        <v>985</v>
      </c>
      <c r="H560" s="28">
        <v>98652000</v>
      </c>
      <c r="I560" s="30" t="s">
        <v>2711</v>
      </c>
      <c r="J560" s="23" t="s">
        <v>2755</v>
      </c>
      <c r="K560" s="23" t="s">
        <v>754</v>
      </c>
      <c r="L560" s="23" t="str">
        <f>VLOOKUP(K560,Матрицы!B:C,2,0)</f>
        <v>село</v>
      </c>
      <c r="M560" s="31" t="s">
        <v>760</v>
      </c>
      <c r="N560" s="28">
        <v>98652440111</v>
      </c>
      <c r="O560" s="36">
        <v>367</v>
      </c>
      <c r="P560" s="1">
        <v>2</v>
      </c>
      <c r="Q560" s="11" t="s">
        <v>2762</v>
      </c>
      <c r="R560" s="11" t="s">
        <v>2763</v>
      </c>
    </row>
    <row r="561" spans="1:18">
      <c r="A561" s="23">
        <v>560</v>
      </c>
      <c r="B561" s="27">
        <f t="shared" si="9"/>
        <v>98652445101</v>
      </c>
      <c r="C561" s="23" t="s">
        <v>735</v>
      </c>
      <c r="D561" s="28">
        <v>98600000</v>
      </c>
      <c r="E561" s="23" t="s">
        <v>735</v>
      </c>
      <c r="F561" s="28">
        <v>98000000</v>
      </c>
      <c r="G561" s="23" t="s">
        <v>985</v>
      </c>
      <c r="H561" s="28">
        <v>98652000</v>
      </c>
      <c r="I561" s="30" t="s">
        <v>2711</v>
      </c>
      <c r="J561" s="23" t="s">
        <v>2764</v>
      </c>
      <c r="K561" s="23" t="s">
        <v>754</v>
      </c>
      <c r="L561" s="23" t="str">
        <f>VLOOKUP(K561,Матрицы!B:C,2,0)</f>
        <v>село</v>
      </c>
      <c r="M561" s="31" t="s">
        <v>2765</v>
      </c>
      <c r="N561" s="28">
        <v>98652445101</v>
      </c>
      <c r="O561" s="36">
        <v>6416</v>
      </c>
      <c r="P561" s="1">
        <v>2</v>
      </c>
      <c r="Q561" s="1" t="s">
        <v>2766</v>
      </c>
      <c r="R561" s="1" t="s">
        <v>2767</v>
      </c>
    </row>
    <row r="562" spans="1:18">
      <c r="A562" s="23">
        <v>561</v>
      </c>
      <c r="B562" s="27">
        <f t="shared" si="9"/>
        <v>98652445106</v>
      </c>
      <c r="C562" s="23" t="s">
        <v>735</v>
      </c>
      <c r="D562" s="28">
        <v>98600000</v>
      </c>
      <c r="E562" s="23" t="s">
        <v>735</v>
      </c>
      <c r="F562" s="28">
        <v>98000000</v>
      </c>
      <c r="G562" s="23" t="s">
        <v>985</v>
      </c>
      <c r="H562" s="28">
        <v>98652000</v>
      </c>
      <c r="I562" s="30" t="s">
        <v>2711</v>
      </c>
      <c r="J562" s="23" t="s">
        <v>2764</v>
      </c>
      <c r="K562" s="23" t="s">
        <v>754</v>
      </c>
      <c r="L562" s="23" t="str">
        <f>VLOOKUP(K562,Матрицы!B:C,2,0)</f>
        <v>село</v>
      </c>
      <c r="M562" s="31" t="s">
        <v>2768</v>
      </c>
      <c r="N562" s="28">
        <v>98652445106</v>
      </c>
      <c r="O562" s="36">
        <v>1031</v>
      </c>
      <c r="P562" s="1">
        <v>2</v>
      </c>
      <c r="Q562" s="1" t="s">
        <v>2769</v>
      </c>
      <c r="R562" s="1" t="s">
        <v>2770</v>
      </c>
    </row>
    <row r="563" spans="1:18">
      <c r="A563" s="23">
        <v>562</v>
      </c>
      <c r="B563" s="27">
        <f t="shared" si="9"/>
        <v>98652445111</v>
      </c>
      <c r="C563" s="23" t="s">
        <v>735</v>
      </c>
      <c r="D563" s="28">
        <v>98600000</v>
      </c>
      <c r="E563" s="23" t="s">
        <v>735</v>
      </c>
      <c r="F563" s="28">
        <v>98000000</v>
      </c>
      <c r="G563" s="23" t="s">
        <v>985</v>
      </c>
      <c r="H563" s="28">
        <v>98652000</v>
      </c>
      <c r="I563" s="30" t="s">
        <v>2711</v>
      </c>
      <c r="J563" s="23" t="s">
        <v>2764</v>
      </c>
      <c r="K563" s="23" t="s">
        <v>754</v>
      </c>
      <c r="L563" s="23" t="str">
        <f>VLOOKUP(K563,Матрицы!B:C,2,0)</f>
        <v>село</v>
      </c>
      <c r="M563" s="31" t="s">
        <v>618</v>
      </c>
      <c r="N563" s="28">
        <v>98652445111</v>
      </c>
      <c r="O563" s="32">
        <v>0</v>
      </c>
      <c r="P563" s="1">
        <v>2</v>
      </c>
      <c r="Q563" s="1" t="s">
        <v>2771</v>
      </c>
      <c r="R563" s="1" t="s">
        <v>2772</v>
      </c>
    </row>
    <row r="564" spans="1:18">
      <c r="A564" s="23">
        <v>563</v>
      </c>
      <c r="B564" s="27">
        <f t="shared" si="9"/>
        <v>98652450101</v>
      </c>
      <c r="C564" s="23" t="s">
        <v>735</v>
      </c>
      <c r="D564" s="28">
        <v>98600000</v>
      </c>
      <c r="E564" s="23" t="s">
        <v>735</v>
      </c>
      <c r="F564" s="28">
        <v>98000000</v>
      </c>
      <c r="G564" s="23" t="s">
        <v>985</v>
      </c>
      <c r="H564" s="28">
        <v>98652000</v>
      </c>
      <c r="I564" s="30" t="s">
        <v>2711</v>
      </c>
      <c r="J564" s="23" t="s">
        <v>2773</v>
      </c>
      <c r="K564" s="23" t="s">
        <v>754</v>
      </c>
      <c r="L564" s="23" t="str">
        <f>VLOOKUP(K564,Матрицы!B:C,2,0)</f>
        <v>село</v>
      </c>
      <c r="M564" s="31" t="s">
        <v>1871</v>
      </c>
      <c r="N564" s="28">
        <v>98652450101</v>
      </c>
      <c r="O564" s="36">
        <v>927</v>
      </c>
      <c r="P564" s="1">
        <v>2</v>
      </c>
      <c r="Q564" s="1" t="s">
        <v>2774</v>
      </c>
      <c r="R564" s="1" t="s">
        <v>2775</v>
      </c>
    </row>
    <row r="565" spans="1:18">
      <c r="A565" s="23">
        <v>564</v>
      </c>
      <c r="B565" s="27">
        <f t="shared" si="9"/>
        <v>98652455101</v>
      </c>
      <c r="C565" s="23" t="s">
        <v>735</v>
      </c>
      <c r="D565" s="28">
        <v>98600000</v>
      </c>
      <c r="E565" s="23" t="s">
        <v>735</v>
      </c>
      <c r="F565" s="28">
        <v>98000000</v>
      </c>
      <c r="G565" s="23" t="s">
        <v>985</v>
      </c>
      <c r="H565" s="28">
        <v>98652000</v>
      </c>
      <c r="I565" s="30" t="s">
        <v>2711</v>
      </c>
      <c r="J565" s="23" t="s">
        <v>2776</v>
      </c>
      <c r="K565" s="23" t="s">
        <v>754</v>
      </c>
      <c r="L565" s="23" t="str">
        <f>VLOOKUP(K565,Матрицы!B:C,2,0)</f>
        <v>село</v>
      </c>
      <c r="M565" s="31" t="s">
        <v>2777</v>
      </c>
      <c r="N565" s="28">
        <v>98652455101</v>
      </c>
      <c r="O565" s="36">
        <v>631</v>
      </c>
      <c r="P565" s="1">
        <v>2</v>
      </c>
      <c r="Q565" s="1" t="s">
        <v>2778</v>
      </c>
      <c r="R565" s="1" t="s">
        <v>2779</v>
      </c>
    </row>
    <row r="566" spans="1:18">
      <c r="A566" s="23">
        <v>565</v>
      </c>
      <c r="B566" s="27">
        <f t="shared" si="9"/>
        <v>98652455106</v>
      </c>
      <c r="C566" s="23" t="s">
        <v>735</v>
      </c>
      <c r="D566" s="28">
        <v>98600000</v>
      </c>
      <c r="E566" s="23" t="s">
        <v>735</v>
      </c>
      <c r="F566" s="28">
        <v>98000000</v>
      </c>
      <c r="G566" s="23" t="s">
        <v>985</v>
      </c>
      <c r="H566" s="28">
        <v>98652000</v>
      </c>
      <c r="I566" s="30" t="s">
        <v>2711</v>
      </c>
      <c r="J566" s="23" t="s">
        <v>2776</v>
      </c>
      <c r="K566" s="23" t="s">
        <v>754</v>
      </c>
      <c r="L566" s="23" t="str">
        <f>VLOOKUP(K566,Матрицы!B:C,2,0)</f>
        <v>село</v>
      </c>
      <c r="M566" s="31" t="s">
        <v>856</v>
      </c>
      <c r="N566" s="28">
        <v>98652455106</v>
      </c>
      <c r="O566" s="36">
        <v>337</v>
      </c>
      <c r="P566" s="1">
        <v>2</v>
      </c>
      <c r="Q566" s="1" t="s">
        <v>2780</v>
      </c>
      <c r="R566" s="1" t="s">
        <v>2781</v>
      </c>
    </row>
    <row r="567" spans="1:18">
      <c r="A567" s="23">
        <v>566</v>
      </c>
      <c r="B567" s="27">
        <f t="shared" si="9"/>
        <v>98652460101</v>
      </c>
      <c r="C567" s="23" t="s">
        <v>735</v>
      </c>
      <c r="D567" s="28">
        <v>98600000</v>
      </c>
      <c r="E567" s="23" t="s">
        <v>735</v>
      </c>
      <c r="F567" s="28">
        <v>98000000</v>
      </c>
      <c r="G567" s="23" t="s">
        <v>985</v>
      </c>
      <c r="H567" s="28">
        <v>98652000</v>
      </c>
      <c r="I567" s="30" t="s">
        <v>2711</v>
      </c>
      <c r="J567" s="23" t="s">
        <v>2782</v>
      </c>
      <c r="K567" s="23" t="s">
        <v>754</v>
      </c>
      <c r="L567" s="23" t="str">
        <f>VLOOKUP(K567,Матрицы!B:C,2,0)</f>
        <v>село</v>
      </c>
      <c r="M567" s="31" t="s">
        <v>2783</v>
      </c>
      <c r="N567" s="28">
        <v>98652460101</v>
      </c>
      <c r="O567" s="36">
        <v>583</v>
      </c>
      <c r="P567" s="1">
        <v>2</v>
      </c>
      <c r="Q567" s="1" t="s">
        <v>2784</v>
      </c>
      <c r="R567" s="1" t="s">
        <v>2785</v>
      </c>
    </row>
    <row r="568" spans="1:18">
      <c r="A568" s="23">
        <v>567</v>
      </c>
      <c r="B568" s="27">
        <f t="shared" si="9"/>
        <v>98652465101</v>
      </c>
      <c r="C568" s="23" t="s">
        <v>735</v>
      </c>
      <c r="D568" s="28">
        <v>98600000</v>
      </c>
      <c r="E568" s="23" t="s">
        <v>735</v>
      </c>
      <c r="F568" s="28">
        <v>98000000</v>
      </c>
      <c r="G568" s="23" t="s">
        <v>985</v>
      </c>
      <c r="H568" s="28">
        <v>98652000</v>
      </c>
      <c r="I568" s="30" t="s">
        <v>2711</v>
      </c>
      <c r="J568" s="23" t="s">
        <v>2786</v>
      </c>
      <c r="K568" s="23" t="s">
        <v>754</v>
      </c>
      <c r="L568" s="23" t="str">
        <f>VLOOKUP(K568,Матрицы!B:C,2,0)</f>
        <v>село</v>
      </c>
      <c r="M568" s="31" t="s">
        <v>2787</v>
      </c>
      <c r="N568" s="28">
        <v>98652465101</v>
      </c>
      <c r="O568" s="36">
        <v>238</v>
      </c>
      <c r="P568" s="1">
        <v>2</v>
      </c>
      <c r="Q568" s="1" t="s">
        <v>2788</v>
      </c>
      <c r="R568" s="1" t="s">
        <v>2789</v>
      </c>
    </row>
    <row r="569" spans="1:18">
      <c r="A569" s="23">
        <v>568</v>
      </c>
      <c r="B569" s="27">
        <f t="shared" si="9"/>
        <v>98652467101</v>
      </c>
      <c r="C569" s="23" t="s">
        <v>735</v>
      </c>
      <c r="D569" s="28">
        <v>98600000</v>
      </c>
      <c r="E569" s="23" t="s">
        <v>735</v>
      </c>
      <c r="F569" s="28">
        <v>98000000</v>
      </c>
      <c r="G569" s="23" t="s">
        <v>985</v>
      </c>
      <c r="H569" s="28">
        <v>98652000</v>
      </c>
      <c r="I569" s="30" t="s">
        <v>2711</v>
      </c>
      <c r="J569" s="23" t="s">
        <v>2790</v>
      </c>
      <c r="K569" s="23" t="s">
        <v>754</v>
      </c>
      <c r="L569" s="23" t="str">
        <f>VLOOKUP(K569,Матрицы!B:C,2,0)</f>
        <v>село</v>
      </c>
      <c r="M569" s="31" t="s">
        <v>1303</v>
      </c>
      <c r="N569" s="28">
        <v>98652467101</v>
      </c>
      <c r="O569" s="36">
        <v>570</v>
      </c>
      <c r="P569" s="1">
        <v>2</v>
      </c>
      <c r="Q569" s="1" t="s">
        <v>2791</v>
      </c>
      <c r="R569" s="1" t="s">
        <v>2792</v>
      </c>
    </row>
    <row r="570" spans="1:18">
      <c r="A570" s="23">
        <v>569</v>
      </c>
      <c r="B570" s="27">
        <f t="shared" si="9"/>
        <v>98652470101</v>
      </c>
      <c r="C570" s="23" t="s">
        <v>735</v>
      </c>
      <c r="D570" s="28">
        <v>98600000</v>
      </c>
      <c r="E570" s="23" t="s">
        <v>735</v>
      </c>
      <c r="F570" s="28">
        <v>98000000</v>
      </c>
      <c r="G570" s="23" t="s">
        <v>985</v>
      </c>
      <c r="H570" s="28">
        <v>98652000</v>
      </c>
      <c r="I570" s="30" t="s">
        <v>2711</v>
      </c>
      <c r="J570" s="23" t="s">
        <v>2793</v>
      </c>
      <c r="K570" s="23" t="s">
        <v>754</v>
      </c>
      <c r="L570" s="23" t="str">
        <f>VLOOKUP(K570,Матрицы!B:C,2,0)</f>
        <v>село</v>
      </c>
      <c r="M570" s="31" t="s">
        <v>2794</v>
      </c>
      <c r="N570" s="28">
        <v>98652470101</v>
      </c>
      <c r="O570" s="36">
        <v>960</v>
      </c>
      <c r="P570" s="1">
        <v>2</v>
      </c>
      <c r="Q570" s="1" t="s">
        <v>2795</v>
      </c>
      <c r="R570" s="1" t="s">
        <v>2796</v>
      </c>
    </row>
    <row r="571" spans="1:18">
      <c r="A571" s="23">
        <v>570</v>
      </c>
      <c r="B571" s="27">
        <f t="shared" si="9"/>
        <v>98652470106</v>
      </c>
      <c r="C571" s="23" t="s">
        <v>735</v>
      </c>
      <c r="D571" s="28">
        <v>98600000</v>
      </c>
      <c r="E571" s="23" t="s">
        <v>735</v>
      </c>
      <c r="F571" s="28">
        <v>98000000</v>
      </c>
      <c r="G571" s="23" t="s">
        <v>985</v>
      </c>
      <c r="H571" s="28">
        <v>98652000</v>
      </c>
      <c r="I571" s="30" t="s">
        <v>2711</v>
      </c>
      <c r="J571" s="23" t="s">
        <v>2793</v>
      </c>
      <c r="K571" s="23" t="s">
        <v>754</v>
      </c>
      <c r="L571" s="23" t="str">
        <f>VLOOKUP(K571,Матрицы!B:C,2,0)</f>
        <v>село</v>
      </c>
      <c r="M571" s="31" t="s">
        <v>2797</v>
      </c>
      <c r="N571" s="28">
        <v>98652470106</v>
      </c>
      <c r="O571" s="36">
        <v>108</v>
      </c>
      <c r="P571" s="1">
        <v>2</v>
      </c>
      <c r="Q571" s="1" t="s">
        <v>2798</v>
      </c>
      <c r="R571" s="1" t="s">
        <v>2799</v>
      </c>
    </row>
    <row r="572" spans="1:18">
      <c r="A572" s="23">
        <v>571</v>
      </c>
      <c r="B572" s="27">
        <f t="shared" si="9"/>
        <v>98652470111</v>
      </c>
      <c r="C572" s="23" t="s">
        <v>735</v>
      </c>
      <c r="D572" s="28">
        <v>98600000</v>
      </c>
      <c r="E572" s="23" t="s">
        <v>735</v>
      </c>
      <c r="F572" s="28">
        <v>98000000</v>
      </c>
      <c r="G572" s="23" t="s">
        <v>985</v>
      </c>
      <c r="H572" s="28">
        <v>98652000</v>
      </c>
      <c r="I572" s="30" t="s">
        <v>2711</v>
      </c>
      <c r="J572" s="23" t="s">
        <v>2793</v>
      </c>
      <c r="K572" s="23" t="s">
        <v>754</v>
      </c>
      <c r="L572" s="23" t="str">
        <f>VLOOKUP(K572,Матрицы!B:C,2,0)</f>
        <v>село</v>
      </c>
      <c r="M572" s="31" t="s">
        <v>2800</v>
      </c>
      <c r="N572" s="28">
        <v>98652470111</v>
      </c>
      <c r="O572" s="36">
        <v>675</v>
      </c>
      <c r="P572" s="1">
        <v>2</v>
      </c>
      <c r="Q572" s="1" t="s">
        <v>2801</v>
      </c>
      <c r="R572" s="1" t="s">
        <v>2802</v>
      </c>
    </row>
    <row r="573" spans="1:18">
      <c r="A573" s="23">
        <v>572</v>
      </c>
      <c r="B573" s="27">
        <f t="shared" si="9"/>
        <v>98652472101</v>
      </c>
      <c r="C573" s="23" t="s">
        <v>735</v>
      </c>
      <c r="D573" s="28">
        <v>98600000</v>
      </c>
      <c r="E573" s="23" t="s">
        <v>735</v>
      </c>
      <c r="F573" s="28">
        <v>98000000</v>
      </c>
      <c r="G573" s="23" t="s">
        <v>985</v>
      </c>
      <c r="H573" s="28">
        <v>98652000</v>
      </c>
      <c r="I573" s="30" t="s">
        <v>2711</v>
      </c>
      <c r="J573" s="23" t="s">
        <v>2803</v>
      </c>
      <c r="K573" s="23" t="s">
        <v>754</v>
      </c>
      <c r="L573" s="23" t="str">
        <f>VLOOKUP(K573,Матрицы!B:C,2,0)</f>
        <v>село</v>
      </c>
      <c r="M573" s="31" t="s">
        <v>2473</v>
      </c>
      <c r="N573" s="28">
        <v>98652472101</v>
      </c>
      <c r="O573" s="36">
        <v>282</v>
      </c>
      <c r="P573" s="1">
        <v>2</v>
      </c>
      <c r="Q573" s="1" t="s">
        <v>2804</v>
      </c>
      <c r="R573" s="1" t="s">
        <v>2805</v>
      </c>
    </row>
    <row r="574" spans="1:18">
      <c r="A574" s="23">
        <v>573</v>
      </c>
      <c r="B574" s="27">
        <f t="shared" si="9"/>
        <v>98652473101</v>
      </c>
      <c r="C574" s="23" t="s">
        <v>735</v>
      </c>
      <c r="D574" s="28">
        <v>98600000</v>
      </c>
      <c r="E574" s="23" t="s">
        <v>735</v>
      </c>
      <c r="F574" s="28">
        <v>98000000</v>
      </c>
      <c r="G574" s="23" t="s">
        <v>985</v>
      </c>
      <c r="H574" s="28">
        <v>98652000</v>
      </c>
      <c r="I574" s="30" t="s">
        <v>2711</v>
      </c>
      <c r="J574" s="23" t="s">
        <v>2806</v>
      </c>
      <c r="K574" s="23" t="s">
        <v>754</v>
      </c>
      <c r="L574" s="23" t="str">
        <f>VLOOKUP(K574,Матрицы!B:C,2,0)</f>
        <v>село</v>
      </c>
      <c r="M574" s="31" t="s">
        <v>2807</v>
      </c>
      <c r="N574" s="28">
        <v>98652473101</v>
      </c>
      <c r="O574" s="36">
        <v>573</v>
      </c>
      <c r="P574" s="1">
        <v>2</v>
      </c>
      <c r="Q574" s="1" t="s">
        <v>2808</v>
      </c>
      <c r="R574" s="1" t="s">
        <v>2809</v>
      </c>
    </row>
    <row r="575" spans="1:18">
      <c r="A575" s="23">
        <v>574</v>
      </c>
      <c r="B575" s="27">
        <f t="shared" si="9"/>
        <v>98652475101</v>
      </c>
      <c r="C575" s="23" t="s">
        <v>735</v>
      </c>
      <c r="D575" s="28">
        <v>98600000</v>
      </c>
      <c r="E575" s="23" t="s">
        <v>735</v>
      </c>
      <c r="F575" s="28">
        <v>98000000</v>
      </c>
      <c r="G575" s="23" t="s">
        <v>985</v>
      </c>
      <c r="H575" s="28">
        <v>98652000</v>
      </c>
      <c r="I575" s="30" t="s">
        <v>2711</v>
      </c>
      <c r="J575" s="23" t="s">
        <v>2810</v>
      </c>
      <c r="K575" s="23" t="s">
        <v>754</v>
      </c>
      <c r="L575" s="23" t="str">
        <f>VLOOKUP(K575,Матрицы!B:C,2,0)</f>
        <v>село</v>
      </c>
      <c r="M575" s="31" t="s">
        <v>2811</v>
      </c>
      <c r="N575" s="28">
        <v>98652475101</v>
      </c>
      <c r="O575" s="36">
        <v>454</v>
      </c>
      <c r="P575" s="1">
        <v>2</v>
      </c>
      <c r="Q575" s="1" t="s">
        <v>1988</v>
      </c>
      <c r="R575" s="1" t="s">
        <v>2812</v>
      </c>
    </row>
    <row r="576" spans="1:18">
      <c r="A576" s="23">
        <v>575</v>
      </c>
      <c r="B576" s="27">
        <f t="shared" si="9"/>
        <v>98652480101</v>
      </c>
      <c r="C576" s="23" t="s">
        <v>735</v>
      </c>
      <c r="D576" s="28">
        <v>98600000</v>
      </c>
      <c r="E576" s="23" t="s">
        <v>735</v>
      </c>
      <c r="F576" s="28">
        <v>98000000</v>
      </c>
      <c r="G576" s="23" t="s">
        <v>985</v>
      </c>
      <c r="H576" s="28">
        <v>98652000</v>
      </c>
      <c r="I576" s="30" t="s">
        <v>2711</v>
      </c>
      <c r="J576" s="23" t="s">
        <v>1293</v>
      </c>
      <c r="K576" s="23" t="s">
        <v>754</v>
      </c>
      <c r="L576" s="23" t="str">
        <f>VLOOKUP(K576,Матрицы!B:C,2,0)</f>
        <v>село</v>
      </c>
      <c r="M576" s="31" t="s">
        <v>2813</v>
      </c>
      <c r="N576" s="28">
        <v>98652480101</v>
      </c>
      <c r="O576" s="36">
        <v>600</v>
      </c>
      <c r="P576" s="1">
        <v>2</v>
      </c>
      <c r="Q576" s="1" t="s">
        <v>2814</v>
      </c>
      <c r="R576" s="1" t="s">
        <v>2815</v>
      </c>
    </row>
    <row r="577" spans="1:18">
      <c r="A577" s="23">
        <v>576</v>
      </c>
      <c r="B577" s="27">
        <f t="shared" si="9"/>
        <v>98652485101</v>
      </c>
      <c r="C577" s="23" t="s">
        <v>735</v>
      </c>
      <c r="D577" s="28">
        <v>98600000</v>
      </c>
      <c r="E577" s="23" t="s">
        <v>735</v>
      </c>
      <c r="F577" s="28">
        <v>98000000</v>
      </c>
      <c r="G577" s="23" t="s">
        <v>985</v>
      </c>
      <c r="H577" s="28">
        <v>98652000</v>
      </c>
      <c r="I577" s="30" t="s">
        <v>2711</v>
      </c>
      <c r="J577" s="23" t="s">
        <v>2816</v>
      </c>
      <c r="K577" s="23" t="s">
        <v>754</v>
      </c>
      <c r="L577" s="23" t="str">
        <f>VLOOKUP(K577,Матрицы!B:C,2,0)</f>
        <v>село</v>
      </c>
      <c r="M577" s="31" t="s">
        <v>2817</v>
      </c>
      <c r="N577" s="28">
        <v>98652485101</v>
      </c>
      <c r="O577" s="36">
        <v>462</v>
      </c>
      <c r="P577" s="1">
        <v>2</v>
      </c>
      <c r="Q577" s="1" t="s">
        <v>2818</v>
      </c>
      <c r="R577" s="1" t="s">
        <v>2819</v>
      </c>
    </row>
    <row r="578" spans="1:18">
      <c r="A578" s="23">
        <v>577</v>
      </c>
      <c r="B578" s="27">
        <f t="shared" si="9"/>
        <v>98652490101</v>
      </c>
      <c r="C578" s="23" t="s">
        <v>735</v>
      </c>
      <c r="D578" s="28">
        <v>98600000</v>
      </c>
      <c r="E578" s="23" t="s">
        <v>735</v>
      </c>
      <c r="F578" s="28">
        <v>98000000</v>
      </c>
      <c r="G578" s="23" t="s">
        <v>985</v>
      </c>
      <c r="H578" s="28">
        <v>98652000</v>
      </c>
      <c r="I578" s="30" t="s">
        <v>2711</v>
      </c>
      <c r="J578" s="23" t="s">
        <v>2820</v>
      </c>
      <c r="K578" s="23" t="s">
        <v>754</v>
      </c>
      <c r="L578" s="23" t="str">
        <f>VLOOKUP(K578,Матрицы!B:C,2,0)</f>
        <v>село</v>
      </c>
      <c r="M578" s="31" t="s">
        <v>2395</v>
      </c>
      <c r="N578" s="28">
        <v>98652490101</v>
      </c>
      <c r="O578" s="36">
        <v>663</v>
      </c>
      <c r="P578" s="1">
        <v>2</v>
      </c>
      <c r="Q578" s="1" t="s">
        <v>2821</v>
      </c>
      <c r="R578" s="1" t="s">
        <v>2822</v>
      </c>
    </row>
    <row r="579" spans="1:18">
      <c r="A579" s="23">
        <v>578</v>
      </c>
      <c r="B579" s="27">
        <f t="shared" si="9"/>
        <v>98654151051</v>
      </c>
      <c r="C579" s="23" t="s">
        <v>735</v>
      </c>
      <c r="D579" s="28">
        <v>98600000</v>
      </c>
      <c r="E579" s="23" t="s">
        <v>735</v>
      </c>
      <c r="F579" s="28">
        <v>98000000</v>
      </c>
      <c r="G579" s="30" t="s">
        <v>989</v>
      </c>
      <c r="H579" s="28">
        <v>98654000</v>
      </c>
      <c r="I579" s="30" t="s">
        <v>2823</v>
      </c>
      <c r="J579" s="23" t="s">
        <v>2824</v>
      </c>
      <c r="K579" s="23" t="s">
        <v>819</v>
      </c>
      <c r="L579" s="23" t="str">
        <f>VLOOKUP(K579,Матрицы!B:C,2,0)</f>
        <v>поселок</v>
      </c>
      <c r="M579" s="31" t="s">
        <v>2825</v>
      </c>
      <c r="N579" s="28">
        <v>98654151051</v>
      </c>
      <c r="O579" s="36">
        <v>2516</v>
      </c>
      <c r="P579" s="1">
        <v>1</v>
      </c>
      <c r="Q579" s="1" t="s">
        <v>2826</v>
      </c>
      <c r="R579" s="1" t="s">
        <v>2827</v>
      </c>
    </row>
    <row r="580" spans="1:18">
      <c r="A580" s="23">
        <v>579</v>
      </c>
      <c r="B580" s="27">
        <f t="shared" ref="B580:B643" si="10">N580</f>
        <v>98654151106</v>
      </c>
      <c r="C580" s="23" t="s">
        <v>735</v>
      </c>
      <c r="D580" s="28">
        <v>98600000</v>
      </c>
      <c r="E580" s="23" t="s">
        <v>735</v>
      </c>
      <c r="F580" s="28">
        <v>98000000</v>
      </c>
      <c r="G580" s="30" t="s">
        <v>989</v>
      </c>
      <c r="H580" s="28">
        <v>98654000</v>
      </c>
      <c r="I580" s="30" t="s">
        <v>2823</v>
      </c>
      <c r="J580" s="23" t="s">
        <v>2824</v>
      </c>
      <c r="K580" s="23" t="s">
        <v>754</v>
      </c>
      <c r="L580" s="23" t="str">
        <f>VLOOKUP(K580,Матрицы!B:C,2,0)</f>
        <v>село</v>
      </c>
      <c r="M580" s="31" t="s">
        <v>438</v>
      </c>
      <c r="N580" s="28">
        <v>98654151106</v>
      </c>
      <c r="O580" s="36">
        <v>23</v>
      </c>
      <c r="P580" s="1">
        <v>2</v>
      </c>
      <c r="Q580" s="1" t="s">
        <v>2828</v>
      </c>
      <c r="R580" s="1" t="s">
        <v>2829</v>
      </c>
    </row>
    <row r="581" spans="1:18">
      <c r="A581" s="23">
        <v>580</v>
      </c>
      <c r="B581" s="27">
        <f t="shared" si="10"/>
        <v>98654156051</v>
      </c>
      <c r="C581" s="23" t="s">
        <v>735</v>
      </c>
      <c r="D581" s="28">
        <v>98600000</v>
      </c>
      <c r="E581" s="23" t="s">
        <v>735</v>
      </c>
      <c r="F581" s="28">
        <v>98000000</v>
      </c>
      <c r="G581" s="30" t="s">
        <v>989</v>
      </c>
      <c r="H581" s="28">
        <v>98654000</v>
      </c>
      <c r="I581" s="30" t="s">
        <v>2823</v>
      </c>
      <c r="J581" s="23" t="s">
        <v>2830</v>
      </c>
      <c r="K581" s="23" t="s">
        <v>819</v>
      </c>
      <c r="L581" s="23" t="str">
        <f>VLOOKUP(K581,Матрицы!B:C,2,0)</f>
        <v>поселок</v>
      </c>
      <c r="M581" s="31" t="s">
        <v>2831</v>
      </c>
      <c r="N581" s="28">
        <v>98654156051</v>
      </c>
      <c r="O581" s="36">
        <v>268</v>
      </c>
      <c r="P581" s="1">
        <v>1</v>
      </c>
      <c r="Q581" s="1" t="s">
        <v>2832</v>
      </c>
      <c r="R581" s="1" t="s">
        <v>2833</v>
      </c>
    </row>
    <row r="582" spans="1:18">
      <c r="A582" s="23">
        <v>581</v>
      </c>
      <c r="B582" s="27">
        <f t="shared" si="10"/>
        <v>98654158051</v>
      </c>
      <c r="C582" s="23" t="s">
        <v>735</v>
      </c>
      <c r="D582" s="28">
        <v>98600000</v>
      </c>
      <c r="E582" s="23" t="s">
        <v>735</v>
      </c>
      <c r="F582" s="28">
        <v>98000000</v>
      </c>
      <c r="G582" s="30" t="s">
        <v>989</v>
      </c>
      <c r="H582" s="28">
        <v>98654000</v>
      </c>
      <c r="I582" s="30" t="s">
        <v>2823</v>
      </c>
      <c r="J582" s="23" t="s">
        <v>2834</v>
      </c>
      <c r="K582" s="23" t="s">
        <v>819</v>
      </c>
      <c r="L582" s="23" t="str">
        <f>VLOOKUP(K582,Матрицы!B:C,2,0)</f>
        <v>поселок</v>
      </c>
      <c r="M582" s="31" t="s">
        <v>2835</v>
      </c>
      <c r="N582" s="28">
        <v>98654158051</v>
      </c>
      <c r="O582" s="36">
        <v>700</v>
      </c>
      <c r="P582" s="1">
        <v>1</v>
      </c>
      <c r="Q582" s="1" t="s">
        <v>2836</v>
      </c>
      <c r="R582" s="1" t="s">
        <v>2837</v>
      </c>
    </row>
    <row r="583" spans="1:18">
      <c r="A583" s="23">
        <v>582</v>
      </c>
      <c r="B583" s="27">
        <f t="shared" si="10"/>
        <v>98654158106</v>
      </c>
      <c r="C583" s="23" t="s">
        <v>735</v>
      </c>
      <c r="D583" s="28">
        <v>98600000</v>
      </c>
      <c r="E583" s="23" t="s">
        <v>735</v>
      </c>
      <c r="F583" s="28">
        <v>98000000</v>
      </c>
      <c r="G583" s="30" t="s">
        <v>989</v>
      </c>
      <c r="H583" s="28">
        <v>98654000</v>
      </c>
      <c r="I583" s="30" t="s">
        <v>2823</v>
      </c>
      <c r="J583" s="23" t="s">
        <v>2834</v>
      </c>
      <c r="K583" s="23" t="s">
        <v>754</v>
      </c>
      <c r="L583" s="23" t="str">
        <f>VLOOKUP(K583,Матрицы!B:C,2,0)</f>
        <v>село</v>
      </c>
      <c r="M583" s="31" t="s">
        <v>2838</v>
      </c>
      <c r="N583" s="28">
        <v>98654158106</v>
      </c>
      <c r="O583" s="32">
        <v>0</v>
      </c>
      <c r="P583" s="1">
        <v>2</v>
      </c>
      <c r="Q583" s="1" t="s">
        <v>2839</v>
      </c>
      <c r="R583" s="1" t="s">
        <v>2840</v>
      </c>
    </row>
    <row r="584" spans="1:18">
      <c r="A584" s="23">
        <v>583</v>
      </c>
      <c r="B584" s="27">
        <f t="shared" si="10"/>
        <v>98654164051</v>
      </c>
      <c r="C584" s="23" t="s">
        <v>735</v>
      </c>
      <c r="D584" s="28">
        <v>98600000</v>
      </c>
      <c r="E584" s="23" t="s">
        <v>735</v>
      </c>
      <c r="F584" s="28">
        <v>98000000</v>
      </c>
      <c r="G584" s="30" t="s">
        <v>989</v>
      </c>
      <c r="H584" s="28">
        <v>98654000</v>
      </c>
      <c r="I584" s="30" t="s">
        <v>2823</v>
      </c>
      <c r="J584" s="23" t="s">
        <v>2841</v>
      </c>
      <c r="K584" s="23" t="s">
        <v>819</v>
      </c>
      <c r="L584" s="23" t="str">
        <f>VLOOKUP(K584,Матрицы!B:C,2,0)</f>
        <v>поселок</v>
      </c>
      <c r="M584" s="31" t="s">
        <v>345</v>
      </c>
      <c r="N584" s="28">
        <v>98654164051</v>
      </c>
      <c r="O584" s="36">
        <v>1035</v>
      </c>
      <c r="P584" s="1">
        <v>1</v>
      </c>
      <c r="Q584" s="1" t="s">
        <v>2842</v>
      </c>
      <c r="R584" s="1" t="s">
        <v>2843</v>
      </c>
    </row>
    <row r="585" spans="1:18">
      <c r="A585" s="23">
        <v>584</v>
      </c>
      <c r="B585" s="27">
        <f t="shared" si="10"/>
        <v>98654164106</v>
      </c>
      <c r="C585" s="23" t="s">
        <v>735</v>
      </c>
      <c r="D585" s="28">
        <v>98600000</v>
      </c>
      <c r="E585" s="23" t="s">
        <v>735</v>
      </c>
      <c r="F585" s="28">
        <v>98000000</v>
      </c>
      <c r="G585" s="30" t="s">
        <v>989</v>
      </c>
      <c r="H585" s="28">
        <v>98654000</v>
      </c>
      <c r="I585" s="30" t="s">
        <v>2823</v>
      </c>
      <c r="J585" s="23" t="s">
        <v>2841</v>
      </c>
      <c r="K585" s="23" t="s">
        <v>754</v>
      </c>
      <c r="L585" s="23" t="str">
        <f>VLOOKUP(K585,Матрицы!B:C,2,0)</f>
        <v>село</v>
      </c>
      <c r="M585" s="31" t="s">
        <v>2844</v>
      </c>
      <c r="N585" s="28">
        <v>98654164106</v>
      </c>
      <c r="O585" s="32">
        <v>0</v>
      </c>
      <c r="P585" s="1">
        <v>2</v>
      </c>
      <c r="Q585" s="1" t="s">
        <v>2845</v>
      </c>
      <c r="R585" s="1" t="s">
        <v>2846</v>
      </c>
    </row>
    <row r="586" spans="1:18">
      <c r="A586" s="23">
        <v>585</v>
      </c>
      <c r="B586" s="27">
        <f t="shared" si="10"/>
        <v>98654166051</v>
      </c>
      <c r="C586" s="23" t="s">
        <v>735</v>
      </c>
      <c r="D586" s="28">
        <v>98600000</v>
      </c>
      <c r="E586" s="23" t="s">
        <v>735</v>
      </c>
      <c r="F586" s="28">
        <v>98000000</v>
      </c>
      <c r="G586" s="30" t="s">
        <v>989</v>
      </c>
      <c r="H586" s="28">
        <v>98654000</v>
      </c>
      <c r="I586" s="30" t="s">
        <v>2823</v>
      </c>
      <c r="J586" s="23" t="s">
        <v>887</v>
      </c>
      <c r="K586" s="23" t="s">
        <v>819</v>
      </c>
      <c r="L586" s="23" t="str">
        <f>VLOOKUP(K586,Матрицы!B:C,2,0)</f>
        <v>поселок</v>
      </c>
      <c r="M586" s="31" t="s">
        <v>888</v>
      </c>
      <c r="N586" s="28">
        <v>98654166051</v>
      </c>
      <c r="O586" s="36">
        <v>325</v>
      </c>
      <c r="P586" s="1">
        <v>1</v>
      </c>
      <c r="Q586" s="11" t="s">
        <v>2847</v>
      </c>
      <c r="R586" s="11" t="s">
        <v>2848</v>
      </c>
    </row>
    <row r="587" spans="1:18">
      <c r="A587" s="23">
        <v>586</v>
      </c>
      <c r="B587" s="27">
        <f t="shared" si="10"/>
        <v>98654405101</v>
      </c>
      <c r="C587" s="23" t="s">
        <v>735</v>
      </c>
      <c r="D587" s="28">
        <v>98600000</v>
      </c>
      <c r="E587" s="23" t="s">
        <v>735</v>
      </c>
      <c r="F587" s="28">
        <v>98000000</v>
      </c>
      <c r="G587" s="30" t="s">
        <v>989</v>
      </c>
      <c r="H587" s="28">
        <v>98654000</v>
      </c>
      <c r="I587" s="30" t="s">
        <v>2849</v>
      </c>
      <c r="J587" s="23" t="s">
        <v>893</v>
      </c>
      <c r="K587" s="23" t="s">
        <v>754</v>
      </c>
      <c r="L587" s="23" t="str">
        <f>VLOOKUP(K587,Матрицы!B:C,2,0)</f>
        <v>село</v>
      </c>
      <c r="M587" s="31" t="s">
        <v>333</v>
      </c>
      <c r="N587" s="28">
        <v>98654405101</v>
      </c>
      <c r="O587" s="36">
        <v>171</v>
      </c>
      <c r="P587" s="1">
        <v>2</v>
      </c>
      <c r="Q587" s="11" t="s">
        <v>2850</v>
      </c>
      <c r="R587" s="11" t="s">
        <v>2851</v>
      </c>
    </row>
    <row r="588" spans="1:18">
      <c r="A588" s="23">
        <v>587</v>
      </c>
      <c r="B588" s="27">
        <f t="shared" si="10"/>
        <v>98654410101</v>
      </c>
      <c r="C588" s="23" t="s">
        <v>735</v>
      </c>
      <c r="D588" s="28">
        <v>98600000</v>
      </c>
      <c r="E588" s="23" t="s">
        <v>735</v>
      </c>
      <c r="F588" s="28">
        <v>98000000</v>
      </c>
      <c r="G588" s="30" t="s">
        <v>989</v>
      </c>
      <c r="H588" s="28">
        <v>98654000</v>
      </c>
      <c r="I588" s="30" t="s">
        <v>2849</v>
      </c>
      <c r="J588" s="23" t="s">
        <v>2852</v>
      </c>
      <c r="K588" s="23" t="s">
        <v>754</v>
      </c>
      <c r="L588" s="23" t="str">
        <f>VLOOKUP(K588,Матрицы!B:C,2,0)</f>
        <v>село</v>
      </c>
      <c r="M588" s="31" t="s">
        <v>2853</v>
      </c>
      <c r="N588" s="28">
        <v>98654410101</v>
      </c>
      <c r="O588" s="36">
        <v>502</v>
      </c>
      <c r="P588" s="1">
        <v>2</v>
      </c>
      <c r="Q588" s="1" t="s">
        <v>2854</v>
      </c>
      <c r="R588" s="1" t="s">
        <v>2855</v>
      </c>
    </row>
    <row r="589" spans="1:18">
      <c r="A589" s="23">
        <v>588</v>
      </c>
      <c r="B589" s="27">
        <f t="shared" si="10"/>
        <v>98654410106</v>
      </c>
      <c r="C589" s="23" t="s">
        <v>735</v>
      </c>
      <c r="D589" s="28">
        <v>98600000</v>
      </c>
      <c r="E589" s="23" t="s">
        <v>735</v>
      </c>
      <c r="F589" s="28">
        <v>98000000</v>
      </c>
      <c r="G589" s="30" t="s">
        <v>989</v>
      </c>
      <c r="H589" s="28">
        <v>98654000</v>
      </c>
      <c r="I589" s="30" t="s">
        <v>2849</v>
      </c>
      <c r="J589" s="23" t="s">
        <v>2852</v>
      </c>
      <c r="K589" s="23" t="s">
        <v>754</v>
      </c>
      <c r="L589" s="23" t="str">
        <f>VLOOKUP(K589,Матрицы!B:C,2,0)</f>
        <v>село</v>
      </c>
      <c r="M589" s="31" t="s">
        <v>873</v>
      </c>
      <c r="N589" s="28">
        <v>98654410106</v>
      </c>
      <c r="O589" s="36">
        <v>56</v>
      </c>
      <c r="P589" s="1">
        <v>2</v>
      </c>
      <c r="Q589" s="1" t="s">
        <v>2856</v>
      </c>
      <c r="R589" s="1" t="s">
        <v>2857</v>
      </c>
    </row>
    <row r="590" spans="1:18">
      <c r="A590" s="23">
        <v>589</v>
      </c>
      <c r="B590" s="27">
        <f t="shared" si="10"/>
        <v>98654415101</v>
      </c>
      <c r="C590" s="23" t="s">
        <v>735</v>
      </c>
      <c r="D590" s="28">
        <v>98600000</v>
      </c>
      <c r="E590" s="23" t="s">
        <v>735</v>
      </c>
      <c r="F590" s="28">
        <v>98000000</v>
      </c>
      <c r="G590" s="30" t="s">
        <v>989</v>
      </c>
      <c r="H590" s="28">
        <v>98654000</v>
      </c>
      <c r="I590" s="30" t="s">
        <v>2849</v>
      </c>
      <c r="J590" s="23" t="s">
        <v>898</v>
      </c>
      <c r="K590" s="23" t="s">
        <v>754</v>
      </c>
      <c r="L590" s="23" t="str">
        <f>VLOOKUP(K590,Матрицы!B:C,2,0)</f>
        <v>село</v>
      </c>
      <c r="M590" s="31" t="s">
        <v>336</v>
      </c>
      <c r="N590" s="28">
        <v>98654415101</v>
      </c>
      <c r="O590" s="36">
        <v>190</v>
      </c>
      <c r="P590" s="1">
        <v>2</v>
      </c>
      <c r="Q590" s="11" t="s">
        <v>2858</v>
      </c>
      <c r="R590" s="11" t="s">
        <v>2859</v>
      </c>
    </row>
    <row r="591" spans="1:18">
      <c r="A591" s="23">
        <v>590</v>
      </c>
      <c r="B591" s="27">
        <f t="shared" si="10"/>
        <v>98654420101</v>
      </c>
      <c r="C591" s="23" t="s">
        <v>735</v>
      </c>
      <c r="D591" s="28">
        <v>98600000</v>
      </c>
      <c r="E591" s="23" t="s">
        <v>735</v>
      </c>
      <c r="F591" s="28">
        <v>98000000</v>
      </c>
      <c r="G591" s="30" t="s">
        <v>989</v>
      </c>
      <c r="H591" s="28">
        <v>98654000</v>
      </c>
      <c r="I591" s="30" t="s">
        <v>2849</v>
      </c>
      <c r="J591" s="23" t="s">
        <v>2860</v>
      </c>
      <c r="K591" s="23" t="s">
        <v>754</v>
      </c>
      <c r="L591" s="23" t="str">
        <f>VLOOKUP(K591,Матрицы!B:C,2,0)</f>
        <v>село</v>
      </c>
      <c r="M591" s="31" t="s">
        <v>2861</v>
      </c>
      <c r="N591" s="28">
        <v>98654420101</v>
      </c>
      <c r="O591" s="36">
        <v>933</v>
      </c>
      <c r="P591" s="1">
        <v>2</v>
      </c>
      <c r="Q591" s="1" t="s">
        <v>2862</v>
      </c>
      <c r="R591" s="1" t="s">
        <v>2863</v>
      </c>
    </row>
    <row r="592" spans="1:18">
      <c r="A592" s="23">
        <v>591</v>
      </c>
      <c r="B592" s="27">
        <f t="shared" si="10"/>
        <v>98654420106</v>
      </c>
      <c r="C592" s="23" t="s">
        <v>735</v>
      </c>
      <c r="D592" s="28">
        <v>98600000</v>
      </c>
      <c r="E592" s="23" t="s">
        <v>735</v>
      </c>
      <c r="F592" s="28">
        <v>98000000</v>
      </c>
      <c r="G592" s="30" t="s">
        <v>989</v>
      </c>
      <c r="H592" s="28">
        <v>98654000</v>
      </c>
      <c r="I592" s="30" t="s">
        <v>2849</v>
      </c>
      <c r="J592" s="23" t="s">
        <v>2860</v>
      </c>
      <c r="K592" s="23" t="s">
        <v>754</v>
      </c>
      <c r="L592" s="23" t="str">
        <f>VLOOKUP(K592,Матрицы!B:C,2,0)</f>
        <v>село</v>
      </c>
      <c r="M592" s="31" t="s">
        <v>2329</v>
      </c>
      <c r="N592" s="28">
        <v>98654420106</v>
      </c>
      <c r="O592" s="36">
        <v>74</v>
      </c>
      <c r="P592" s="1">
        <v>2</v>
      </c>
      <c r="Q592" s="1" t="s">
        <v>2864</v>
      </c>
      <c r="R592" s="1" t="s">
        <v>2865</v>
      </c>
    </row>
    <row r="593" spans="1:18">
      <c r="A593" s="23">
        <v>592</v>
      </c>
      <c r="B593" s="27">
        <f t="shared" si="10"/>
        <v>98654425101</v>
      </c>
      <c r="C593" s="23" t="s">
        <v>735</v>
      </c>
      <c r="D593" s="28">
        <v>98600000</v>
      </c>
      <c r="E593" s="23" t="s">
        <v>735</v>
      </c>
      <c r="F593" s="28">
        <v>98000000</v>
      </c>
      <c r="G593" s="30" t="s">
        <v>989</v>
      </c>
      <c r="H593" s="28">
        <v>98654000</v>
      </c>
      <c r="I593" s="30" t="s">
        <v>2849</v>
      </c>
      <c r="J593" s="23" t="s">
        <v>2866</v>
      </c>
      <c r="K593" s="23" t="s">
        <v>754</v>
      </c>
      <c r="L593" s="23" t="str">
        <f>VLOOKUP(K593,Матрицы!B:C,2,0)</f>
        <v>село</v>
      </c>
      <c r="M593" s="31" t="s">
        <v>2867</v>
      </c>
      <c r="N593" s="28">
        <v>98654425101</v>
      </c>
      <c r="O593" s="36">
        <v>305</v>
      </c>
      <c r="P593" s="1">
        <v>2</v>
      </c>
      <c r="Q593" s="1" t="s">
        <v>1787</v>
      </c>
      <c r="R593" s="1" t="s">
        <v>2868</v>
      </c>
    </row>
    <row r="594" spans="1:18" ht="64.5" customHeight="1">
      <c r="A594" s="23">
        <v>593</v>
      </c>
      <c r="B594" s="29">
        <v>0</v>
      </c>
      <c r="C594" s="23" t="s">
        <v>735</v>
      </c>
      <c r="D594" s="28">
        <v>98600000</v>
      </c>
      <c r="E594" s="23" t="s">
        <v>735</v>
      </c>
      <c r="F594" s="28">
        <v>98000000</v>
      </c>
      <c r="G594" s="30" t="s">
        <v>989</v>
      </c>
      <c r="H594" s="28">
        <v>98654000</v>
      </c>
      <c r="I594" s="30" t="s">
        <v>2869</v>
      </c>
      <c r="J594" s="30" t="s">
        <v>2870</v>
      </c>
      <c r="K594" s="29">
        <v>0</v>
      </c>
      <c r="L594" s="29">
        <v>0</v>
      </c>
      <c r="M594" s="29">
        <v>0</v>
      </c>
      <c r="N594" s="29">
        <v>0</v>
      </c>
      <c r="O594" s="39">
        <v>0</v>
      </c>
      <c r="P594" s="1">
        <v>2</v>
      </c>
    </row>
    <row r="595" spans="1:18">
      <c r="A595" s="23">
        <v>594</v>
      </c>
      <c r="B595" s="27">
        <f t="shared" si="10"/>
        <v>98656151051</v>
      </c>
      <c r="C595" s="23" t="s">
        <v>735</v>
      </c>
      <c r="D595" s="28">
        <v>98600000</v>
      </c>
      <c r="E595" s="23" t="s">
        <v>735</v>
      </c>
      <c r="F595" s="28">
        <v>98000000</v>
      </c>
      <c r="G595" s="30" t="s">
        <v>994</v>
      </c>
      <c r="H595" s="28">
        <v>98656000</v>
      </c>
      <c r="I595" s="30" t="s">
        <v>2871</v>
      </c>
      <c r="J595" s="23" t="s">
        <v>2872</v>
      </c>
      <c r="K595" s="23" t="s">
        <v>819</v>
      </c>
      <c r="L595" s="23" t="str">
        <f>VLOOKUP(K595,Матрицы!B:C,2,0)</f>
        <v>поселок</v>
      </c>
      <c r="M595" s="31" t="s">
        <v>2873</v>
      </c>
      <c r="N595" s="28">
        <v>98656151051</v>
      </c>
      <c r="O595" s="36">
        <v>2637</v>
      </c>
      <c r="P595" s="1">
        <v>1</v>
      </c>
      <c r="Q595" s="1" t="s">
        <v>2874</v>
      </c>
      <c r="R595" s="1" t="s">
        <v>2875</v>
      </c>
    </row>
    <row r="596" spans="1:18">
      <c r="A596" s="23">
        <v>595</v>
      </c>
      <c r="B596" s="27">
        <f t="shared" si="10"/>
        <v>98656159051</v>
      </c>
      <c r="C596" s="23" t="s">
        <v>735</v>
      </c>
      <c r="D596" s="28">
        <v>98600000</v>
      </c>
      <c r="E596" s="23" t="s">
        <v>735</v>
      </c>
      <c r="F596" s="28">
        <v>98000000</v>
      </c>
      <c r="G596" s="30" t="s">
        <v>994</v>
      </c>
      <c r="H596" s="28">
        <v>98656000</v>
      </c>
      <c r="I596" s="30" t="s">
        <v>2871</v>
      </c>
      <c r="J596" s="23" t="s">
        <v>2876</v>
      </c>
      <c r="K596" s="23" t="s">
        <v>819</v>
      </c>
      <c r="L596" s="23" t="str">
        <f>VLOOKUP(K596,Матрицы!B:C,2,0)</f>
        <v>поселок</v>
      </c>
      <c r="M596" s="31" t="s">
        <v>607</v>
      </c>
      <c r="N596" s="28">
        <v>98656159051</v>
      </c>
      <c r="O596" s="36">
        <v>207</v>
      </c>
      <c r="P596" s="1">
        <v>1</v>
      </c>
      <c r="Q596" s="1" t="s">
        <v>2877</v>
      </c>
      <c r="R596" s="1" t="s">
        <v>2878</v>
      </c>
    </row>
    <row r="597" spans="1:18">
      <c r="A597" s="23">
        <v>596</v>
      </c>
      <c r="B597" s="27">
        <f t="shared" si="10"/>
        <v>98656165051</v>
      </c>
      <c r="C597" s="23" t="s">
        <v>735</v>
      </c>
      <c r="D597" s="28">
        <v>98600000</v>
      </c>
      <c r="E597" s="23" t="s">
        <v>735</v>
      </c>
      <c r="F597" s="28">
        <v>98000000</v>
      </c>
      <c r="G597" s="30" t="s">
        <v>994</v>
      </c>
      <c r="H597" s="28">
        <v>98656000</v>
      </c>
      <c r="I597" s="30" t="s">
        <v>2871</v>
      </c>
      <c r="J597" s="23" t="s">
        <v>2879</v>
      </c>
      <c r="K597" s="23" t="s">
        <v>819</v>
      </c>
      <c r="L597" s="23" t="str">
        <f>VLOOKUP(K597,Матрицы!B:C,2,0)</f>
        <v>поселок</v>
      </c>
      <c r="M597" s="31" t="s">
        <v>598</v>
      </c>
      <c r="N597" s="28">
        <v>98656165051</v>
      </c>
      <c r="O597" s="36">
        <v>680</v>
      </c>
      <c r="P597" s="1">
        <v>1</v>
      </c>
      <c r="Q597" s="1" t="s">
        <v>2880</v>
      </c>
      <c r="R597" s="1" t="s">
        <v>2881</v>
      </c>
    </row>
    <row r="598" spans="1:18">
      <c r="A598" s="23">
        <v>597</v>
      </c>
      <c r="B598" s="27">
        <f t="shared" si="10"/>
        <v>98656405101</v>
      </c>
      <c r="C598" s="23" t="s">
        <v>735</v>
      </c>
      <c r="D598" s="28">
        <v>98600000</v>
      </c>
      <c r="E598" s="23" t="s">
        <v>735</v>
      </c>
      <c r="F598" s="28">
        <v>98000000</v>
      </c>
      <c r="G598" s="30" t="s">
        <v>994</v>
      </c>
      <c r="H598" s="28">
        <v>98656000</v>
      </c>
      <c r="I598" s="30" t="s">
        <v>2882</v>
      </c>
      <c r="J598" s="23" t="s">
        <v>2883</v>
      </c>
      <c r="K598" s="23" t="s">
        <v>754</v>
      </c>
      <c r="L598" s="23" t="str">
        <f>VLOOKUP(K598,Матрицы!B:C,2,0)</f>
        <v>село</v>
      </c>
      <c r="M598" s="31" t="s">
        <v>2884</v>
      </c>
      <c r="N598" s="28">
        <v>98656405101</v>
      </c>
      <c r="O598" s="36">
        <v>1188</v>
      </c>
      <c r="P598" s="1">
        <v>2</v>
      </c>
      <c r="Q598" s="1" t="s">
        <v>2885</v>
      </c>
      <c r="R598" s="1" t="s">
        <v>2886</v>
      </c>
    </row>
    <row r="599" spans="1:18">
      <c r="A599" s="23">
        <v>598</v>
      </c>
      <c r="B599" s="27">
        <f t="shared" si="10"/>
        <v>98656410101</v>
      </c>
      <c r="C599" s="23" t="s">
        <v>735</v>
      </c>
      <c r="D599" s="28">
        <v>98600000</v>
      </c>
      <c r="E599" s="23" t="s">
        <v>735</v>
      </c>
      <c r="F599" s="28">
        <v>98000000</v>
      </c>
      <c r="G599" s="30" t="s">
        <v>994</v>
      </c>
      <c r="H599" s="28">
        <v>98656000</v>
      </c>
      <c r="I599" s="30" t="s">
        <v>2882</v>
      </c>
      <c r="J599" s="23" t="s">
        <v>2887</v>
      </c>
      <c r="K599" s="23" t="s">
        <v>754</v>
      </c>
      <c r="L599" s="23" t="str">
        <f>VLOOKUP(K599,Матрицы!B:C,2,0)</f>
        <v>село</v>
      </c>
      <c r="M599" s="31" t="s">
        <v>2888</v>
      </c>
      <c r="N599" s="28">
        <v>98656410101</v>
      </c>
      <c r="O599" s="36">
        <v>419</v>
      </c>
      <c r="P599" s="1">
        <v>2</v>
      </c>
      <c r="Q599" s="1" t="s">
        <v>2889</v>
      </c>
      <c r="R599" s="1" t="s">
        <v>2890</v>
      </c>
    </row>
    <row r="600" spans="1:18">
      <c r="A600" s="23">
        <v>599</v>
      </c>
      <c r="B600" s="27">
        <f t="shared" si="10"/>
        <v>98656415101</v>
      </c>
      <c r="C600" s="23" t="s">
        <v>735</v>
      </c>
      <c r="D600" s="28">
        <v>98600000</v>
      </c>
      <c r="E600" s="23" t="s">
        <v>735</v>
      </c>
      <c r="F600" s="28">
        <v>98000000</v>
      </c>
      <c r="G600" s="30" t="s">
        <v>994</v>
      </c>
      <c r="H600" s="28">
        <v>98656000</v>
      </c>
      <c r="I600" s="30" t="s">
        <v>2882</v>
      </c>
      <c r="J600" s="23" t="s">
        <v>2891</v>
      </c>
      <c r="K600" s="23" t="s">
        <v>754</v>
      </c>
      <c r="L600" s="23" t="str">
        <f>VLOOKUP(K600,Матрицы!B:C,2,0)</f>
        <v>село</v>
      </c>
      <c r="M600" s="31" t="s">
        <v>1251</v>
      </c>
      <c r="N600" s="28">
        <v>98656415101</v>
      </c>
      <c r="O600" s="36">
        <v>550</v>
      </c>
      <c r="P600" s="1">
        <v>2</v>
      </c>
      <c r="Q600" s="1" t="s">
        <v>2892</v>
      </c>
      <c r="R600" s="1" t="s">
        <v>2893</v>
      </c>
    </row>
    <row r="601" spans="1:18">
      <c r="A601" s="23">
        <v>600</v>
      </c>
      <c r="B601" s="27">
        <f t="shared" si="10"/>
        <v>98656420101</v>
      </c>
      <c r="C601" s="23" t="s">
        <v>735</v>
      </c>
      <c r="D601" s="28">
        <v>98600000</v>
      </c>
      <c r="E601" s="23" t="s">
        <v>735</v>
      </c>
      <c r="F601" s="28">
        <v>98000000</v>
      </c>
      <c r="G601" s="30" t="s">
        <v>994</v>
      </c>
      <c r="H601" s="28">
        <v>98656000</v>
      </c>
      <c r="I601" s="30" t="s">
        <v>2882</v>
      </c>
      <c r="J601" s="23" t="s">
        <v>2894</v>
      </c>
      <c r="K601" s="23" t="s">
        <v>754</v>
      </c>
      <c r="L601" s="23" t="str">
        <f>VLOOKUP(K601,Матрицы!B:C,2,0)</f>
        <v>село</v>
      </c>
      <c r="M601" s="31" t="s">
        <v>2895</v>
      </c>
      <c r="N601" s="28">
        <v>98656420101</v>
      </c>
      <c r="O601" s="36">
        <v>489</v>
      </c>
      <c r="P601" s="1">
        <v>2</v>
      </c>
      <c r="Q601" s="1" t="s">
        <v>2896</v>
      </c>
      <c r="R601" s="1" t="s">
        <v>2897</v>
      </c>
    </row>
    <row r="602" spans="1:18">
      <c r="A602" s="23">
        <v>601</v>
      </c>
      <c r="B602" s="27">
        <f t="shared" si="10"/>
        <v>98656425101</v>
      </c>
      <c r="C602" s="23" t="s">
        <v>735</v>
      </c>
      <c r="D602" s="28">
        <v>98600000</v>
      </c>
      <c r="E602" s="23" t="s">
        <v>735</v>
      </c>
      <c r="F602" s="28">
        <v>98000000</v>
      </c>
      <c r="G602" s="30" t="s">
        <v>994</v>
      </c>
      <c r="H602" s="28">
        <v>98656000</v>
      </c>
      <c r="I602" s="30" t="s">
        <v>2882</v>
      </c>
      <c r="J602" s="23" t="s">
        <v>2898</v>
      </c>
      <c r="K602" s="23" t="s">
        <v>754</v>
      </c>
      <c r="L602" s="23" t="str">
        <f>VLOOKUP(K602,Матрицы!B:C,2,0)</f>
        <v>село</v>
      </c>
      <c r="M602" s="31" t="s">
        <v>2899</v>
      </c>
      <c r="N602" s="28">
        <v>98656425101</v>
      </c>
      <c r="O602" s="36">
        <v>257</v>
      </c>
      <c r="P602" s="1">
        <v>2</v>
      </c>
      <c r="Q602" s="1" t="s">
        <v>2900</v>
      </c>
      <c r="R602" s="1" t="s">
        <v>2901</v>
      </c>
    </row>
    <row r="603" spans="1:18">
      <c r="A603" s="23">
        <v>602</v>
      </c>
      <c r="B603" s="27">
        <f t="shared" si="10"/>
        <v>98656427101</v>
      </c>
      <c r="C603" s="23" t="s">
        <v>735</v>
      </c>
      <c r="D603" s="28">
        <v>98600000</v>
      </c>
      <c r="E603" s="23" t="s">
        <v>735</v>
      </c>
      <c r="F603" s="28">
        <v>98000000</v>
      </c>
      <c r="G603" s="30" t="s">
        <v>994</v>
      </c>
      <c r="H603" s="28">
        <v>98656000</v>
      </c>
      <c r="I603" s="30" t="s">
        <v>2882</v>
      </c>
      <c r="J603" s="23" t="s">
        <v>2902</v>
      </c>
      <c r="K603" s="23" t="s">
        <v>754</v>
      </c>
      <c r="L603" s="23" t="str">
        <f>VLOOKUP(K603,Матрицы!B:C,2,0)</f>
        <v>село</v>
      </c>
      <c r="M603" s="31" t="s">
        <v>906</v>
      </c>
      <c r="N603" s="28">
        <v>98656427101</v>
      </c>
      <c r="O603" s="36">
        <v>142</v>
      </c>
      <c r="P603" s="1">
        <v>2</v>
      </c>
      <c r="Q603" s="11" t="s">
        <v>2903</v>
      </c>
      <c r="R603" s="11" t="s">
        <v>2904</v>
      </c>
    </row>
    <row r="604" spans="1:18">
      <c r="A604" s="23">
        <v>603</v>
      </c>
      <c r="B604" s="27">
        <f t="shared" si="10"/>
        <v>98656435101</v>
      </c>
      <c r="C604" s="23" t="s">
        <v>735</v>
      </c>
      <c r="D604" s="28">
        <v>98600000</v>
      </c>
      <c r="E604" s="23" t="s">
        <v>735</v>
      </c>
      <c r="F604" s="28">
        <v>98000000</v>
      </c>
      <c r="G604" s="30" t="s">
        <v>994</v>
      </c>
      <c r="H604" s="28">
        <v>98656000</v>
      </c>
      <c r="I604" s="30" t="s">
        <v>2882</v>
      </c>
      <c r="J604" s="23" t="s">
        <v>2905</v>
      </c>
      <c r="K604" s="23" t="s">
        <v>754</v>
      </c>
      <c r="L604" s="23" t="str">
        <f>VLOOKUP(K604,Матрицы!B:C,2,0)</f>
        <v>село</v>
      </c>
      <c r="M604" s="31" t="s">
        <v>2906</v>
      </c>
      <c r="N604" s="28">
        <v>98656435101</v>
      </c>
      <c r="O604" s="36">
        <v>128</v>
      </c>
      <c r="P604" s="1">
        <v>2</v>
      </c>
      <c r="Q604" s="1" t="s">
        <v>2907</v>
      </c>
      <c r="R604" s="1" t="s">
        <v>2908</v>
      </c>
    </row>
    <row r="605" spans="1:18">
      <c r="A605" s="23">
        <v>604</v>
      </c>
      <c r="B605" s="27">
        <f t="shared" si="10"/>
        <v>98658402101</v>
      </c>
      <c r="C605" s="23" t="s">
        <v>735</v>
      </c>
      <c r="D605" s="28">
        <v>98600000</v>
      </c>
      <c r="E605" s="23" t="s">
        <v>735</v>
      </c>
      <c r="F605" s="28">
        <v>98000000</v>
      </c>
      <c r="G605" s="30" t="s">
        <v>999</v>
      </c>
      <c r="H605" s="28">
        <v>98658000</v>
      </c>
      <c r="I605" s="30" t="s">
        <v>2909</v>
      </c>
      <c r="J605" s="23" t="s">
        <v>2910</v>
      </c>
      <c r="K605" s="23" t="s">
        <v>754</v>
      </c>
      <c r="L605" s="23" t="str">
        <f>VLOOKUP(K605,Матрицы!B:C,2,0)</f>
        <v>село</v>
      </c>
      <c r="M605" s="31" t="s">
        <v>2911</v>
      </c>
      <c r="N605" s="28">
        <v>98658402101</v>
      </c>
      <c r="O605" s="36">
        <v>622</v>
      </c>
      <c r="P605" s="1">
        <v>2</v>
      </c>
      <c r="Q605" s="1" t="s">
        <v>2912</v>
      </c>
      <c r="R605" s="1" t="s">
        <v>2913</v>
      </c>
    </row>
    <row r="606" spans="1:18">
      <c r="A606" s="23">
        <v>605</v>
      </c>
      <c r="B606" s="27">
        <f t="shared" si="10"/>
        <v>98658407101</v>
      </c>
      <c r="C606" s="23" t="s">
        <v>735</v>
      </c>
      <c r="D606" s="28">
        <v>98600000</v>
      </c>
      <c r="E606" s="23" t="s">
        <v>735</v>
      </c>
      <c r="F606" s="28">
        <v>98000000</v>
      </c>
      <c r="G606" s="30" t="s">
        <v>999</v>
      </c>
      <c r="H606" s="28">
        <v>98658000</v>
      </c>
      <c r="I606" s="30" t="s">
        <v>2909</v>
      </c>
      <c r="J606" s="23" t="s">
        <v>2914</v>
      </c>
      <c r="K606" s="23" t="s">
        <v>754</v>
      </c>
      <c r="L606" s="23" t="str">
        <f>VLOOKUP(K606,Матрицы!B:C,2,0)</f>
        <v>село</v>
      </c>
      <c r="M606" s="31" t="s">
        <v>864</v>
      </c>
      <c r="N606" s="28">
        <v>98658407101</v>
      </c>
      <c r="O606" s="36">
        <v>437</v>
      </c>
      <c r="P606" s="1">
        <v>2</v>
      </c>
      <c r="Q606" s="11" t="s">
        <v>2915</v>
      </c>
      <c r="R606" s="11" t="s">
        <v>2916</v>
      </c>
    </row>
    <row r="607" spans="1:18">
      <c r="A607" s="23">
        <v>606</v>
      </c>
      <c r="B607" s="27">
        <f t="shared" si="10"/>
        <v>98658407106</v>
      </c>
      <c r="C607" s="23" t="s">
        <v>735</v>
      </c>
      <c r="D607" s="28">
        <v>98600000</v>
      </c>
      <c r="E607" s="23" t="s">
        <v>735</v>
      </c>
      <c r="F607" s="28">
        <v>98000000</v>
      </c>
      <c r="G607" s="30" t="s">
        <v>999</v>
      </c>
      <c r="H607" s="28">
        <v>98658000</v>
      </c>
      <c r="I607" s="30" t="s">
        <v>2909</v>
      </c>
      <c r="J607" s="23" t="s">
        <v>2914</v>
      </c>
      <c r="K607" s="23" t="s">
        <v>754</v>
      </c>
      <c r="L607" s="23" t="str">
        <f>VLOOKUP(K607,Матрицы!B:C,2,0)</f>
        <v>село</v>
      </c>
      <c r="M607" s="31" t="s">
        <v>2917</v>
      </c>
      <c r="N607" s="28">
        <v>98658407106</v>
      </c>
      <c r="O607" s="32">
        <v>0</v>
      </c>
      <c r="P607" s="1">
        <v>2</v>
      </c>
      <c r="Q607" s="1" t="s">
        <v>2918</v>
      </c>
      <c r="R607" s="1" t="s">
        <v>2919</v>
      </c>
    </row>
    <row r="608" spans="1:18">
      <c r="A608" s="23">
        <v>607</v>
      </c>
      <c r="B608" s="27">
        <f t="shared" si="10"/>
        <v>98658410101</v>
      </c>
      <c r="C608" s="23" t="s">
        <v>735</v>
      </c>
      <c r="D608" s="28">
        <v>98600000</v>
      </c>
      <c r="E608" s="23" t="s">
        <v>735</v>
      </c>
      <c r="F608" s="28">
        <v>98000000</v>
      </c>
      <c r="G608" s="30" t="s">
        <v>999</v>
      </c>
      <c r="H608" s="28">
        <v>98658000</v>
      </c>
      <c r="I608" s="30" t="s">
        <v>2909</v>
      </c>
      <c r="J608" s="23" t="s">
        <v>2920</v>
      </c>
      <c r="K608" s="23" t="s">
        <v>754</v>
      </c>
      <c r="L608" s="23" t="str">
        <f>VLOOKUP(K608,Матрицы!B:C,2,0)</f>
        <v>село</v>
      </c>
      <c r="M608" s="31" t="s">
        <v>2921</v>
      </c>
      <c r="N608" s="28">
        <v>98658410101</v>
      </c>
      <c r="O608" s="36">
        <v>570</v>
      </c>
      <c r="P608" s="1">
        <v>2</v>
      </c>
      <c r="Q608" s="1" t="s">
        <v>2922</v>
      </c>
      <c r="R608" s="1" t="s">
        <v>2923</v>
      </c>
    </row>
    <row r="609" spans="1:18">
      <c r="A609" s="23">
        <v>608</v>
      </c>
      <c r="B609" s="27">
        <f t="shared" si="10"/>
        <v>98658410106</v>
      </c>
      <c r="C609" s="23" t="s">
        <v>735</v>
      </c>
      <c r="D609" s="28">
        <v>98600000</v>
      </c>
      <c r="E609" s="23" t="s">
        <v>735</v>
      </c>
      <c r="F609" s="28">
        <v>98000000</v>
      </c>
      <c r="G609" s="30" t="s">
        <v>999</v>
      </c>
      <c r="H609" s="28">
        <v>98658000</v>
      </c>
      <c r="I609" s="30" t="s">
        <v>2909</v>
      </c>
      <c r="J609" s="23" t="s">
        <v>2920</v>
      </c>
      <c r="K609" s="23" t="s">
        <v>754</v>
      </c>
      <c r="L609" s="23" t="str">
        <f>VLOOKUP(K609,Матрицы!B:C,2,0)</f>
        <v>село</v>
      </c>
      <c r="M609" s="31" t="s">
        <v>2924</v>
      </c>
      <c r="N609" s="28">
        <v>98658410106</v>
      </c>
      <c r="O609" s="36">
        <v>39</v>
      </c>
      <c r="P609" s="1">
        <v>2</v>
      </c>
      <c r="Q609" s="1" t="s">
        <v>2925</v>
      </c>
      <c r="R609" s="1" t="s">
        <v>2926</v>
      </c>
    </row>
    <row r="610" spans="1:18">
      <c r="A610" s="23">
        <v>609</v>
      </c>
      <c r="B610" s="27">
        <f t="shared" si="10"/>
        <v>98658415101</v>
      </c>
      <c r="C610" s="23" t="s">
        <v>735</v>
      </c>
      <c r="D610" s="28">
        <v>98600000</v>
      </c>
      <c r="E610" s="23" t="s">
        <v>735</v>
      </c>
      <c r="F610" s="28">
        <v>98000000</v>
      </c>
      <c r="G610" s="30" t="s">
        <v>999</v>
      </c>
      <c r="H610" s="28">
        <v>98658000</v>
      </c>
      <c r="I610" s="30" t="s">
        <v>2909</v>
      </c>
      <c r="J610" s="23" t="s">
        <v>1098</v>
      </c>
      <c r="K610" s="23" t="s">
        <v>754</v>
      </c>
      <c r="L610" s="23" t="str">
        <f>VLOOKUP(K610,Матрицы!B:C,2,0)</f>
        <v>село</v>
      </c>
      <c r="M610" s="31" t="s">
        <v>2927</v>
      </c>
      <c r="N610" s="28">
        <v>98658415101</v>
      </c>
      <c r="O610" s="36">
        <v>1100</v>
      </c>
      <c r="P610" s="1">
        <v>2</v>
      </c>
      <c r="Q610" s="1" t="s">
        <v>2928</v>
      </c>
      <c r="R610" s="1" t="s">
        <v>2929</v>
      </c>
    </row>
    <row r="611" spans="1:18">
      <c r="A611" s="23">
        <v>610</v>
      </c>
      <c r="B611" s="27">
        <f t="shared" si="10"/>
        <v>98658415106</v>
      </c>
      <c r="C611" s="23" t="s">
        <v>735</v>
      </c>
      <c r="D611" s="28">
        <v>98600000</v>
      </c>
      <c r="E611" s="23" t="s">
        <v>735</v>
      </c>
      <c r="F611" s="28">
        <v>98000000</v>
      </c>
      <c r="G611" s="30" t="s">
        <v>999</v>
      </c>
      <c r="H611" s="28">
        <v>98658000</v>
      </c>
      <c r="I611" s="30" t="s">
        <v>2909</v>
      </c>
      <c r="J611" s="23" t="s">
        <v>1098</v>
      </c>
      <c r="K611" s="23" t="s">
        <v>754</v>
      </c>
      <c r="L611" s="23" t="str">
        <f>VLOOKUP(K611,Матрицы!B:C,2,0)</f>
        <v>село</v>
      </c>
      <c r="M611" s="31" t="s">
        <v>2930</v>
      </c>
      <c r="N611" s="28">
        <v>98658415106</v>
      </c>
      <c r="O611" s="36">
        <v>12</v>
      </c>
      <c r="P611" s="1">
        <v>2</v>
      </c>
      <c r="Q611" s="1" t="s">
        <v>2931</v>
      </c>
      <c r="R611" s="1" t="s">
        <v>2932</v>
      </c>
    </row>
    <row r="612" spans="1:18">
      <c r="A612" s="23">
        <v>611</v>
      </c>
      <c r="B612" s="27">
        <f t="shared" si="10"/>
        <v>98658420101</v>
      </c>
      <c r="C612" s="23" t="s">
        <v>735</v>
      </c>
      <c r="D612" s="28">
        <v>98600000</v>
      </c>
      <c r="E612" s="23" t="s">
        <v>735</v>
      </c>
      <c r="F612" s="28">
        <v>98000000</v>
      </c>
      <c r="G612" s="30" t="s">
        <v>999</v>
      </c>
      <c r="H612" s="28">
        <v>98658000</v>
      </c>
      <c r="I612" s="30" t="s">
        <v>2909</v>
      </c>
      <c r="J612" s="23" t="s">
        <v>2933</v>
      </c>
      <c r="K612" s="23" t="s">
        <v>754</v>
      </c>
      <c r="L612" s="23" t="str">
        <f>VLOOKUP(K612,Матрицы!B:C,2,0)</f>
        <v>село</v>
      </c>
      <c r="M612" s="31" t="s">
        <v>2934</v>
      </c>
      <c r="N612" s="28">
        <v>98658420101</v>
      </c>
      <c r="O612" s="36">
        <v>452</v>
      </c>
      <c r="P612" s="1">
        <v>2</v>
      </c>
      <c r="Q612" s="1" t="s">
        <v>2935</v>
      </c>
      <c r="R612" s="1" t="s">
        <v>2936</v>
      </c>
    </row>
    <row r="613" spans="1:18">
      <c r="A613" s="23">
        <v>612</v>
      </c>
      <c r="B613" s="27">
        <f t="shared" si="10"/>
        <v>98658423101</v>
      </c>
      <c r="C613" s="23" t="s">
        <v>735</v>
      </c>
      <c r="D613" s="28">
        <v>98600000</v>
      </c>
      <c r="E613" s="23" t="s">
        <v>735</v>
      </c>
      <c r="F613" s="28">
        <v>98000000</v>
      </c>
      <c r="G613" s="30" t="s">
        <v>999</v>
      </c>
      <c r="H613" s="28">
        <v>98658000</v>
      </c>
      <c r="I613" s="30" t="s">
        <v>2909</v>
      </c>
      <c r="J613" s="23" t="s">
        <v>1302</v>
      </c>
      <c r="K613" s="23" t="s">
        <v>754</v>
      </c>
      <c r="L613" s="23" t="str">
        <f>VLOOKUP(K613,Матрицы!B:C,2,0)</f>
        <v>село</v>
      </c>
      <c r="M613" s="31" t="s">
        <v>856</v>
      </c>
      <c r="N613" s="28">
        <v>98658423101</v>
      </c>
      <c r="O613" s="36">
        <v>297</v>
      </c>
      <c r="P613" s="1">
        <v>2</v>
      </c>
      <c r="Q613" s="1" t="s">
        <v>2937</v>
      </c>
      <c r="R613" s="1" t="s">
        <v>2938</v>
      </c>
    </row>
    <row r="614" spans="1:18">
      <c r="A614" s="23">
        <v>613</v>
      </c>
      <c r="B614" s="27">
        <f t="shared" si="10"/>
        <v>98658425101</v>
      </c>
      <c r="C614" s="23" t="s">
        <v>735</v>
      </c>
      <c r="D614" s="28">
        <v>98600000</v>
      </c>
      <c r="E614" s="23" t="s">
        <v>735</v>
      </c>
      <c r="F614" s="28">
        <v>98000000</v>
      </c>
      <c r="G614" s="30" t="s">
        <v>999</v>
      </c>
      <c r="H614" s="28">
        <v>98658000</v>
      </c>
      <c r="I614" s="30" t="s">
        <v>2909</v>
      </c>
      <c r="J614" s="23" t="s">
        <v>2939</v>
      </c>
      <c r="K614" s="23" t="s">
        <v>754</v>
      </c>
      <c r="L614" s="23" t="str">
        <f>VLOOKUP(K614,Матрицы!B:C,2,0)</f>
        <v>село</v>
      </c>
      <c r="M614" s="31" t="s">
        <v>2940</v>
      </c>
      <c r="N614" s="28">
        <v>98658425101</v>
      </c>
      <c r="O614" s="36">
        <v>807</v>
      </c>
      <c r="P614" s="1">
        <v>2</v>
      </c>
      <c r="Q614" s="1" t="s">
        <v>2941</v>
      </c>
      <c r="R614" s="1" t="s">
        <v>2942</v>
      </c>
    </row>
    <row r="615" spans="1:18">
      <c r="A615" s="23">
        <v>614</v>
      </c>
      <c r="B615" s="27">
        <f t="shared" si="10"/>
        <v>98658430101</v>
      </c>
      <c r="C615" s="23" t="s">
        <v>735</v>
      </c>
      <c r="D615" s="28">
        <v>98600000</v>
      </c>
      <c r="E615" s="23" t="s">
        <v>735</v>
      </c>
      <c r="F615" s="28">
        <v>98000000</v>
      </c>
      <c r="G615" s="30" t="s">
        <v>999</v>
      </c>
      <c r="H615" s="28">
        <v>98658000</v>
      </c>
      <c r="I615" s="30" t="s">
        <v>2909</v>
      </c>
      <c r="J615" s="23" t="s">
        <v>2943</v>
      </c>
      <c r="K615" s="23" t="s">
        <v>754</v>
      </c>
      <c r="L615" s="23" t="str">
        <f>VLOOKUP(K615,Матрицы!B:C,2,0)</f>
        <v>село</v>
      </c>
      <c r="M615" s="31" t="s">
        <v>2944</v>
      </c>
      <c r="N615" s="28">
        <v>98658430101</v>
      </c>
      <c r="O615" s="36">
        <v>995</v>
      </c>
      <c r="P615" s="1">
        <v>2</v>
      </c>
      <c r="Q615" s="1" t="s">
        <v>2945</v>
      </c>
      <c r="R615" s="1" t="s">
        <v>2946</v>
      </c>
    </row>
    <row r="616" spans="1:18">
      <c r="A616" s="23">
        <v>615</v>
      </c>
      <c r="B616" s="27">
        <f t="shared" si="10"/>
        <v>98658430106</v>
      </c>
      <c r="C616" s="23" t="s">
        <v>735</v>
      </c>
      <c r="D616" s="28">
        <v>98600000</v>
      </c>
      <c r="E616" s="23" t="s">
        <v>735</v>
      </c>
      <c r="F616" s="28">
        <v>98000000</v>
      </c>
      <c r="G616" s="30" t="s">
        <v>999</v>
      </c>
      <c r="H616" s="28">
        <v>98658000</v>
      </c>
      <c r="I616" s="30" t="s">
        <v>2909</v>
      </c>
      <c r="J616" s="23" t="s">
        <v>2943</v>
      </c>
      <c r="K616" s="23" t="s">
        <v>754</v>
      </c>
      <c r="L616" s="23" t="str">
        <f>VLOOKUP(K616,Матрицы!B:C,2,0)</f>
        <v>село</v>
      </c>
      <c r="M616" s="31" t="s">
        <v>2947</v>
      </c>
      <c r="N616" s="28">
        <v>98658430106</v>
      </c>
      <c r="O616" s="36">
        <v>68</v>
      </c>
      <c r="P616" s="1">
        <v>2</v>
      </c>
      <c r="Q616" s="1" t="s">
        <v>2948</v>
      </c>
      <c r="R616" s="1" t="s">
        <v>2949</v>
      </c>
    </row>
    <row r="617" spans="1:18">
      <c r="A617" s="23">
        <v>616</v>
      </c>
      <c r="B617" s="27">
        <f t="shared" si="10"/>
        <v>98658430111</v>
      </c>
      <c r="C617" s="23" t="s">
        <v>735</v>
      </c>
      <c r="D617" s="28">
        <v>98600000</v>
      </c>
      <c r="E617" s="23" t="s">
        <v>735</v>
      </c>
      <c r="F617" s="28">
        <v>98000000</v>
      </c>
      <c r="G617" s="30" t="s">
        <v>999</v>
      </c>
      <c r="H617" s="28">
        <v>98658000</v>
      </c>
      <c r="I617" s="30" t="s">
        <v>2909</v>
      </c>
      <c r="J617" s="23" t="s">
        <v>2943</v>
      </c>
      <c r="K617" s="23" t="s">
        <v>754</v>
      </c>
      <c r="L617" s="23" t="str">
        <f>VLOOKUP(K617,Матрицы!B:C,2,0)</f>
        <v>село</v>
      </c>
      <c r="M617" s="31" t="s">
        <v>2950</v>
      </c>
      <c r="N617" s="28">
        <v>98658430111</v>
      </c>
      <c r="O617" s="36">
        <v>1</v>
      </c>
      <c r="P617" s="1">
        <v>2</v>
      </c>
      <c r="Q617" s="1" t="s">
        <v>2951</v>
      </c>
      <c r="R617" s="1" t="s">
        <v>2952</v>
      </c>
    </row>
    <row r="618" spans="1:18">
      <c r="A618" s="23">
        <v>617</v>
      </c>
      <c r="B618" s="27">
        <f t="shared" si="10"/>
        <v>98658435101</v>
      </c>
      <c r="C618" s="23" t="s">
        <v>735</v>
      </c>
      <c r="D618" s="28">
        <v>98600000</v>
      </c>
      <c r="E618" s="23" t="s">
        <v>735</v>
      </c>
      <c r="F618" s="28">
        <v>98000000</v>
      </c>
      <c r="G618" s="30" t="s">
        <v>999</v>
      </c>
      <c r="H618" s="28">
        <v>98658000</v>
      </c>
      <c r="I618" s="30" t="s">
        <v>2909</v>
      </c>
      <c r="J618" s="23" t="s">
        <v>2953</v>
      </c>
      <c r="K618" s="23" t="s">
        <v>754</v>
      </c>
      <c r="L618" s="23" t="str">
        <f>VLOOKUP(K618,Матрицы!B:C,2,0)</f>
        <v>село</v>
      </c>
      <c r="M618" s="31" t="s">
        <v>2954</v>
      </c>
      <c r="N618" s="28">
        <v>98658435101</v>
      </c>
      <c r="O618" s="36">
        <v>492</v>
      </c>
      <c r="P618" s="1">
        <v>2</v>
      </c>
      <c r="Q618" s="1" t="s">
        <v>2955</v>
      </c>
      <c r="R618" s="1" t="s">
        <v>2956</v>
      </c>
    </row>
    <row r="619" spans="1:18">
      <c r="A619" s="23">
        <v>618</v>
      </c>
      <c r="B619" s="27">
        <f t="shared" si="10"/>
        <v>98658435106</v>
      </c>
      <c r="C619" s="23" t="s">
        <v>735</v>
      </c>
      <c r="D619" s="28">
        <v>98600000</v>
      </c>
      <c r="E619" s="23" t="s">
        <v>735</v>
      </c>
      <c r="F619" s="28">
        <v>98000000</v>
      </c>
      <c r="G619" s="30" t="s">
        <v>999</v>
      </c>
      <c r="H619" s="28">
        <v>98658000</v>
      </c>
      <c r="I619" s="30" t="s">
        <v>2909</v>
      </c>
      <c r="J619" s="23" t="s">
        <v>2953</v>
      </c>
      <c r="K619" s="23" t="s">
        <v>754</v>
      </c>
      <c r="L619" s="23" t="str">
        <f>VLOOKUP(K619,Матрицы!B:C,2,0)</f>
        <v>село</v>
      </c>
      <c r="M619" s="31" t="s">
        <v>2957</v>
      </c>
      <c r="N619" s="28">
        <v>98658435106</v>
      </c>
      <c r="O619" s="36">
        <v>72</v>
      </c>
      <c r="P619" s="1">
        <v>2</v>
      </c>
      <c r="Q619" s="1" t="s">
        <v>2958</v>
      </c>
      <c r="R619" s="1" t="s">
        <v>2959</v>
      </c>
    </row>
    <row r="620" spans="1:18">
      <c r="A620" s="23">
        <v>619</v>
      </c>
      <c r="B620" s="27">
        <f t="shared" si="10"/>
        <v>98658440101</v>
      </c>
      <c r="C620" s="23" t="s">
        <v>735</v>
      </c>
      <c r="D620" s="28">
        <v>98600000</v>
      </c>
      <c r="E620" s="23" t="s">
        <v>735</v>
      </c>
      <c r="F620" s="28">
        <v>98000000</v>
      </c>
      <c r="G620" s="30" t="s">
        <v>999</v>
      </c>
      <c r="H620" s="28">
        <v>98658000</v>
      </c>
      <c r="I620" s="30" t="s">
        <v>2909</v>
      </c>
      <c r="J620" s="23" t="s">
        <v>2960</v>
      </c>
      <c r="K620" s="23" t="s">
        <v>754</v>
      </c>
      <c r="L620" s="23" t="str">
        <f>VLOOKUP(K620,Матрицы!B:C,2,0)</f>
        <v>село</v>
      </c>
      <c r="M620" s="31" t="s">
        <v>1303</v>
      </c>
      <c r="N620" s="28">
        <v>98658440101</v>
      </c>
      <c r="O620" s="36">
        <v>814</v>
      </c>
      <c r="P620" s="1">
        <v>2</v>
      </c>
      <c r="Q620" s="1" t="s">
        <v>2961</v>
      </c>
      <c r="R620" s="1" t="s">
        <v>2962</v>
      </c>
    </row>
    <row r="621" spans="1:18">
      <c r="A621" s="23">
        <v>620</v>
      </c>
      <c r="B621" s="27">
        <f t="shared" si="10"/>
        <v>98658440106</v>
      </c>
      <c r="C621" s="23" t="s">
        <v>735</v>
      </c>
      <c r="D621" s="28">
        <v>98600000</v>
      </c>
      <c r="E621" s="23" t="s">
        <v>735</v>
      </c>
      <c r="F621" s="28">
        <v>98000000</v>
      </c>
      <c r="G621" s="30" t="s">
        <v>999</v>
      </c>
      <c r="H621" s="28">
        <v>98658000</v>
      </c>
      <c r="I621" s="30" t="s">
        <v>2909</v>
      </c>
      <c r="J621" s="23" t="s">
        <v>2960</v>
      </c>
      <c r="K621" s="23" t="s">
        <v>754</v>
      </c>
      <c r="L621" s="23" t="str">
        <f>VLOOKUP(K621,Матрицы!B:C,2,0)</f>
        <v>село</v>
      </c>
      <c r="M621" s="31" t="s">
        <v>2963</v>
      </c>
      <c r="N621" s="28">
        <v>98658440106</v>
      </c>
      <c r="O621" s="36">
        <v>34</v>
      </c>
      <c r="P621" s="1">
        <v>2</v>
      </c>
      <c r="Q621" s="1" t="s">
        <v>2964</v>
      </c>
      <c r="R621" s="1" t="s">
        <v>2965</v>
      </c>
    </row>
    <row r="622" spans="1:18">
      <c r="A622" s="23">
        <v>621</v>
      </c>
      <c r="B622" s="27">
        <f t="shared" si="10"/>
        <v>98658440111</v>
      </c>
      <c r="C622" s="23" t="s">
        <v>735</v>
      </c>
      <c r="D622" s="28">
        <v>98600000</v>
      </c>
      <c r="E622" s="23" t="s">
        <v>735</v>
      </c>
      <c r="F622" s="28">
        <v>98000000</v>
      </c>
      <c r="G622" s="30" t="s">
        <v>999</v>
      </c>
      <c r="H622" s="28">
        <v>98658000</v>
      </c>
      <c r="I622" s="30" t="s">
        <v>2909</v>
      </c>
      <c r="J622" s="23" t="s">
        <v>2960</v>
      </c>
      <c r="K622" s="23" t="s">
        <v>754</v>
      </c>
      <c r="L622" s="23" t="str">
        <f>VLOOKUP(K622,Матрицы!B:C,2,0)</f>
        <v>село</v>
      </c>
      <c r="M622" s="31" t="s">
        <v>1383</v>
      </c>
      <c r="N622" s="28">
        <v>98658440111</v>
      </c>
      <c r="O622" s="36">
        <v>142</v>
      </c>
      <c r="P622" s="1">
        <v>2</v>
      </c>
      <c r="Q622" s="1" t="s">
        <v>2966</v>
      </c>
      <c r="R622" s="1" t="s">
        <v>2967</v>
      </c>
    </row>
    <row r="623" spans="1:18">
      <c r="A623" s="23">
        <v>622</v>
      </c>
      <c r="B623" s="27">
        <f t="shared" si="10"/>
        <v>98658440116</v>
      </c>
      <c r="C623" s="23" t="s">
        <v>735</v>
      </c>
      <c r="D623" s="28">
        <v>98600000</v>
      </c>
      <c r="E623" s="23" t="s">
        <v>735</v>
      </c>
      <c r="F623" s="28">
        <v>98000000</v>
      </c>
      <c r="G623" s="30" t="s">
        <v>999</v>
      </c>
      <c r="H623" s="28">
        <v>98658000</v>
      </c>
      <c r="I623" s="30" t="s">
        <v>2909</v>
      </c>
      <c r="J623" s="23" t="s">
        <v>2960</v>
      </c>
      <c r="K623" s="23" t="s">
        <v>754</v>
      </c>
      <c r="L623" s="23" t="str">
        <f>VLOOKUP(K623,Матрицы!B:C,2,0)</f>
        <v>село</v>
      </c>
      <c r="M623" s="31" t="s">
        <v>2968</v>
      </c>
      <c r="N623" s="28">
        <v>98658440116</v>
      </c>
      <c r="O623" s="36">
        <v>107</v>
      </c>
      <c r="P623" s="1">
        <v>2</v>
      </c>
      <c r="Q623" s="1" t="s">
        <v>2969</v>
      </c>
      <c r="R623" s="1" t="s">
        <v>2970</v>
      </c>
    </row>
    <row r="624" spans="1:18">
      <c r="A624" s="23">
        <v>623</v>
      </c>
      <c r="B624" s="27">
        <f t="shared" si="10"/>
        <v>98658440121</v>
      </c>
      <c r="C624" s="23" t="s">
        <v>735</v>
      </c>
      <c r="D624" s="28">
        <v>98600000</v>
      </c>
      <c r="E624" s="23" t="s">
        <v>735</v>
      </c>
      <c r="F624" s="28">
        <v>98000000</v>
      </c>
      <c r="G624" s="30" t="s">
        <v>999</v>
      </c>
      <c r="H624" s="28">
        <v>98658000</v>
      </c>
      <c r="I624" s="30" t="s">
        <v>2909</v>
      </c>
      <c r="J624" s="23" t="s">
        <v>2960</v>
      </c>
      <c r="K624" s="23" t="s">
        <v>754</v>
      </c>
      <c r="L624" s="23" t="str">
        <f>VLOOKUP(K624,Матрицы!B:C,2,0)</f>
        <v>село</v>
      </c>
      <c r="M624" s="31" t="s">
        <v>2971</v>
      </c>
      <c r="N624" s="28">
        <v>98658440121</v>
      </c>
      <c r="O624" s="36">
        <v>2</v>
      </c>
      <c r="P624" s="1">
        <v>2</v>
      </c>
      <c r="Q624" s="1" t="s">
        <v>2972</v>
      </c>
      <c r="R624" s="1" t="s">
        <v>2973</v>
      </c>
    </row>
    <row r="625" spans="1:18">
      <c r="A625" s="23">
        <v>624</v>
      </c>
      <c r="B625" s="27">
        <f t="shared" si="10"/>
        <v>98658442101</v>
      </c>
      <c r="C625" s="23" t="s">
        <v>735</v>
      </c>
      <c r="D625" s="28">
        <v>98600000</v>
      </c>
      <c r="E625" s="23" t="s">
        <v>735</v>
      </c>
      <c r="F625" s="28">
        <v>98000000</v>
      </c>
      <c r="G625" s="30" t="s">
        <v>999</v>
      </c>
      <c r="H625" s="28">
        <v>98658000</v>
      </c>
      <c r="I625" s="30" t="s">
        <v>2909</v>
      </c>
      <c r="J625" s="23" t="s">
        <v>2974</v>
      </c>
      <c r="K625" s="23" t="s">
        <v>754</v>
      </c>
      <c r="L625" s="23" t="str">
        <f>VLOOKUP(K625,Матрицы!B:C,2,0)</f>
        <v>село</v>
      </c>
      <c r="M625" s="31" t="s">
        <v>2975</v>
      </c>
      <c r="N625" s="28">
        <v>98658442101</v>
      </c>
      <c r="O625" s="36">
        <v>518</v>
      </c>
      <c r="P625" s="1">
        <v>2</v>
      </c>
      <c r="Q625" s="1" t="s">
        <v>2976</v>
      </c>
      <c r="R625" s="1" t="s">
        <v>2977</v>
      </c>
    </row>
    <row r="626" spans="1:18">
      <c r="A626" s="23">
        <v>625</v>
      </c>
      <c r="B626" s="27">
        <f t="shared" si="10"/>
        <v>98658442106</v>
      </c>
      <c r="C626" s="23" t="s">
        <v>735</v>
      </c>
      <c r="D626" s="28">
        <v>98600000</v>
      </c>
      <c r="E626" s="23" t="s">
        <v>735</v>
      </c>
      <c r="F626" s="28">
        <v>98000000</v>
      </c>
      <c r="G626" s="30" t="s">
        <v>999</v>
      </c>
      <c r="H626" s="28">
        <v>98658000</v>
      </c>
      <c r="I626" s="30" t="s">
        <v>2909</v>
      </c>
      <c r="J626" s="23" t="s">
        <v>2974</v>
      </c>
      <c r="K626" s="23" t="s">
        <v>754</v>
      </c>
      <c r="L626" s="23" t="str">
        <f>VLOOKUP(K626,Матрицы!B:C,2,0)</f>
        <v>село</v>
      </c>
      <c r="M626" s="31" t="s">
        <v>2978</v>
      </c>
      <c r="N626" s="28">
        <v>98658442106</v>
      </c>
      <c r="O626" s="32">
        <v>0</v>
      </c>
      <c r="P626" s="1">
        <v>2</v>
      </c>
      <c r="Q626" s="1" t="s">
        <v>2979</v>
      </c>
      <c r="R626" s="1" t="s">
        <v>2980</v>
      </c>
    </row>
    <row r="627" spans="1:18">
      <c r="A627" s="23">
        <v>626</v>
      </c>
      <c r="B627" s="27">
        <f t="shared" si="10"/>
        <v>98658445101</v>
      </c>
      <c r="C627" s="23" t="s">
        <v>735</v>
      </c>
      <c r="D627" s="28">
        <v>98600000</v>
      </c>
      <c r="E627" s="23" t="s">
        <v>735</v>
      </c>
      <c r="F627" s="28">
        <v>98000000</v>
      </c>
      <c r="G627" s="30" t="s">
        <v>999</v>
      </c>
      <c r="H627" s="28">
        <v>98658000</v>
      </c>
      <c r="I627" s="30" t="s">
        <v>2909</v>
      </c>
      <c r="J627" s="23" t="s">
        <v>2981</v>
      </c>
      <c r="K627" s="23" t="s">
        <v>754</v>
      </c>
      <c r="L627" s="23" t="str">
        <f>VLOOKUP(K627,Матрицы!B:C,2,0)</f>
        <v>село</v>
      </c>
      <c r="M627" s="31" t="s">
        <v>2982</v>
      </c>
      <c r="N627" s="28">
        <v>98658445101</v>
      </c>
      <c r="O627" s="36">
        <v>571</v>
      </c>
      <c r="P627" s="1">
        <v>2</v>
      </c>
      <c r="Q627" s="1" t="s">
        <v>2983</v>
      </c>
      <c r="R627" s="1" t="s">
        <v>2984</v>
      </c>
    </row>
    <row r="628" spans="1:18">
      <c r="A628" s="23">
        <v>627</v>
      </c>
      <c r="B628" s="27">
        <f t="shared" si="10"/>
        <v>98658445106</v>
      </c>
      <c r="C628" s="23" t="s">
        <v>735</v>
      </c>
      <c r="D628" s="28">
        <v>98600000</v>
      </c>
      <c r="E628" s="23" t="s">
        <v>735</v>
      </c>
      <c r="F628" s="28">
        <v>98000000</v>
      </c>
      <c r="G628" s="30" t="s">
        <v>999</v>
      </c>
      <c r="H628" s="28">
        <v>98658000</v>
      </c>
      <c r="I628" s="30" t="s">
        <v>2909</v>
      </c>
      <c r="J628" s="23" t="s">
        <v>2981</v>
      </c>
      <c r="K628" s="23" t="s">
        <v>754</v>
      </c>
      <c r="L628" s="23" t="str">
        <f>VLOOKUP(K628,Матрицы!B:C,2,0)</f>
        <v>село</v>
      </c>
      <c r="M628" s="31" t="s">
        <v>2985</v>
      </c>
      <c r="N628" s="28">
        <v>98658445106</v>
      </c>
      <c r="O628" s="36">
        <v>62</v>
      </c>
      <c r="P628" s="1">
        <v>2</v>
      </c>
      <c r="Q628" s="1" t="s">
        <v>2986</v>
      </c>
      <c r="R628" s="1" t="s">
        <v>2987</v>
      </c>
    </row>
    <row r="629" spans="1:18">
      <c r="A629" s="23">
        <v>628</v>
      </c>
      <c r="B629" s="27">
        <f t="shared" si="10"/>
        <v>98658450101</v>
      </c>
      <c r="C629" s="23" t="s">
        <v>735</v>
      </c>
      <c r="D629" s="28">
        <v>98600000</v>
      </c>
      <c r="E629" s="23" t="s">
        <v>735</v>
      </c>
      <c r="F629" s="28">
        <v>98000000</v>
      </c>
      <c r="G629" s="30" t="s">
        <v>999</v>
      </c>
      <c r="H629" s="28">
        <v>98658000</v>
      </c>
      <c r="I629" s="30" t="s">
        <v>2909</v>
      </c>
      <c r="J629" s="23" t="s">
        <v>2988</v>
      </c>
      <c r="K629" s="23" t="s">
        <v>754</v>
      </c>
      <c r="L629" s="23" t="str">
        <f>VLOOKUP(K629,Матрицы!B:C,2,0)</f>
        <v>село</v>
      </c>
      <c r="M629" s="31" t="s">
        <v>2989</v>
      </c>
      <c r="N629" s="28">
        <v>98658450101</v>
      </c>
      <c r="O629" s="36">
        <v>755</v>
      </c>
      <c r="P629" s="1">
        <v>2</v>
      </c>
      <c r="Q629" s="1" t="s">
        <v>2990</v>
      </c>
      <c r="R629" s="1" t="s">
        <v>2991</v>
      </c>
    </row>
    <row r="630" spans="1:18" ht="15" customHeight="1">
      <c r="A630" s="23">
        <v>629</v>
      </c>
      <c r="B630" s="27">
        <f t="shared" si="10"/>
        <v>98658455101</v>
      </c>
      <c r="C630" s="23" t="s">
        <v>735</v>
      </c>
      <c r="D630" s="28">
        <v>98600000</v>
      </c>
      <c r="E630" s="23" t="s">
        <v>735</v>
      </c>
      <c r="F630" s="28">
        <v>98000000</v>
      </c>
      <c r="G630" s="30" t="s">
        <v>999</v>
      </c>
      <c r="H630" s="28">
        <v>98658000</v>
      </c>
      <c r="I630" s="30" t="s">
        <v>2909</v>
      </c>
      <c r="J630" s="23" t="s">
        <v>2992</v>
      </c>
      <c r="K630" s="23" t="s">
        <v>754</v>
      </c>
      <c r="L630" s="23" t="str">
        <f>VLOOKUP(K630,Матрицы!B:C,2,0)</f>
        <v>село</v>
      </c>
      <c r="M630" s="31" t="s">
        <v>1005</v>
      </c>
      <c r="N630" s="28">
        <v>98658455101</v>
      </c>
      <c r="O630" s="36">
        <v>526</v>
      </c>
      <c r="P630" s="1">
        <v>2</v>
      </c>
      <c r="Q630" s="1" t="s">
        <v>1892</v>
      </c>
      <c r="R630" s="1" t="s">
        <v>2993</v>
      </c>
    </row>
    <row r="631" spans="1:18">
      <c r="A631" s="23">
        <v>630</v>
      </c>
      <c r="B631" s="27">
        <f t="shared" si="10"/>
        <v>98658460101</v>
      </c>
      <c r="C631" s="23" t="s">
        <v>735</v>
      </c>
      <c r="D631" s="28">
        <v>98600000</v>
      </c>
      <c r="E631" s="23" t="s">
        <v>735</v>
      </c>
      <c r="F631" s="28">
        <v>98000000</v>
      </c>
      <c r="G631" s="30" t="s">
        <v>999</v>
      </c>
      <c r="H631" s="28">
        <v>98658000</v>
      </c>
      <c r="I631" s="30" t="s">
        <v>2909</v>
      </c>
      <c r="J631" s="23" t="s">
        <v>2994</v>
      </c>
      <c r="K631" s="23" t="s">
        <v>754</v>
      </c>
      <c r="L631" s="23" t="str">
        <f>VLOOKUP(K631,Матрицы!B:C,2,0)</f>
        <v>село</v>
      </c>
      <c r="M631" s="31" t="s">
        <v>2995</v>
      </c>
      <c r="N631" s="28">
        <v>98658460101</v>
      </c>
      <c r="O631" s="36">
        <v>1066</v>
      </c>
      <c r="P631" s="1">
        <v>2</v>
      </c>
      <c r="Q631" s="1" t="s">
        <v>2996</v>
      </c>
      <c r="R631" s="1" t="s">
        <v>2997</v>
      </c>
    </row>
    <row r="632" spans="1:18">
      <c r="A632" s="23">
        <v>631</v>
      </c>
      <c r="B632" s="27">
        <f t="shared" si="10"/>
        <v>98658460106</v>
      </c>
      <c r="C632" s="23" t="s">
        <v>735</v>
      </c>
      <c r="D632" s="28">
        <v>98600000</v>
      </c>
      <c r="E632" s="23" t="s">
        <v>735</v>
      </c>
      <c r="F632" s="28">
        <v>98000000</v>
      </c>
      <c r="G632" s="30" t="s">
        <v>999</v>
      </c>
      <c r="H632" s="28">
        <v>98658000</v>
      </c>
      <c r="I632" s="30" t="s">
        <v>2909</v>
      </c>
      <c r="J632" s="23" t="s">
        <v>2994</v>
      </c>
      <c r="K632" s="23" t="s">
        <v>754</v>
      </c>
      <c r="L632" s="23" t="str">
        <f>VLOOKUP(K632,Матрицы!B:C,2,0)</f>
        <v>село</v>
      </c>
      <c r="M632" s="31" t="s">
        <v>2998</v>
      </c>
      <c r="N632" s="28">
        <v>98658460106</v>
      </c>
      <c r="O632" s="36">
        <v>23</v>
      </c>
      <c r="P632" s="1">
        <v>2</v>
      </c>
      <c r="Q632" s="1" t="s">
        <v>2999</v>
      </c>
      <c r="R632" s="1" t="s">
        <v>3000</v>
      </c>
    </row>
    <row r="633" spans="1:18">
      <c r="A633" s="23">
        <v>632</v>
      </c>
      <c r="B633" s="27">
        <f t="shared" si="10"/>
        <v>98658465101</v>
      </c>
      <c r="C633" s="23" t="s">
        <v>735</v>
      </c>
      <c r="D633" s="28">
        <v>98600000</v>
      </c>
      <c r="E633" s="23" t="s">
        <v>735</v>
      </c>
      <c r="F633" s="28">
        <v>98000000</v>
      </c>
      <c r="G633" s="30" t="s">
        <v>999</v>
      </c>
      <c r="H633" s="28">
        <v>98658000</v>
      </c>
      <c r="I633" s="30" t="s">
        <v>2909</v>
      </c>
      <c r="J633" s="23" t="s">
        <v>1127</v>
      </c>
      <c r="K633" s="23" t="s">
        <v>754</v>
      </c>
      <c r="L633" s="23" t="str">
        <f>VLOOKUP(K633,Матрицы!B:C,2,0)</f>
        <v>село</v>
      </c>
      <c r="M633" s="31" t="s">
        <v>864</v>
      </c>
      <c r="N633" s="28">
        <v>98658465101</v>
      </c>
      <c r="O633" s="36">
        <v>577</v>
      </c>
      <c r="P633" s="1">
        <v>2</v>
      </c>
      <c r="Q633" s="11" t="s">
        <v>3001</v>
      </c>
      <c r="R633" s="11" t="s">
        <v>3002</v>
      </c>
    </row>
    <row r="634" spans="1:18">
      <c r="A634" s="23">
        <v>633</v>
      </c>
      <c r="B634" s="27">
        <f t="shared" si="10"/>
        <v>98658470101</v>
      </c>
      <c r="C634" s="23" t="s">
        <v>735</v>
      </c>
      <c r="D634" s="28">
        <v>98600000</v>
      </c>
      <c r="E634" s="23" t="s">
        <v>735</v>
      </c>
      <c r="F634" s="28">
        <v>98000000</v>
      </c>
      <c r="G634" s="30" t="s">
        <v>999</v>
      </c>
      <c r="H634" s="28">
        <v>98658000</v>
      </c>
      <c r="I634" s="30" t="s">
        <v>2909</v>
      </c>
      <c r="J634" s="23" t="s">
        <v>3003</v>
      </c>
      <c r="K634" s="23" t="s">
        <v>754</v>
      </c>
      <c r="L634" s="23" t="str">
        <f>VLOOKUP(K634,Матрицы!B:C,2,0)</f>
        <v>село</v>
      </c>
      <c r="M634" s="31" t="s">
        <v>3004</v>
      </c>
      <c r="N634" s="28">
        <v>98658470101</v>
      </c>
      <c r="O634" s="36">
        <v>10342</v>
      </c>
      <c r="P634" s="1">
        <v>2</v>
      </c>
      <c r="Q634" s="1" t="s">
        <v>2604</v>
      </c>
      <c r="R634" s="1" t="s">
        <v>3005</v>
      </c>
    </row>
    <row r="635" spans="1:18" ht="30">
      <c r="A635" s="23">
        <v>634</v>
      </c>
      <c r="B635" s="27">
        <f t="shared" si="10"/>
        <v>98659405101</v>
      </c>
      <c r="C635" s="23" t="s">
        <v>735</v>
      </c>
      <c r="D635" s="28">
        <v>98600000</v>
      </c>
      <c r="E635" s="23" t="s">
        <v>735</v>
      </c>
      <c r="F635" s="28">
        <v>98000000</v>
      </c>
      <c r="G635" s="30" t="s">
        <v>1008</v>
      </c>
      <c r="H635" s="28">
        <v>98659000</v>
      </c>
      <c r="I635" s="30" t="s">
        <v>3006</v>
      </c>
      <c r="J635" s="23" t="s">
        <v>3007</v>
      </c>
      <c r="K635" s="23" t="s">
        <v>754</v>
      </c>
      <c r="L635" s="23" t="str">
        <f>VLOOKUP(K635,Матрицы!B:C,2,0)</f>
        <v>село</v>
      </c>
      <c r="M635" s="31" t="s">
        <v>3008</v>
      </c>
      <c r="N635" s="28">
        <v>98659405101</v>
      </c>
      <c r="O635" s="36">
        <v>237</v>
      </c>
      <c r="P635" s="1">
        <v>2</v>
      </c>
      <c r="Q635" s="1" t="s">
        <v>3009</v>
      </c>
      <c r="R635" s="1" t="s">
        <v>3010</v>
      </c>
    </row>
    <row r="636" spans="1:18" ht="30">
      <c r="A636" s="23">
        <v>635</v>
      </c>
      <c r="B636" s="27">
        <f t="shared" si="10"/>
        <v>98659415101</v>
      </c>
      <c r="C636" s="23" t="s">
        <v>735</v>
      </c>
      <c r="D636" s="28">
        <v>98600000</v>
      </c>
      <c r="E636" s="23" t="s">
        <v>735</v>
      </c>
      <c r="F636" s="28">
        <v>98000000</v>
      </c>
      <c r="G636" s="30" t="s">
        <v>1008</v>
      </c>
      <c r="H636" s="28">
        <v>98659000</v>
      </c>
      <c r="I636" s="30" t="s">
        <v>3006</v>
      </c>
      <c r="J636" s="23" t="s">
        <v>3011</v>
      </c>
      <c r="K636" s="23" t="s">
        <v>754</v>
      </c>
      <c r="L636" s="23" t="str">
        <f>VLOOKUP(K636,Матрицы!B:C,2,0)</f>
        <v>село</v>
      </c>
      <c r="M636" s="31" t="s">
        <v>3012</v>
      </c>
      <c r="N636" s="28">
        <v>98659415101</v>
      </c>
      <c r="O636" s="36">
        <v>723</v>
      </c>
      <c r="P636" s="1">
        <v>2</v>
      </c>
      <c r="Q636" s="1" t="s">
        <v>3013</v>
      </c>
      <c r="R636" s="1" t="s">
        <v>3014</v>
      </c>
    </row>
    <row r="637" spans="1:18" ht="30">
      <c r="A637" s="23">
        <v>636</v>
      </c>
      <c r="B637" s="27">
        <f t="shared" si="10"/>
        <v>98659415106</v>
      </c>
      <c r="C637" s="23" t="s">
        <v>735</v>
      </c>
      <c r="D637" s="28">
        <v>98600000</v>
      </c>
      <c r="E637" s="23" t="s">
        <v>735</v>
      </c>
      <c r="F637" s="28">
        <v>98000000</v>
      </c>
      <c r="G637" s="30" t="s">
        <v>1008</v>
      </c>
      <c r="H637" s="28">
        <v>98659000</v>
      </c>
      <c r="I637" s="30" t="s">
        <v>3006</v>
      </c>
      <c r="J637" s="23" t="s">
        <v>3011</v>
      </c>
      <c r="K637" s="23" t="s">
        <v>754</v>
      </c>
      <c r="L637" s="23" t="str">
        <f>VLOOKUP(K637,Матрицы!B:C,2,0)</f>
        <v>село</v>
      </c>
      <c r="M637" s="31" t="s">
        <v>3015</v>
      </c>
      <c r="N637" s="28">
        <v>98659415106</v>
      </c>
      <c r="O637" s="39">
        <v>0</v>
      </c>
      <c r="P637" s="1">
        <v>2</v>
      </c>
      <c r="Q637" s="1" t="s">
        <v>3016</v>
      </c>
      <c r="R637" s="1" t="s">
        <v>3017</v>
      </c>
    </row>
    <row r="638" spans="1:18" ht="30">
      <c r="A638" s="23">
        <v>637</v>
      </c>
      <c r="B638" s="27">
        <f t="shared" si="10"/>
        <v>98659420101</v>
      </c>
      <c r="C638" s="23" t="s">
        <v>735</v>
      </c>
      <c r="D638" s="28">
        <v>98600000</v>
      </c>
      <c r="E638" s="23" t="s">
        <v>735</v>
      </c>
      <c r="F638" s="28">
        <v>98000000</v>
      </c>
      <c r="G638" s="30" t="s">
        <v>1008</v>
      </c>
      <c r="H638" s="28">
        <v>98659000</v>
      </c>
      <c r="I638" s="30" t="s">
        <v>3006</v>
      </c>
      <c r="J638" s="23" t="s">
        <v>3018</v>
      </c>
      <c r="K638" s="23" t="s">
        <v>754</v>
      </c>
      <c r="L638" s="23" t="str">
        <f>VLOOKUP(K638,Матрицы!B:C,2,0)</f>
        <v>село</v>
      </c>
      <c r="M638" s="31" t="s">
        <v>3019</v>
      </c>
      <c r="N638" s="28">
        <v>98659420101</v>
      </c>
      <c r="O638" s="36">
        <v>1953</v>
      </c>
      <c r="P638" s="1">
        <v>2</v>
      </c>
      <c r="Q638" s="1" t="s">
        <v>3020</v>
      </c>
      <c r="R638" s="1" t="s">
        <v>3021</v>
      </c>
    </row>
    <row r="639" spans="1:18">
      <c r="A639" s="23">
        <v>638</v>
      </c>
      <c r="B639" s="27">
        <f t="shared" si="10"/>
        <v>98660101001</v>
      </c>
      <c r="C639" s="23" t="s">
        <v>735</v>
      </c>
      <c r="D639" s="28">
        <v>98600000</v>
      </c>
      <c r="E639" s="23" t="s">
        <v>735</v>
      </c>
      <c r="F639" s="28">
        <v>98000000</v>
      </c>
      <c r="G639" s="23" t="s">
        <v>938</v>
      </c>
      <c r="H639" s="28">
        <v>98660000</v>
      </c>
      <c r="I639" s="23" t="s">
        <v>3022</v>
      </c>
      <c r="J639" s="23" t="s">
        <v>3023</v>
      </c>
      <c r="K639" s="23" t="s">
        <v>740</v>
      </c>
      <c r="L639" s="23" t="str">
        <f>VLOOKUP(K639,Матрицы!B:C,2,0)</f>
        <v>город</v>
      </c>
      <c r="M639" s="31" t="s">
        <v>418</v>
      </c>
      <c r="N639" s="28">
        <v>98660101001</v>
      </c>
      <c r="O639" s="36">
        <v>53526</v>
      </c>
      <c r="P639" s="1">
        <v>1</v>
      </c>
      <c r="Q639" s="1" t="s">
        <v>3024</v>
      </c>
      <c r="R639" s="1" t="s">
        <v>3025</v>
      </c>
    </row>
    <row r="640" spans="1:18">
      <c r="A640" s="23">
        <v>639</v>
      </c>
      <c r="B640" s="27">
        <f t="shared" si="10"/>
        <v>98660152051</v>
      </c>
      <c r="C640" s="23" t="s">
        <v>735</v>
      </c>
      <c r="D640" s="28">
        <v>98600000</v>
      </c>
      <c r="E640" s="23" t="s">
        <v>735</v>
      </c>
      <c r="F640" s="28">
        <v>98000000</v>
      </c>
      <c r="G640" s="30" t="s">
        <v>938</v>
      </c>
      <c r="H640" s="28">
        <v>98660000</v>
      </c>
      <c r="I640" s="23" t="s">
        <v>3022</v>
      </c>
      <c r="J640" s="23" t="s">
        <v>3026</v>
      </c>
      <c r="K640" s="23" t="s">
        <v>819</v>
      </c>
      <c r="L640" s="23" t="str">
        <f>VLOOKUP(K640,Матрицы!B:C,2,0)</f>
        <v>поселок</v>
      </c>
      <c r="M640" s="31" t="s">
        <v>3027</v>
      </c>
      <c r="N640" s="28">
        <v>98660152051</v>
      </c>
      <c r="O640" s="36">
        <v>3641</v>
      </c>
      <c r="P640" s="1">
        <v>1</v>
      </c>
      <c r="Q640" s="1" t="s">
        <v>3028</v>
      </c>
      <c r="R640" s="1" t="s">
        <v>3029</v>
      </c>
    </row>
    <row r="641" spans="1:33">
      <c r="A641" s="23">
        <v>640</v>
      </c>
      <c r="B641" s="27">
        <f t="shared" si="10"/>
        <v>98660154051</v>
      </c>
      <c r="C641" s="23" t="s">
        <v>735</v>
      </c>
      <c r="D641" s="28">
        <v>98600000</v>
      </c>
      <c r="E641" s="23" t="s">
        <v>735</v>
      </c>
      <c r="F641" s="28">
        <v>98000000</v>
      </c>
      <c r="G641" s="30" t="s">
        <v>938</v>
      </c>
      <c r="H641" s="28">
        <v>98660000</v>
      </c>
      <c r="I641" s="23" t="s">
        <v>3022</v>
      </c>
      <c r="J641" s="23" t="s">
        <v>3030</v>
      </c>
      <c r="K641" s="23" t="s">
        <v>819</v>
      </c>
      <c r="L641" s="23" t="str">
        <f>VLOOKUP(K641,Матрицы!B:C,2,0)</f>
        <v>поселок</v>
      </c>
      <c r="M641" s="31" t="s">
        <v>411</v>
      </c>
      <c r="N641" s="28">
        <v>98660154051</v>
      </c>
      <c r="O641" s="36">
        <v>585</v>
      </c>
      <c r="P641" s="1">
        <v>1</v>
      </c>
      <c r="Q641" s="1" t="s">
        <v>3031</v>
      </c>
      <c r="R641" s="1" t="s">
        <v>3032</v>
      </c>
    </row>
    <row r="642" spans="1:33">
      <c r="A642" s="23">
        <v>641</v>
      </c>
      <c r="B642" s="27">
        <f t="shared" si="10"/>
        <v>98660158051</v>
      </c>
      <c r="C642" s="23" t="s">
        <v>735</v>
      </c>
      <c r="D642" s="28">
        <v>98600000</v>
      </c>
      <c r="E642" s="23" t="s">
        <v>735</v>
      </c>
      <c r="F642" s="28">
        <v>98000000</v>
      </c>
      <c r="G642" s="30" t="s">
        <v>938</v>
      </c>
      <c r="H642" s="28">
        <v>98660000</v>
      </c>
      <c r="I642" s="23" t="s">
        <v>3022</v>
      </c>
      <c r="J642" s="23" t="s">
        <v>3033</v>
      </c>
      <c r="K642" s="23" t="s">
        <v>819</v>
      </c>
      <c r="L642" s="23" t="str">
        <f>VLOOKUP(K642,Матрицы!B:C,2,0)</f>
        <v>поселок</v>
      </c>
      <c r="M642" s="31" t="s">
        <v>3034</v>
      </c>
      <c r="N642" s="28">
        <v>98660158051</v>
      </c>
      <c r="O642" s="36">
        <v>1949</v>
      </c>
      <c r="P642" s="1">
        <v>1</v>
      </c>
      <c r="Q642" s="1" t="s">
        <v>3035</v>
      </c>
      <c r="R642" s="1" t="s">
        <v>3036</v>
      </c>
    </row>
    <row r="643" spans="1:33">
      <c r="A643" s="23">
        <v>642</v>
      </c>
      <c r="B643" s="27">
        <f t="shared" si="10"/>
        <v>98660164051</v>
      </c>
      <c r="C643" s="23" t="s">
        <v>735</v>
      </c>
      <c r="D643" s="28">
        <v>98600000</v>
      </c>
      <c r="E643" s="23" t="s">
        <v>735</v>
      </c>
      <c r="F643" s="28">
        <v>98000000</v>
      </c>
      <c r="G643" s="30" t="s">
        <v>938</v>
      </c>
      <c r="H643" s="28">
        <v>98660000</v>
      </c>
      <c r="I643" s="23" t="s">
        <v>3022</v>
      </c>
      <c r="J643" s="23" t="s">
        <v>3037</v>
      </c>
      <c r="K643" s="23" t="s">
        <v>819</v>
      </c>
      <c r="L643" s="23" t="str">
        <f>VLOOKUP(K643,Матрицы!B:C,2,0)</f>
        <v>поселок</v>
      </c>
      <c r="M643" s="31" t="s">
        <v>3038</v>
      </c>
      <c r="N643" s="28">
        <v>98660164051</v>
      </c>
      <c r="O643" s="36">
        <v>641</v>
      </c>
      <c r="P643" s="1">
        <v>1</v>
      </c>
      <c r="Q643" s="1" t="s">
        <v>3039</v>
      </c>
      <c r="R643" s="1" t="s">
        <v>3040</v>
      </c>
    </row>
    <row r="644" spans="1:33">
      <c r="A644" s="23">
        <v>643</v>
      </c>
      <c r="B644" s="27">
        <f t="shared" ref="B644:B659" si="11">N644</f>
        <v>98660165051</v>
      </c>
      <c r="C644" s="23" t="s">
        <v>735</v>
      </c>
      <c r="D644" s="28">
        <v>98600000</v>
      </c>
      <c r="E644" s="23" t="s">
        <v>735</v>
      </c>
      <c r="F644" s="28">
        <v>98000000</v>
      </c>
      <c r="G644" s="30" t="s">
        <v>938</v>
      </c>
      <c r="H644" s="28">
        <v>98660000</v>
      </c>
      <c r="I644" s="23" t="s">
        <v>3022</v>
      </c>
      <c r="J644" s="23" t="s">
        <v>3041</v>
      </c>
      <c r="K644" s="23" t="s">
        <v>819</v>
      </c>
      <c r="L644" s="23" t="str">
        <f>VLOOKUP(K644,Матрицы!B:C,2,0)</f>
        <v>поселок</v>
      </c>
      <c r="M644" s="31" t="s">
        <v>414</v>
      </c>
      <c r="N644" s="28">
        <v>98660165051</v>
      </c>
      <c r="O644" s="36">
        <v>7428</v>
      </c>
      <c r="P644" s="1">
        <v>1</v>
      </c>
      <c r="Q644" s="1" t="s">
        <v>3042</v>
      </c>
      <c r="R644" s="1" t="s">
        <v>3043</v>
      </c>
    </row>
    <row r="645" spans="1:33">
      <c r="A645" s="23">
        <v>644</v>
      </c>
      <c r="B645" s="27">
        <f t="shared" si="11"/>
        <v>98660165106</v>
      </c>
      <c r="C645" s="23" t="s">
        <v>735</v>
      </c>
      <c r="D645" s="28">
        <v>98600000</v>
      </c>
      <c r="E645" s="23" t="s">
        <v>735</v>
      </c>
      <c r="F645" s="28">
        <v>98000000</v>
      </c>
      <c r="G645" s="30" t="s">
        <v>938</v>
      </c>
      <c r="H645" s="28">
        <v>98660000</v>
      </c>
      <c r="I645" s="23" t="s">
        <v>3022</v>
      </c>
      <c r="J645" s="23" t="s">
        <v>3041</v>
      </c>
      <c r="K645" s="23" t="s">
        <v>754</v>
      </c>
      <c r="L645" s="23" t="str">
        <f>VLOOKUP(K645,Матрицы!B:C,2,0)</f>
        <v>село</v>
      </c>
      <c r="M645" s="31" t="s">
        <v>3044</v>
      </c>
      <c r="N645" s="28">
        <v>98660165106</v>
      </c>
      <c r="O645" s="36">
        <v>218</v>
      </c>
      <c r="P645" s="1">
        <v>2</v>
      </c>
      <c r="Q645" s="1" t="s">
        <v>3045</v>
      </c>
      <c r="R645" s="1" t="s">
        <v>3046</v>
      </c>
    </row>
    <row r="646" spans="1:33">
      <c r="A646" s="23">
        <v>645</v>
      </c>
      <c r="B646" s="27">
        <f t="shared" si="11"/>
        <v>98660405101</v>
      </c>
      <c r="C646" s="23" t="s">
        <v>735</v>
      </c>
      <c r="D646" s="28">
        <v>98600000</v>
      </c>
      <c r="E646" s="23" t="s">
        <v>735</v>
      </c>
      <c r="F646" s="28">
        <v>98000000</v>
      </c>
      <c r="G646" s="30" t="s">
        <v>938</v>
      </c>
      <c r="H646" s="28">
        <v>98660000</v>
      </c>
      <c r="I646" s="23" t="s">
        <v>3047</v>
      </c>
      <c r="J646" s="23" t="s">
        <v>3048</v>
      </c>
      <c r="K646" s="23" t="s">
        <v>754</v>
      </c>
      <c r="L646" s="23" t="str">
        <f>VLOOKUP(K646,Матрицы!B:C,2,0)</f>
        <v>село</v>
      </c>
      <c r="M646" s="31" t="s">
        <v>410</v>
      </c>
      <c r="N646" s="28">
        <v>98660405101</v>
      </c>
      <c r="O646" s="36">
        <v>1044</v>
      </c>
      <c r="P646" s="1">
        <v>2</v>
      </c>
      <c r="Q646" s="1" t="s">
        <v>3049</v>
      </c>
      <c r="R646" s="1" t="s">
        <v>3050</v>
      </c>
    </row>
    <row r="647" spans="1:33" s="23" customFormat="1">
      <c r="A647" s="23">
        <v>646</v>
      </c>
      <c r="B647" s="27">
        <f t="shared" si="11"/>
        <v>25644101001</v>
      </c>
      <c r="C647" s="23" t="s">
        <v>3051</v>
      </c>
      <c r="D647" s="28">
        <v>25000000</v>
      </c>
      <c r="E647" s="23" t="s">
        <v>3052</v>
      </c>
      <c r="F647" s="28">
        <v>25600000</v>
      </c>
      <c r="G647" s="23" t="s">
        <v>3053</v>
      </c>
      <c r="H647" s="28">
        <v>25644000</v>
      </c>
      <c r="I647" s="23" t="s">
        <v>3054</v>
      </c>
      <c r="J647" s="23" t="s">
        <v>3055</v>
      </c>
      <c r="K647" s="23" t="s">
        <v>740</v>
      </c>
      <c r="L647" s="23" t="str">
        <f>VLOOKUP(K647,Матрицы!B:C,2,0)</f>
        <v>город</v>
      </c>
      <c r="M647" s="31" t="s">
        <v>12</v>
      </c>
      <c r="N647" s="28">
        <v>25644101001</v>
      </c>
      <c r="O647" s="36">
        <v>36918</v>
      </c>
      <c r="P647" s="1">
        <v>2</v>
      </c>
      <c r="Q647" s="11" t="s">
        <v>3056</v>
      </c>
      <c r="R647" s="11" t="s">
        <v>3057</v>
      </c>
    </row>
    <row r="648" spans="1:33" s="23" customFormat="1">
      <c r="A648" s="23">
        <v>647</v>
      </c>
      <c r="B648" s="27">
        <f t="shared" si="11"/>
        <v>25620101141</v>
      </c>
      <c r="C648" s="23" t="s">
        <v>3051</v>
      </c>
      <c r="D648" s="28">
        <v>25000000</v>
      </c>
      <c r="E648" s="23" t="s">
        <v>3052</v>
      </c>
      <c r="F648" s="28">
        <v>25600000</v>
      </c>
      <c r="G648" s="23" t="s">
        <v>3058</v>
      </c>
      <c r="H648" s="28">
        <v>25620000</v>
      </c>
      <c r="I648" s="23" t="s">
        <v>3059</v>
      </c>
      <c r="J648" s="23" t="s">
        <v>3060</v>
      </c>
      <c r="K648" s="23" t="s">
        <v>754</v>
      </c>
      <c r="L648" s="23" t="str">
        <f>VLOOKUP(K648,Матрицы!B:C,2,0)</f>
        <v>село</v>
      </c>
      <c r="M648" s="31" t="s">
        <v>15</v>
      </c>
      <c r="N648" s="28">
        <v>25620101141</v>
      </c>
      <c r="O648" s="36">
        <v>87</v>
      </c>
      <c r="P648" s="1">
        <v>2</v>
      </c>
      <c r="Q648" s="11" t="s">
        <v>3061</v>
      </c>
      <c r="R648" s="11" t="s">
        <v>3062</v>
      </c>
    </row>
    <row r="649" spans="1:33" s="23" customFormat="1" ht="60">
      <c r="A649" s="23">
        <v>648</v>
      </c>
      <c r="B649" s="27">
        <f t="shared" si="11"/>
        <v>25620701912</v>
      </c>
      <c r="C649" s="23" t="s">
        <v>3051</v>
      </c>
      <c r="D649" s="28">
        <v>25000000</v>
      </c>
      <c r="E649" s="23" t="s">
        <v>3052</v>
      </c>
      <c r="F649" s="28">
        <v>25600000</v>
      </c>
      <c r="G649" s="23" t="s">
        <v>3058</v>
      </c>
      <c r="H649" s="28">
        <v>25620000</v>
      </c>
      <c r="I649" s="23" t="s">
        <v>3063</v>
      </c>
      <c r="J649" s="30" t="s">
        <v>3064</v>
      </c>
      <c r="K649" s="23" t="s">
        <v>819</v>
      </c>
      <c r="L649" s="23" t="str">
        <f>VLOOKUP(K649,Матрицы!B:C,2,0)</f>
        <v>поселок</v>
      </c>
      <c r="M649" s="31" t="s">
        <v>18</v>
      </c>
      <c r="N649" s="28">
        <v>25620701912</v>
      </c>
      <c r="O649" s="36">
        <v>56</v>
      </c>
      <c r="P649" s="1">
        <v>2</v>
      </c>
      <c r="Q649" s="11" t="s">
        <v>3065</v>
      </c>
      <c r="R649" s="11" t="s">
        <v>3066</v>
      </c>
    </row>
    <row r="650" spans="1:33" s="23" customFormat="1">
      <c r="A650" s="23">
        <v>649</v>
      </c>
      <c r="B650" s="27">
        <f t="shared" si="11"/>
        <v>25602101001</v>
      </c>
      <c r="C650" s="23" t="s">
        <v>3051</v>
      </c>
      <c r="D650" s="28">
        <v>25000000</v>
      </c>
      <c r="E650" s="23" t="s">
        <v>3052</v>
      </c>
      <c r="F650" s="28">
        <v>25600000</v>
      </c>
      <c r="G650" s="23" t="s">
        <v>3067</v>
      </c>
      <c r="H650" s="28">
        <v>25602000</v>
      </c>
      <c r="I650" s="23" t="s">
        <v>3068</v>
      </c>
      <c r="J650" s="30" t="s">
        <v>3069</v>
      </c>
      <c r="K650" s="23" t="s">
        <v>740</v>
      </c>
      <c r="L650" s="23" t="str">
        <f>VLOOKUP(K650,Матрицы!B:C,2,0)</f>
        <v>город</v>
      </c>
      <c r="M650" s="31" t="s">
        <v>253</v>
      </c>
      <c r="N650" s="28">
        <v>25602101001</v>
      </c>
      <c r="O650" s="36">
        <v>8921</v>
      </c>
      <c r="P650" s="1">
        <v>2</v>
      </c>
      <c r="Q650" s="11" t="s">
        <v>3070</v>
      </c>
      <c r="R650" s="11" t="s">
        <v>3071</v>
      </c>
    </row>
    <row r="651" spans="1:33" s="23" customFormat="1">
      <c r="A651" s="23">
        <v>650</v>
      </c>
      <c r="B651" s="27">
        <f t="shared" si="11"/>
        <v>81606442101</v>
      </c>
      <c r="C651" s="23" t="s">
        <v>3072</v>
      </c>
      <c r="D651" s="28">
        <v>81000000</v>
      </c>
      <c r="E651" s="23" t="s">
        <v>3073</v>
      </c>
      <c r="F651" s="28">
        <v>81600000</v>
      </c>
      <c r="G651" s="23" t="s">
        <v>3074</v>
      </c>
      <c r="H651" s="28">
        <v>81606000</v>
      </c>
      <c r="I651" s="23" t="s">
        <v>3075</v>
      </c>
      <c r="J651" s="23" t="s">
        <v>3076</v>
      </c>
      <c r="K651" s="23" t="s">
        <v>754</v>
      </c>
      <c r="L651" s="23" t="str">
        <f>VLOOKUP(K651,Матрицы!B:C,2,0)</f>
        <v>село</v>
      </c>
      <c r="M651" s="31" t="s">
        <v>244</v>
      </c>
      <c r="N651" s="28">
        <v>81606442101</v>
      </c>
      <c r="O651" s="36">
        <v>1081</v>
      </c>
      <c r="P651" s="1">
        <v>2</v>
      </c>
      <c r="Q651" s="11" t="s">
        <v>3077</v>
      </c>
      <c r="R651" s="11" t="s">
        <v>3078</v>
      </c>
    </row>
    <row r="652" spans="1:33" s="23" customFormat="1">
      <c r="A652" s="23">
        <v>651</v>
      </c>
      <c r="B652" s="27">
        <f t="shared" si="11"/>
        <v>76515000116</v>
      </c>
      <c r="C652" s="23" t="s">
        <v>3079</v>
      </c>
      <c r="D652" s="28">
        <v>76000000</v>
      </c>
      <c r="E652" s="23" t="s">
        <v>3080</v>
      </c>
      <c r="F652" s="28">
        <v>76500000</v>
      </c>
      <c r="G652" s="23" t="s">
        <v>3081</v>
      </c>
      <c r="H652" s="28">
        <v>76515000</v>
      </c>
      <c r="I652" s="29">
        <v>0</v>
      </c>
      <c r="J652" s="29">
        <v>0</v>
      </c>
      <c r="K652" s="23" t="s">
        <v>754</v>
      </c>
      <c r="L652" s="23" t="str">
        <f>VLOOKUP(K652,Матрицы!B:C,2,0)</f>
        <v>село</v>
      </c>
      <c r="M652" s="31" t="s">
        <v>250</v>
      </c>
      <c r="N652" s="28">
        <v>76515000116</v>
      </c>
      <c r="O652" s="36">
        <v>46</v>
      </c>
      <c r="P652" s="1">
        <v>2</v>
      </c>
      <c r="Q652" s="11" t="s">
        <v>3082</v>
      </c>
      <c r="R652" s="11" t="s">
        <v>3083</v>
      </c>
    </row>
    <row r="653" spans="1:33" s="23" customFormat="1" ht="60">
      <c r="A653" s="23">
        <v>652</v>
      </c>
      <c r="B653" s="27">
        <f t="shared" si="11"/>
        <v>76642701907</v>
      </c>
      <c r="C653" s="23" t="s">
        <v>3079</v>
      </c>
      <c r="D653" s="28">
        <v>76000000</v>
      </c>
      <c r="E653" s="23" t="s">
        <v>3080</v>
      </c>
      <c r="F653" s="36">
        <v>76500000</v>
      </c>
      <c r="G653" s="30" t="s">
        <v>3084</v>
      </c>
      <c r="H653" s="28">
        <v>76642000</v>
      </c>
      <c r="I653" s="23" t="s">
        <v>3085</v>
      </c>
      <c r="J653" s="30" t="s">
        <v>3086</v>
      </c>
      <c r="K653" s="23" t="s">
        <v>754</v>
      </c>
      <c r="L653" s="23" t="str">
        <f>VLOOKUP(K653,Матрицы!B:C,2,0)</f>
        <v>село</v>
      </c>
      <c r="M653" s="31" t="s">
        <v>3087</v>
      </c>
      <c r="N653" s="28">
        <v>76642701907</v>
      </c>
      <c r="O653" s="36">
        <v>54</v>
      </c>
      <c r="P653" s="1">
        <v>2</v>
      </c>
      <c r="Q653" s="11" t="s">
        <v>3088</v>
      </c>
      <c r="R653" s="11" t="s">
        <v>3089</v>
      </c>
    </row>
    <row r="654" spans="1:33">
      <c r="A654" s="23">
        <v>653</v>
      </c>
      <c r="B654" s="27">
        <f t="shared" si="11"/>
        <v>8606416101</v>
      </c>
      <c r="C654" s="23" t="s">
        <v>3090</v>
      </c>
      <c r="D654" s="41" t="s">
        <v>3091</v>
      </c>
      <c r="E654" s="23" t="s">
        <v>3092</v>
      </c>
      <c r="F654" s="41" t="s">
        <v>3093</v>
      </c>
      <c r="G654" s="23" t="s">
        <v>3094</v>
      </c>
      <c r="H654" s="41" t="s">
        <v>3095</v>
      </c>
      <c r="I654" s="23" t="s">
        <v>3096</v>
      </c>
      <c r="J654" s="23" t="s">
        <v>3097</v>
      </c>
      <c r="K654" s="23" t="s">
        <v>754</v>
      </c>
      <c r="L654" s="23" t="str">
        <f>VLOOKUP(K654,Матрицы!B:C,2,0)</f>
        <v>село</v>
      </c>
      <c r="M654" s="31" t="s">
        <v>432</v>
      </c>
      <c r="N654" s="28">
        <v>8606416101</v>
      </c>
      <c r="O654" s="36">
        <v>721</v>
      </c>
      <c r="P654" s="1">
        <v>2</v>
      </c>
      <c r="Q654" s="11" t="s">
        <v>3098</v>
      </c>
      <c r="R654" s="11" t="s">
        <v>3099</v>
      </c>
    </row>
    <row r="655" spans="1:33">
      <c r="A655" s="23">
        <v>654</v>
      </c>
      <c r="B655" s="42">
        <f t="shared" si="11"/>
        <v>8606402101</v>
      </c>
      <c r="C655" s="23" t="s">
        <v>3090</v>
      </c>
      <c r="D655" s="41" t="s">
        <v>3091</v>
      </c>
      <c r="E655" s="23" t="s">
        <v>3092</v>
      </c>
      <c r="F655" s="41" t="s">
        <v>3093</v>
      </c>
      <c r="G655" s="23" t="s">
        <v>3094</v>
      </c>
      <c r="H655" s="41" t="s">
        <v>3095</v>
      </c>
      <c r="I655" s="23" t="s">
        <v>3096</v>
      </c>
      <c r="J655" s="23" t="s">
        <v>3100</v>
      </c>
      <c r="K655" s="23" t="s">
        <v>754</v>
      </c>
      <c r="L655" s="23" t="str">
        <f>VLOOKUP(K655,Матрицы!B:C,2,0)</f>
        <v>село</v>
      </c>
      <c r="M655" s="31" t="s">
        <v>435</v>
      </c>
      <c r="N655" s="36">
        <v>8606402101</v>
      </c>
      <c r="O655" s="36">
        <v>172</v>
      </c>
      <c r="P655" s="1">
        <v>2</v>
      </c>
      <c r="Q655" s="11" t="s">
        <v>3101</v>
      </c>
      <c r="R655" s="11" t="s">
        <v>3102</v>
      </c>
    </row>
    <row r="656" spans="1:33" s="51" customFormat="1">
      <c r="A656" s="23">
        <v>655</v>
      </c>
      <c r="B656" s="27">
        <f t="shared" si="11"/>
        <v>44510000051</v>
      </c>
      <c r="C656" s="43" t="s">
        <v>3103</v>
      </c>
      <c r="D656" s="44">
        <v>44000000</v>
      </c>
      <c r="E656" s="45" t="s">
        <v>3104</v>
      </c>
      <c r="F656" s="46">
        <v>44500000</v>
      </c>
      <c r="G656" s="29">
        <v>0</v>
      </c>
      <c r="H656" s="29">
        <v>0</v>
      </c>
      <c r="I656" s="29">
        <v>0</v>
      </c>
      <c r="J656" s="47" t="s">
        <v>3105</v>
      </c>
      <c r="K656" s="43" t="s">
        <v>3106</v>
      </c>
      <c r="L656" s="23" t="str">
        <f>VLOOKUP(K656,Матрицы!B:C,2,0)</f>
        <v>поселок городского типа</v>
      </c>
      <c r="M656" s="48" t="s">
        <v>670</v>
      </c>
      <c r="N656" s="49">
        <v>44510000051</v>
      </c>
      <c r="O656" s="50">
        <v>2081</v>
      </c>
      <c r="P656" s="1">
        <v>2</v>
      </c>
      <c r="Q656" s="11" t="s">
        <v>3107</v>
      </c>
      <c r="R656" s="11" t="s">
        <v>3108</v>
      </c>
      <c r="S656" s="47"/>
      <c r="T656" s="23"/>
      <c r="U656" s="23"/>
      <c r="V656" s="23"/>
      <c r="W656" s="23"/>
      <c r="X656" s="23"/>
      <c r="Y656" s="23"/>
      <c r="Z656" s="47"/>
      <c r="AA656" s="47"/>
      <c r="AB656" s="47"/>
      <c r="AC656" s="47"/>
      <c r="AD656" s="47"/>
      <c r="AE656" s="47"/>
      <c r="AF656" s="47"/>
      <c r="AG656" s="47"/>
    </row>
    <row r="657" spans="1:33" s="51" customFormat="1">
      <c r="A657" s="23">
        <v>656</v>
      </c>
      <c r="B657" s="27">
        <f t="shared" si="11"/>
        <v>44510000102</v>
      </c>
      <c r="C657" s="43" t="s">
        <v>3103</v>
      </c>
      <c r="D657" s="44">
        <v>44000000</v>
      </c>
      <c r="E657" s="45" t="s">
        <v>3104</v>
      </c>
      <c r="F657" s="46">
        <v>44500000</v>
      </c>
      <c r="G657" s="29">
        <v>0</v>
      </c>
      <c r="H657" s="29">
        <v>0</v>
      </c>
      <c r="I657" s="29">
        <v>0</v>
      </c>
      <c r="J657" s="47" t="s">
        <v>3105</v>
      </c>
      <c r="K657" s="43" t="s">
        <v>754</v>
      </c>
      <c r="L657" s="23" t="str">
        <f>VLOOKUP(K657,Матрицы!B:C,2,0)</f>
        <v>село</v>
      </c>
      <c r="M657" s="48" t="s">
        <v>673</v>
      </c>
      <c r="N657" s="49">
        <v>44510000102</v>
      </c>
      <c r="O657" s="50">
        <v>2</v>
      </c>
      <c r="P657" s="1">
        <v>2</v>
      </c>
      <c r="Q657" s="11" t="s">
        <v>3109</v>
      </c>
      <c r="R657" s="11" t="s">
        <v>3110</v>
      </c>
      <c r="S657" s="47"/>
      <c r="T657" s="23"/>
      <c r="U657" s="23"/>
      <c r="V657" s="23"/>
      <c r="W657" s="23"/>
      <c r="X657" s="23"/>
      <c r="Y657" s="23"/>
      <c r="Z657" s="47"/>
      <c r="AA657" s="47"/>
      <c r="AB657" s="47"/>
      <c r="AC657" s="47"/>
      <c r="AD657" s="47"/>
      <c r="AE657" s="47"/>
      <c r="AF657" s="47"/>
      <c r="AG657" s="47"/>
    </row>
    <row r="658" spans="1:33">
      <c r="A658" s="23">
        <v>657</v>
      </c>
      <c r="B658" s="27">
        <f t="shared" si="11"/>
        <v>25620419104</v>
      </c>
      <c r="C658" s="43" t="s">
        <v>3051</v>
      </c>
      <c r="D658" s="44">
        <v>25000000</v>
      </c>
      <c r="E658" s="45" t="s">
        <v>3052</v>
      </c>
      <c r="F658" s="46">
        <v>25600000</v>
      </c>
      <c r="G658" s="45" t="s">
        <v>3058</v>
      </c>
      <c r="H658" s="46">
        <v>25620000</v>
      </c>
      <c r="I658" s="23" t="s">
        <v>3111</v>
      </c>
      <c r="J658" s="47" t="s">
        <v>3112</v>
      </c>
      <c r="K658" s="52" t="s">
        <v>3113</v>
      </c>
      <c r="L658" s="23" t="str">
        <f>VLOOKUP(K658,Матрицы!B:C,2,0)</f>
        <v>деревня</v>
      </c>
      <c r="M658" s="31" t="s">
        <v>3114</v>
      </c>
      <c r="N658" s="28">
        <v>25620419104</v>
      </c>
      <c r="O658" s="36">
        <v>5</v>
      </c>
      <c r="P658" s="1">
        <v>2</v>
      </c>
      <c r="Q658" s="11" t="s">
        <v>3115</v>
      </c>
      <c r="R658" s="11" t="s">
        <v>3116</v>
      </c>
    </row>
    <row r="659" spans="1:33">
      <c r="A659" s="52">
        <v>658</v>
      </c>
      <c r="B659" s="53">
        <f t="shared" si="11"/>
        <v>25602402106</v>
      </c>
      <c r="C659" s="43" t="s">
        <v>3051</v>
      </c>
      <c r="D659" s="44">
        <v>25000000</v>
      </c>
      <c r="E659" s="45" t="s">
        <v>3052</v>
      </c>
      <c r="F659" s="46">
        <v>25600000</v>
      </c>
      <c r="G659" s="54" t="s">
        <v>3067</v>
      </c>
      <c r="H659" s="46">
        <v>25602000</v>
      </c>
      <c r="I659" s="47" t="s">
        <v>3117</v>
      </c>
      <c r="J659" s="52" t="s">
        <v>3118</v>
      </c>
      <c r="K659" s="52" t="s">
        <v>754</v>
      </c>
      <c r="L659" s="23" t="str">
        <f>VLOOKUP(K659,Матрицы!B:C,2,0)</f>
        <v>село</v>
      </c>
      <c r="M659" s="55" t="s">
        <v>3119</v>
      </c>
      <c r="N659" s="56">
        <v>25602402106</v>
      </c>
      <c r="O659" s="57">
        <v>52</v>
      </c>
      <c r="P659" s="58">
        <v>2</v>
      </c>
      <c r="Q659" s="11" t="s">
        <v>3120</v>
      </c>
      <c r="R659" s="11" t="s">
        <v>3121</v>
      </c>
      <c r="S659" s="52"/>
      <c r="T659" s="52"/>
      <c r="V659" s="47"/>
      <c r="W659" s="47"/>
      <c r="X659" s="47"/>
      <c r="Y659" s="47"/>
    </row>
    <row r="660" spans="1:33">
      <c r="A660" s="52"/>
      <c r="B660" s="52"/>
      <c r="C660" s="58"/>
      <c r="D660" s="58"/>
      <c r="E660" s="58"/>
      <c r="F660" s="58"/>
      <c r="G660" s="59"/>
      <c r="H660" s="58"/>
      <c r="I660" s="58"/>
      <c r="J660" s="52"/>
      <c r="K660" s="52"/>
      <c r="L660" s="52"/>
      <c r="M660" s="55"/>
      <c r="N660" s="56"/>
      <c r="O660" s="57"/>
      <c r="P660" s="58"/>
      <c r="S660" s="52"/>
      <c r="T660" s="47"/>
      <c r="U660" s="47"/>
      <c r="V660" s="47"/>
      <c r="W660" s="47"/>
      <c r="X660" s="47"/>
      <c r="Y660" s="47"/>
    </row>
    <row r="661" spans="1:33">
      <c r="A661" s="52"/>
      <c r="B661" s="52"/>
      <c r="C661" s="58"/>
      <c r="D661" s="58"/>
      <c r="E661" s="58"/>
      <c r="F661" s="58"/>
      <c r="G661" s="59"/>
      <c r="H661" s="58"/>
      <c r="I661" s="58"/>
      <c r="J661" s="52"/>
      <c r="K661" s="52"/>
      <c r="L661" s="52"/>
      <c r="M661" s="55"/>
      <c r="N661" s="56"/>
      <c r="O661" s="57"/>
      <c r="P661" s="58"/>
      <c r="S661" s="52"/>
      <c r="T661" s="47"/>
      <c r="U661" s="47"/>
    </row>
    <row r="662" spans="1:33">
      <c r="A662" s="52"/>
      <c r="B662" s="52"/>
      <c r="C662" s="58"/>
      <c r="D662" s="58"/>
      <c r="E662" s="58"/>
      <c r="F662" s="58"/>
      <c r="G662" s="59"/>
      <c r="H662" s="58"/>
      <c r="I662" s="58"/>
      <c r="J662" s="52"/>
      <c r="K662" s="52"/>
      <c r="L662" s="52"/>
      <c r="M662" s="55"/>
      <c r="N662" s="56"/>
      <c r="O662" s="57"/>
      <c r="P662" s="58"/>
      <c r="S662" s="52"/>
      <c r="T662" s="52"/>
    </row>
    <row r="663" spans="1:33">
      <c r="A663" s="52"/>
      <c r="B663" s="52"/>
      <c r="C663" s="58"/>
      <c r="D663" s="58"/>
      <c r="E663" s="58"/>
      <c r="F663" s="58"/>
      <c r="G663" s="59"/>
      <c r="H663" s="58"/>
      <c r="I663" s="58"/>
      <c r="J663" s="52"/>
      <c r="K663" s="52"/>
      <c r="L663" s="52"/>
      <c r="M663" s="55"/>
      <c r="N663" s="56"/>
      <c r="O663" s="57"/>
      <c r="P663" s="58"/>
      <c r="S663" s="52"/>
      <c r="T663" s="52"/>
    </row>
    <row r="664" spans="1:33">
      <c r="A664" s="52"/>
      <c r="B664" s="52"/>
      <c r="C664" s="60"/>
      <c r="D664" s="60"/>
      <c r="E664" s="60"/>
      <c r="F664" s="60"/>
      <c r="G664" s="61"/>
      <c r="H664" s="58"/>
      <c r="I664" s="58"/>
      <c r="J664" s="52"/>
      <c r="K664" s="52"/>
      <c r="L664" s="52"/>
      <c r="M664" s="55"/>
      <c r="N664" s="56"/>
      <c r="O664" s="57"/>
      <c r="P664" s="58"/>
      <c r="S664" s="52"/>
      <c r="T664" s="52"/>
    </row>
    <row r="665" spans="1:33">
      <c r="A665" s="52"/>
      <c r="B665" s="52"/>
      <c r="C665" s="58"/>
      <c r="D665" s="58"/>
      <c r="E665" s="58"/>
      <c r="F665" s="58"/>
      <c r="G665" s="62"/>
      <c r="H665" s="58"/>
      <c r="I665" s="58"/>
      <c r="J665" s="52"/>
      <c r="K665" s="52"/>
      <c r="L665" s="52"/>
      <c r="M665" s="55"/>
      <c r="N665" s="56"/>
      <c r="O665" s="57"/>
      <c r="P665" s="58"/>
      <c r="S665" s="52"/>
      <c r="T665" s="52"/>
    </row>
    <row r="666" spans="1:33">
      <c r="A666" s="52"/>
      <c r="B666" s="52"/>
      <c r="C666" s="58"/>
      <c r="D666" s="58"/>
      <c r="E666" s="58"/>
      <c r="F666" s="58"/>
      <c r="G666" s="61"/>
      <c r="H666" s="58"/>
      <c r="I666" s="58"/>
      <c r="J666" s="52"/>
      <c r="K666" s="52"/>
      <c r="L666" s="52"/>
      <c r="M666" s="55"/>
      <c r="N666" s="56"/>
      <c r="O666" s="57"/>
      <c r="P666" s="58"/>
      <c r="S666" s="52"/>
      <c r="T666" s="52"/>
    </row>
    <row r="667" spans="1:33">
      <c r="A667" s="52"/>
      <c r="B667" s="52"/>
      <c r="C667" s="60"/>
      <c r="D667" s="60"/>
      <c r="E667" s="60"/>
      <c r="F667" s="60"/>
      <c r="G667" s="63"/>
      <c r="H667" s="60"/>
      <c r="I667" s="60"/>
      <c r="J667" s="52"/>
      <c r="K667" s="52"/>
      <c r="L667" s="52"/>
      <c r="M667" s="55"/>
      <c r="N667" s="56"/>
      <c r="O667" s="57"/>
      <c r="P667" s="58"/>
      <c r="S667" s="52"/>
      <c r="T667" s="52"/>
    </row>
    <row r="668" spans="1:33">
      <c r="A668" s="52"/>
      <c r="B668" s="52"/>
      <c r="C668" s="60"/>
      <c r="D668" s="60"/>
      <c r="E668" s="60"/>
      <c r="F668" s="60"/>
      <c r="G668" s="63"/>
      <c r="H668" s="60"/>
      <c r="I668" s="60"/>
      <c r="J668" s="52"/>
      <c r="K668" s="52"/>
      <c r="L668" s="52"/>
      <c r="M668" s="55"/>
      <c r="N668" s="56"/>
      <c r="O668" s="57"/>
      <c r="P668" s="58"/>
      <c r="S668" s="52"/>
      <c r="T668" s="52"/>
    </row>
    <row r="669" spans="1:33">
      <c r="A669" s="52"/>
      <c r="B669" s="52"/>
      <c r="C669" s="60"/>
      <c r="D669" s="60"/>
      <c r="E669" s="60"/>
      <c r="F669" s="60"/>
      <c r="G669" s="63"/>
      <c r="H669" s="60"/>
      <c r="I669" s="60"/>
      <c r="J669" s="52"/>
      <c r="K669" s="52"/>
      <c r="L669" s="52"/>
      <c r="M669" s="55"/>
      <c r="N669" s="56"/>
      <c r="O669" s="57"/>
      <c r="P669" s="58"/>
      <c r="S669" s="52"/>
      <c r="T669" s="52"/>
    </row>
    <row r="670" spans="1:33">
      <c r="A670" s="52"/>
      <c r="B670" s="52"/>
      <c r="C670" s="60"/>
      <c r="D670" s="60"/>
      <c r="E670" s="60"/>
      <c r="F670" s="60"/>
      <c r="G670" s="63"/>
      <c r="H670" s="60"/>
      <c r="I670" s="60"/>
      <c r="J670" s="52"/>
      <c r="K670" s="52"/>
      <c r="L670" s="52"/>
      <c r="M670" s="55"/>
      <c r="N670" s="56"/>
      <c r="O670" s="57"/>
      <c r="P670" s="58"/>
      <c r="S670" s="52"/>
      <c r="T670" s="52"/>
    </row>
    <row r="671" spans="1:33">
      <c r="A671" s="52"/>
      <c r="B671" s="52"/>
      <c r="C671" s="52"/>
      <c r="D671" s="52"/>
      <c r="E671" s="52"/>
      <c r="F671" s="52"/>
      <c r="G671" s="52"/>
      <c r="H671" s="52"/>
      <c r="I671" s="52"/>
      <c r="J671" s="52"/>
      <c r="K671" s="52"/>
      <c r="L671" s="52"/>
      <c r="M671" s="55"/>
      <c r="N671" s="56"/>
      <c r="O671" s="57"/>
      <c r="P671" s="58"/>
      <c r="S671" s="52"/>
      <c r="T671" s="52"/>
    </row>
  </sheetData>
  <autoFilter ref="Q1:Q671" xr:uid="{A5E4429C-F444-4B2D-B896-8A966BB107EF}"/>
  <conditionalFormatting sqref="W11">
    <cfRule type="cellIs" dxfId="3" priority="3" operator="equal">
      <formula>0</formula>
    </cfRule>
    <cfRule type="cellIs" dxfId="2" priority="4" operator="greaterThan">
      <formula>0</formula>
    </cfRule>
  </conditionalFormatting>
  <conditionalFormatting sqref="P1 P2:R1048576">
    <cfRule type="cellIs" dxfId="1" priority="1" operator="equal">
      <formula>2</formula>
    </cfRule>
    <cfRule type="cellIs" dxfId="0" priority="2" operator="equal">
      <formula>1</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265D-1400-44D0-9398-90EF61AD4998}">
  <sheetPr>
    <tabColor rgb="FFFFFF00"/>
  </sheetPr>
  <dimension ref="A1:AQ241"/>
  <sheetViews>
    <sheetView topLeftCell="I97" zoomScale="85" zoomScaleNormal="85" workbookViewId="0">
      <selection activeCell="J127" sqref="J127"/>
    </sheetView>
  </sheetViews>
  <sheetFormatPr defaultRowHeight="15"/>
  <cols>
    <col min="1" max="1" width="3.140625" customWidth="1"/>
    <col min="2" max="2" width="4.85546875" customWidth="1"/>
    <col min="3" max="3" width="26.140625" customWidth="1"/>
    <col min="4" max="4" width="18.28515625" customWidth="1"/>
    <col min="5" max="5" width="3.7109375" customWidth="1"/>
    <col min="6" max="6" width="16.7109375" customWidth="1"/>
    <col min="7" max="7" width="22.140625" customWidth="1"/>
    <col min="8" max="8" width="18.140625" style="70" customWidth="1"/>
    <col min="9" max="9" width="19" customWidth="1"/>
    <col min="10" max="10" width="43" customWidth="1"/>
    <col min="11" max="11" width="3.28515625" customWidth="1"/>
    <col min="12" max="12" width="4.85546875" customWidth="1"/>
    <col min="13" max="13" width="13.85546875" customWidth="1"/>
    <col min="14" max="14" width="21.28515625" customWidth="1"/>
    <col min="15" max="15" width="18" style="65" customWidth="1"/>
    <col min="16" max="17" width="24.42578125" customWidth="1"/>
    <col min="18" max="18" width="44.7109375" customWidth="1"/>
    <col min="19" max="19" width="26.85546875" customWidth="1"/>
    <col min="20" max="20" width="5" customWidth="1"/>
    <col min="21" max="21" width="4" customWidth="1"/>
    <col min="22" max="22" width="12.140625" customWidth="1"/>
    <col min="23" max="23" width="34" customWidth="1"/>
    <col min="24" max="24" width="22.7109375" customWidth="1"/>
    <col min="25" max="25" width="17.5703125" customWidth="1"/>
    <col min="26" max="26" width="18.28515625" customWidth="1"/>
    <col min="27" max="27" width="27.5703125" customWidth="1"/>
    <col min="28" max="28" width="44" customWidth="1"/>
    <col min="29" max="29" width="20.28515625" customWidth="1"/>
    <col min="30" max="30" width="4.85546875" customWidth="1"/>
    <col min="31" max="31" width="4.42578125" customWidth="1"/>
    <col min="32" max="32" width="13.7109375" customWidth="1"/>
    <col min="33" max="33" width="19.5703125" customWidth="1"/>
    <col min="34" max="34" width="13.7109375" customWidth="1"/>
    <col min="35" max="35" width="15.42578125" customWidth="1"/>
    <col min="38" max="38" width="18.5703125" customWidth="1"/>
    <col min="39" max="39" width="25.85546875" style="65" customWidth="1"/>
    <col min="40" max="40" width="25.140625" style="65" customWidth="1"/>
    <col min="41" max="41" width="17.42578125" customWidth="1"/>
    <col min="42" max="42" width="49" customWidth="1"/>
    <col min="43" max="43" width="43.85546875" customWidth="1"/>
  </cols>
  <sheetData>
    <row r="1" spans="1:43" s="23" customFormat="1" ht="18" customHeight="1">
      <c r="A1" s="23" t="s">
        <v>3122</v>
      </c>
      <c r="D1" s="23" t="s">
        <v>736</v>
      </c>
      <c r="F1" s="64" t="s">
        <v>3123</v>
      </c>
      <c r="H1" s="28"/>
      <c r="J1" s="30"/>
      <c r="M1" s="64" t="s">
        <v>3124</v>
      </c>
      <c r="O1" s="1"/>
      <c r="V1" s="64" t="s">
        <v>3125</v>
      </c>
      <c r="W1" s="64"/>
      <c r="AF1" s="64" t="s">
        <v>3126</v>
      </c>
      <c r="AL1" s="64" t="s">
        <v>6</v>
      </c>
      <c r="AM1" s="1"/>
      <c r="AN1" s="1"/>
    </row>
    <row r="2" spans="1:43">
      <c r="A2" s="65">
        <v>1</v>
      </c>
      <c r="B2" s="65" t="s">
        <v>740</v>
      </c>
      <c r="C2" s="65" t="s">
        <v>3127</v>
      </c>
      <c r="D2" t="s">
        <v>746</v>
      </c>
      <c r="F2" s="66" t="s">
        <v>3128</v>
      </c>
      <c r="G2" s="66" t="s">
        <v>3129</v>
      </c>
      <c r="H2" s="67" t="s">
        <v>3130</v>
      </c>
      <c r="I2" s="66" t="s">
        <v>3131</v>
      </c>
      <c r="J2" s="66" t="s">
        <v>3132</v>
      </c>
      <c r="K2" s="66"/>
      <c r="L2" s="66"/>
      <c r="M2" s="66" t="s">
        <v>3128</v>
      </c>
      <c r="N2" s="66" t="s">
        <v>3133</v>
      </c>
      <c r="O2" s="68" t="s">
        <v>3130</v>
      </c>
      <c r="P2" s="66" t="s">
        <v>3</v>
      </c>
      <c r="Q2" s="66" t="s">
        <v>3131</v>
      </c>
      <c r="R2" s="66" t="s">
        <v>3132</v>
      </c>
      <c r="S2" s="66" t="s">
        <v>3134</v>
      </c>
      <c r="T2" s="66"/>
      <c r="U2" s="66"/>
      <c r="V2" s="66" t="s">
        <v>5</v>
      </c>
      <c r="W2" s="66" t="s">
        <v>3133</v>
      </c>
      <c r="X2" s="68" t="s">
        <v>3129</v>
      </c>
      <c r="Y2" s="68" t="s">
        <v>3130</v>
      </c>
      <c r="Z2" s="66" t="s">
        <v>3131</v>
      </c>
      <c r="AA2" s="66" t="s">
        <v>3135</v>
      </c>
      <c r="AB2" s="66" t="s">
        <v>3136</v>
      </c>
      <c r="AE2" s="66" t="s">
        <v>717</v>
      </c>
      <c r="AF2" s="69" t="s">
        <v>3137</v>
      </c>
      <c r="AG2" s="69" t="s">
        <v>3</v>
      </c>
      <c r="AH2" s="66" t="s">
        <v>3129</v>
      </c>
      <c r="AI2" s="66" t="s">
        <v>4</v>
      </c>
      <c r="AK2" s="2" t="s">
        <v>0</v>
      </c>
      <c r="AL2" s="2" t="s">
        <v>5</v>
      </c>
      <c r="AM2" s="2" t="s">
        <v>6</v>
      </c>
      <c r="AN2" s="2" t="s">
        <v>3138</v>
      </c>
      <c r="AO2" s="2" t="s">
        <v>4</v>
      </c>
      <c r="AP2" s="2" t="s">
        <v>3139</v>
      </c>
      <c r="AQ2" s="2" t="s">
        <v>3140</v>
      </c>
    </row>
    <row r="3" spans="1:43">
      <c r="A3" s="65">
        <v>2</v>
      </c>
      <c r="B3" s="65" t="s">
        <v>819</v>
      </c>
      <c r="C3" s="65" t="s">
        <v>847</v>
      </c>
      <c r="E3">
        <v>1</v>
      </c>
      <c r="F3" t="s">
        <v>11</v>
      </c>
      <c r="G3" t="s">
        <v>129</v>
      </c>
      <c r="H3" s="70">
        <v>98701000001</v>
      </c>
      <c r="I3" t="str">
        <f>VLOOKUP(H3,ОКТМО!B:M,12,0)</f>
        <v>Якутск</v>
      </c>
      <c r="J3" t="str">
        <f>VLOOKUP(H3,ОКТМО!B:M,6,0)</f>
        <v>Городской округ Город Якутск</v>
      </c>
      <c r="L3">
        <v>1</v>
      </c>
      <c r="M3" t="s">
        <v>11</v>
      </c>
      <c r="N3" s="71" t="s">
        <v>3141</v>
      </c>
      <c r="O3" s="72">
        <f>VLOOKUP(P3,ОКТМО!M:N,2,0)</f>
        <v>98627153051</v>
      </c>
      <c r="P3" s="71" t="s">
        <v>24</v>
      </c>
      <c r="Q3" t="str">
        <f>VLOOKUP(O3,ОКТМО!B:N,12,0)</f>
        <v>Витим</v>
      </c>
      <c r="R3" t="str">
        <f>VLOOKUP(O3,ОКТМО!B:N,9,0)</f>
        <v>поселок Витим</v>
      </c>
      <c r="S3" t="s">
        <v>3142</v>
      </c>
      <c r="U3">
        <v>1</v>
      </c>
      <c r="V3" t="s">
        <v>11</v>
      </c>
      <c r="W3" t="s">
        <v>24</v>
      </c>
      <c r="X3" t="s">
        <v>24</v>
      </c>
      <c r="Y3" s="70">
        <f>VLOOKUP(X3,ОКТМО!M:N,2,0)</f>
        <v>98627153051</v>
      </c>
      <c r="Z3" t="str">
        <f>VLOOKUP(X3,ОКТМО!M:N,1,0)</f>
        <v>Витим</v>
      </c>
      <c r="AA3" t="str">
        <f>VLOOKUP(Y3,ОКТМО!B:J,9,0)</f>
        <v>поселок Витим</v>
      </c>
      <c r="AB3" t="str">
        <f>VLOOKUP(Y3,ОКТМО!B:J,6,0)</f>
        <v>Ленский муниципальный район</v>
      </c>
      <c r="AE3">
        <v>1</v>
      </c>
      <c r="AF3" s="65">
        <v>21824</v>
      </c>
      <c r="AG3" t="s">
        <v>1157</v>
      </c>
      <c r="AH3" t="s">
        <v>1157</v>
      </c>
      <c r="AI3" s="70">
        <f>VLOOKUP(AH3,ОКТМО!M:N,2,0)</f>
        <v>98612151051</v>
      </c>
      <c r="AK3" s="1">
        <v>1</v>
      </c>
      <c r="AL3" s="1" t="s">
        <v>11</v>
      </c>
      <c r="AM3" s="1" t="s">
        <v>12</v>
      </c>
      <c r="AN3" s="1" t="s">
        <v>12</v>
      </c>
      <c r="AO3" s="73">
        <v>25644101001</v>
      </c>
      <c r="AP3" t="str">
        <f>VLOOKUP(AO3,ОКТМО!B:J,6,0)</f>
        <v>Усть-Кутский муниципальный район</v>
      </c>
      <c r="AQ3" t="str">
        <f>VLOOKUP(AO3,ОКТМО!B:J,9,0)</f>
        <v>Усть-Кутское</v>
      </c>
    </row>
    <row r="4" spans="1:43">
      <c r="A4" s="65">
        <v>3</v>
      </c>
      <c r="B4" s="65" t="s">
        <v>754</v>
      </c>
      <c r="C4" s="65" t="s">
        <v>751</v>
      </c>
      <c r="E4">
        <v>2</v>
      </c>
      <c r="F4" t="s">
        <v>11</v>
      </c>
      <c r="G4" t="s">
        <v>99</v>
      </c>
      <c r="H4" s="70">
        <v>98644101001</v>
      </c>
      <c r="I4" t="str">
        <f>VLOOKUP(H4,ОКТМО!B:M,12,0)</f>
        <v>Покровск</v>
      </c>
      <c r="J4" t="str">
        <f>VLOOKUP(H4,ОКТМО!B:M,6,0)</f>
        <v>Хангаласский муниципальный район</v>
      </c>
      <c r="L4">
        <v>2</v>
      </c>
      <c r="M4" t="s">
        <v>11</v>
      </c>
      <c r="N4" t="s">
        <v>27</v>
      </c>
      <c r="O4" s="72">
        <f>VLOOKUP(P4,ОКТМО!M:N,2,0)</f>
        <v>98627157051</v>
      </c>
      <c r="P4" t="s">
        <v>27</v>
      </c>
      <c r="Q4" t="str">
        <f>VLOOKUP(O4,ОКТМО!B:N,12,0)</f>
        <v>Пеледуй</v>
      </c>
      <c r="R4" t="str">
        <f>VLOOKUP(O4,ОКТМО!B:N,9,0)</f>
        <v>поселок Пеледуй</v>
      </c>
      <c r="U4">
        <v>2</v>
      </c>
      <c r="V4" t="s">
        <v>11</v>
      </c>
      <c r="W4" t="s">
        <v>36</v>
      </c>
      <c r="X4" t="s">
        <v>36</v>
      </c>
      <c r="Y4" s="70">
        <f>VLOOKUP(X4,ОКТМО!M:N,2,0)</f>
        <v>98627101001</v>
      </c>
      <c r="Z4" t="str">
        <f>VLOOKUP(X4,ОКТМО!M:N,1,0)</f>
        <v>Ленск</v>
      </c>
      <c r="AA4" t="str">
        <f>VLOOKUP(Y4,ОКТМО!B:J,9,0)</f>
        <v>город Ленск</v>
      </c>
      <c r="AB4" t="str">
        <f>VLOOKUP(Y4,ОКТМО!B:J,6,0)</f>
        <v>Ленский муниципальный район</v>
      </c>
      <c r="AE4">
        <v>2</v>
      </c>
      <c r="AF4" s="65">
        <v>21946</v>
      </c>
      <c r="AG4" t="s">
        <v>645</v>
      </c>
      <c r="AH4" t="s">
        <v>645</v>
      </c>
      <c r="AI4" s="70">
        <f>VLOOKUP(AH4,ОКТМО!M:N,2,0)</f>
        <v>98606151051</v>
      </c>
      <c r="AK4" s="1">
        <v>2</v>
      </c>
      <c r="AL4" s="1" t="s">
        <v>11</v>
      </c>
      <c r="AM4" s="1" t="s">
        <v>15</v>
      </c>
      <c r="AN4" s="1" t="s">
        <v>15</v>
      </c>
      <c r="AO4" s="73">
        <v>25620101141</v>
      </c>
      <c r="AP4" t="str">
        <f>VLOOKUP(AO4,ОКТМО!B:J,6,0)</f>
        <v>Киренский муниципальный район</v>
      </c>
      <c r="AQ4" t="str">
        <f>VLOOKUP(AO4,ОКТМО!B:J,9,0)</f>
        <v>Киренское</v>
      </c>
    </row>
    <row r="5" spans="1:43">
      <c r="A5" s="65">
        <v>4</v>
      </c>
      <c r="B5" s="65" t="s">
        <v>747</v>
      </c>
      <c r="C5" s="65" t="s">
        <v>3143</v>
      </c>
      <c r="E5">
        <v>3</v>
      </c>
      <c r="F5" t="s">
        <v>11</v>
      </c>
      <c r="G5" t="s">
        <v>2044</v>
      </c>
      <c r="H5" s="70">
        <v>98635425101</v>
      </c>
      <c r="I5" t="str">
        <f>VLOOKUP(H5,ОКТМО!B:M,12,0)</f>
        <v>Намцы</v>
      </c>
      <c r="J5" t="str">
        <f>VLOOKUP(H5,ОКТМО!B:M,6,0)</f>
        <v>Намский муниципальный район</v>
      </c>
      <c r="L5">
        <v>3</v>
      </c>
      <c r="M5" t="s">
        <v>11</v>
      </c>
      <c r="N5" t="s">
        <v>36</v>
      </c>
      <c r="O5" s="72">
        <f>VLOOKUP(P5,ОКТМО!M:N,2,0)</f>
        <v>98627101001</v>
      </c>
      <c r="P5" t="s">
        <v>36</v>
      </c>
      <c r="Q5" t="str">
        <f>VLOOKUP(O5,ОКТМО!B:N,12,0)</f>
        <v>Ленск</v>
      </c>
      <c r="R5" t="str">
        <f>VLOOKUP(O5,ОКТМО!B:N,9,0)</f>
        <v>город Ленск</v>
      </c>
      <c r="U5">
        <v>3</v>
      </c>
      <c r="V5" t="s">
        <v>11</v>
      </c>
      <c r="W5" t="s">
        <v>817</v>
      </c>
      <c r="X5" t="s">
        <v>817</v>
      </c>
      <c r="Y5" s="70">
        <f>VLOOKUP(X5,ОКТМО!M:N,2,0)</f>
        <v>98641430101</v>
      </c>
      <c r="Z5" t="str">
        <f>VLOOKUP(X5,ОКТМО!M:N,1,0)</f>
        <v>Кыллах</v>
      </c>
      <c r="AA5" t="str">
        <f>VLOOKUP(Y5,ОКТМО!B:J,9,0)</f>
        <v>Кыллахский наслег</v>
      </c>
      <c r="AB5" t="str">
        <f>VLOOKUP(Y5,ОКТМО!B:J,6,0)</f>
        <v>Олекминский муниципальный район</v>
      </c>
      <c r="AE5">
        <v>3</v>
      </c>
      <c r="AF5" s="65">
        <v>24076</v>
      </c>
      <c r="AG5" t="s">
        <v>2873</v>
      </c>
      <c r="AH5" t="s">
        <v>2873</v>
      </c>
      <c r="AI5" s="70">
        <f>VLOOKUP(AH5,ОКТМО!M:N,2,0)</f>
        <v>98656151051</v>
      </c>
      <c r="AK5" s="1">
        <v>3</v>
      </c>
      <c r="AL5" s="1" t="s">
        <v>11</v>
      </c>
      <c r="AM5" s="1" t="s">
        <v>18</v>
      </c>
      <c r="AN5" s="1" t="s">
        <v>18</v>
      </c>
      <c r="AO5" s="73">
        <v>25620701912</v>
      </c>
      <c r="AP5" t="str">
        <f>VLOOKUP(AO5,ОКТМО!B:J,6,0)</f>
        <v>Киренский муниципальный район</v>
      </c>
      <c r="AQ5" t="str">
        <f>VLOOKUP(AO5,ОКТМО!B:J,9,0)</f>
        <v>Межселенные территории Киренского муниципального района, на территории которых расположены земли следующих населенных пунктов: с Улькан, с Красноярово, п Визирный</v>
      </c>
    </row>
    <row r="6" spans="1:43">
      <c r="A6" s="65">
        <v>5</v>
      </c>
      <c r="B6" s="65" t="s">
        <v>3106</v>
      </c>
      <c r="C6" s="65" t="s">
        <v>3144</v>
      </c>
      <c r="E6">
        <v>4</v>
      </c>
      <c r="F6" t="s">
        <v>11</v>
      </c>
      <c r="G6" t="s">
        <v>66</v>
      </c>
      <c r="H6" s="70">
        <v>98641101001</v>
      </c>
      <c r="I6" t="str">
        <f>VLOOKUP(H6,ОКТМО!B:M,12,0)</f>
        <v>Олёкминск</v>
      </c>
      <c r="J6" t="str">
        <f>VLOOKUP(H6,ОКТМО!B:M,6,0)</f>
        <v>Олекминский муниципальный район</v>
      </c>
      <c r="L6">
        <v>4</v>
      </c>
      <c r="M6" t="s">
        <v>11</v>
      </c>
      <c r="N6" t="s">
        <v>45</v>
      </c>
      <c r="O6" s="72">
        <f>VLOOKUP(P6,ОКТМО!M:N,2,0)</f>
        <v>98627430101</v>
      </c>
      <c r="P6" t="s">
        <v>45</v>
      </c>
      <c r="Q6" t="str">
        <f>VLOOKUP(O6,ОКТМО!B:N,12,0)</f>
        <v>Нюя</v>
      </c>
      <c r="R6" t="str">
        <f>VLOOKUP(O6,ОКТМО!B:N,9,0)</f>
        <v>Нюйский наслег</v>
      </c>
      <c r="U6">
        <v>4</v>
      </c>
      <c r="V6" t="s">
        <v>11</v>
      </c>
      <c r="W6" t="s">
        <v>2329</v>
      </c>
      <c r="X6" t="s">
        <v>2329</v>
      </c>
      <c r="Y6" s="70">
        <f>VLOOKUP(X6,ОКТМО!M:N,2,0)</f>
        <v>98641470101</v>
      </c>
      <c r="Z6" t="str">
        <f>VLOOKUP(X6,ОКТМО!M:N,1,0)</f>
        <v>Троицк</v>
      </c>
      <c r="AA6" t="str">
        <f>VLOOKUP(Y6,ОКТМО!B:J,9,0)</f>
        <v>Троицкий наслег</v>
      </c>
      <c r="AB6" t="str">
        <f>VLOOKUP(Y6,ОКТМО!B:J,6,0)</f>
        <v>Олекминский муниципальный район</v>
      </c>
      <c r="AE6">
        <v>4</v>
      </c>
      <c r="AF6" s="65">
        <v>24125</v>
      </c>
      <c r="AG6" t="s">
        <v>832</v>
      </c>
      <c r="AH6" t="s">
        <v>832</v>
      </c>
      <c r="AI6" s="70">
        <f>VLOOKUP(AH6,ОКТМО!M:N,2,0)</f>
        <v>98642437101</v>
      </c>
      <c r="AK6" s="1">
        <v>4</v>
      </c>
      <c r="AL6" s="1" t="s">
        <v>11</v>
      </c>
      <c r="AM6" s="1" t="s">
        <v>21</v>
      </c>
      <c r="AN6" s="1" t="s">
        <v>3114</v>
      </c>
      <c r="AO6" s="73">
        <v>25620419104</v>
      </c>
      <c r="AP6" t="str">
        <f>VLOOKUP(AO6,ОКТМО!B:J,6,0)</f>
        <v>Киренский муниципальный район</v>
      </c>
      <c r="AQ6" t="str">
        <f>VLOOKUP(AO6,ОКТМО!B:J,9,0)</f>
        <v>Коршуновское</v>
      </c>
    </row>
    <row r="7" spans="1:43">
      <c r="A7" s="65">
        <v>6</v>
      </c>
      <c r="B7" s="65" t="s">
        <v>3113</v>
      </c>
      <c r="C7" s="65" t="s">
        <v>3145</v>
      </c>
      <c r="E7">
        <v>5</v>
      </c>
      <c r="F7" t="s">
        <v>11</v>
      </c>
      <c r="G7" t="s">
        <v>36</v>
      </c>
      <c r="H7" s="70">
        <v>98627101001</v>
      </c>
      <c r="I7" t="str">
        <f>VLOOKUP(H7,ОКТМО!B:M,12,0)</f>
        <v>Ленск</v>
      </c>
      <c r="J7" t="str">
        <f>VLOOKUP(H7,ОКТМО!B:M,6,0)</f>
        <v>Ленский муниципальный район</v>
      </c>
      <c r="L7">
        <v>5</v>
      </c>
      <c r="M7" t="s">
        <v>11</v>
      </c>
      <c r="N7" t="s">
        <v>51</v>
      </c>
      <c r="O7" s="72">
        <f>VLOOKUP(P7,ОКТМО!M:N,2,0)</f>
        <v>98641440101</v>
      </c>
      <c r="P7" t="s">
        <v>51</v>
      </c>
      <c r="Q7" t="str">
        <f>VLOOKUP(O7,ОКТМО!B:N,12,0)</f>
        <v>Мача</v>
      </c>
      <c r="R7" t="str">
        <f>VLOOKUP(O7,ОКТМО!B:N,9,0)</f>
        <v>Мачинский наслег</v>
      </c>
      <c r="U7">
        <v>5</v>
      </c>
      <c r="V7" t="s">
        <v>11</v>
      </c>
      <c r="W7" t="s">
        <v>69</v>
      </c>
      <c r="X7" t="s">
        <v>69</v>
      </c>
      <c r="Y7" s="70">
        <f>VLOOKUP(X7,ОКТМО!M:N,2,0)</f>
        <v>98641465101</v>
      </c>
      <c r="Z7" t="str">
        <f>VLOOKUP(X7,ОКТМО!M:N,1,0)</f>
        <v>Солянка</v>
      </c>
      <c r="AA7" t="str">
        <f>VLOOKUP(Y7,ОКТМО!B:J,9,0)</f>
        <v>Солянский наслег</v>
      </c>
      <c r="AB7" t="str">
        <f>VLOOKUP(Y7,ОКТМО!B:J,6,0)</f>
        <v>Олекминский муниципальный район</v>
      </c>
      <c r="AE7">
        <v>5</v>
      </c>
      <c r="AF7" s="65">
        <v>24343</v>
      </c>
      <c r="AG7" t="s">
        <v>216</v>
      </c>
      <c r="AH7" t="s">
        <v>216</v>
      </c>
      <c r="AI7" s="70">
        <f>VLOOKUP(AH7,ОКТМО!M:N,2,0)</f>
        <v>98622410101</v>
      </c>
      <c r="AK7" s="1">
        <v>5</v>
      </c>
      <c r="AL7" s="1" t="s">
        <v>11</v>
      </c>
      <c r="AM7" s="1" t="s">
        <v>24</v>
      </c>
      <c r="AN7" s="1" t="s">
        <v>24</v>
      </c>
      <c r="AO7" s="73">
        <v>98627153051</v>
      </c>
      <c r="AP7" t="str">
        <f>VLOOKUP(AO7,ОКТМО!B:J,6,0)</f>
        <v>Ленский муниципальный район</v>
      </c>
      <c r="AQ7" t="str">
        <f>VLOOKUP(AO7,ОКТМО!B:J,9,0)</f>
        <v>поселок Витим</v>
      </c>
    </row>
    <row r="8" spans="1:43">
      <c r="E8">
        <v>6</v>
      </c>
      <c r="F8" t="s">
        <v>11</v>
      </c>
      <c r="G8" t="s">
        <v>24</v>
      </c>
      <c r="H8" s="70">
        <v>98627153051</v>
      </c>
      <c r="I8" t="str">
        <f>VLOOKUP(H8,ОКТМО!B:M,12,0)</f>
        <v>Витим</v>
      </c>
      <c r="J8" t="str">
        <f>VLOOKUP(H8,ОКТМО!B:M,6,0)</f>
        <v>Ленский муниципальный район</v>
      </c>
      <c r="L8">
        <v>6</v>
      </c>
      <c r="M8" t="s">
        <v>11</v>
      </c>
      <c r="N8" s="71" t="s">
        <v>3146</v>
      </c>
      <c r="O8" s="72">
        <f>VLOOKUP(P8,ОКТМО!M:N,2,0)</f>
        <v>98641101001</v>
      </c>
      <c r="P8" s="71" t="s">
        <v>66</v>
      </c>
      <c r="Q8" t="str">
        <f>VLOOKUP(O8,ОКТМО!B:N,12,0)</f>
        <v>Олёкминск</v>
      </c>
      <c r="R8" t="str">
        <f>VLOOKUP(O8,ОКТМО!B:N,9,0)</f>
        <v>город Олекминск</v>
      </c>
      <c r="U8">
        <v>6</v>
      </c>
      <c r="V8" t="s">
        <v>11</v>
      </c>
      <c r="W8" t="s">
        <v>1072</v>
      </c>
      <c r="X8" t="s">
        <v>1072</v>
      </c>
      <c r="Y8" s="70">
        <f>VLOOKUP(X8,ОКТМО!M:N,2,0)</f>
        <v>98608405101</v>
      </c>
      <c r="Z8" t="str">
        <f>VLOOKUP(X8,ОКТМО!M:N,1,0)</f>
        <v>Абага</v>
      </c>
      <c r="AA8" t="str">
        <f>VLOOKUP(Y8,ОКТМО!B:J,9,0)</f>
        <v>Абагинский наслег</v>
      </c>
      <c r="AB8" t="str">
        <f>VLOOKUP(Y8,ОКТМО!B:J,6,0)</f>
        <v>Амгинский муниципальный район</v>
      </c>
      <c r="AE8">
        <v>6</v>
      </c>
      <c r="AF8" s="65">
        <v>24726</v>
      </c>
      <c r="AG8" t="s">
        <v>1950</v>
      </c>
      <c r="AH8" t="s">
        <v>1950</v>
      </c>
      <c r="AI8" s="70">
        <f>VLOOKUP(AH8,ОКТМО!M:N,2,0)</f>
        <v>98631101001</v>
      </c>
      <c r="AK8" s="1">
        <v>6</v>
      </c>
      <c r="AL8" s="1" t="s">
        <v>11</v>
      </c>
      <c r="AM8" s="1" t="s">
        <v>27</v>
      </c>
      <c r="AN8" s="1" t="s">
        <v>27</v>
      </c>
      <c r="AO8" s="73">
        <v>98627157051</v>
      </c>
      <c r="AP8" t="str">
        <f>VLOOKUP(AO8,ОКТМО!B:J,6,0)</f>
        <v>Ленский муниципальный район</v>
      </c>
      <c r="AQ8" t="str">
        <f>VLOOKUP(AO8,ОКТМО!B:J,9,0)</f>
        <v>поселок Пеледуй</v>
      </c>
    </row>
    <row r="9" spans="1:43">
      <c r="E9">
        <v>7</v>
      </c>
      <c r="F9" t="s">
        <v>11</v>
      </c>
      <c r="G9" t="s">
        <v>1590</v>
      </c>
      <c r="H9" s="70">
        <v>98624151051</v>
      </c>
      <c r="I9" t="str">
        <f>VLOOKUP(H9,ОКТМО!B:M,12,0)</f>
        <v>Сангар</v>
      </c>
      <c r="J9" t="str">
        <f>VLOOKUP(H9,ОКТМО!B:M,6,0)</f>
        <v>Кобяйский муниципальный район</v>
      </c>
      <c r="L9">
        <v>7</v>
      </c>
      <c r="M9" t="s">
        <v>11</v>
      </c>
      <c r="N9" t="s">
        <v>69</v>
      </c>
      <c r="O9" s="72">
        <f>VLOOKUP(P9,ОКТМО!M:N,2,0)</f>
        <v>98641465101</v>
      </c>
      <c r="P9" t="s">
        <v>69</v>
      </c>
      <c r="Q9" t="str">
        <f>VLOOKUP(O9,ОКТМО!B:N,12,0)</f>
        <v>Солянка</v>
      </c>
      <c r="R9" t="str">
        <f>VLOOKUP(O9,ОКТМО!B:N,9,0)</f>
        <v>Солянский наслег</v>
      </c>
      <c r="U9">
        <v>7</v>
      </c>
      <c r="V9" t="s">
        <v>11</v>
      </c>
      <c r="W9" t="s">
        <v>66</v>
      </c>
      <c r="X9" t="s">
        <v>66</v>
      </c>
      <c r="Y9" s="70">
        <f>VLOOKUP(X9,ОКТМО!M:N,2,0)</f>
        <v>98641101001</v>
      </c>
      <c r="Z9" t="str">
        <f>VLOOKUP(X9,ОКТМО!M:N,1,0)</f>
        <v>Олёкминск</v>
      </c>
      <c r="AA9" t="str">
        <f>VLOOKUP(Y9,ОКТМО!B:J,9,0)</f>
        <v>город Олекминск</v>
      </c>
      <c r="AB9" t="str">
        <f>VLOOKUP(Y9,ОКТМО!B:J,6,0)</f>
        <v>Олекминский муниципальный район</v>
      </c>
      <c r="AE9">
        <v>7</v>
      </c>
      <c r="AF9" s="65">
        <v>24641</v>
      </c>
      <c r="AG9" t="s">
        <v>513</v>
      </c>
      <c r="AH9" t="s">
        <v>513</v>
      </c>
      <c r="AI9" s="70">
        <f>VLOOKUP(AH9,ОКТМО!M:N,2,0)</f>
        <v>98618101001</v>
      </c>
      <c r="AK9" s="1">
        <v>7</v>
      </c>
      <c r="AL9" s="1" t="s">
        <v>11</v>
      </c>
      <c r="AM9" s="1" t="s">
        <v>30</v>
      </c>
      <c r="AN9" s="11" t="s">
        <v>1764</v>
      </c>
      <c r="AO9" s="73">
        <v>98627157106</v>
      </c>
      <c r="AP9" t="str">
        <f>VLOOKUP(AO9,ОКТМО!B:J,6,0)</f>
        <v>Ленский муниципальный район</v>
      </c>
      <c r="AQ9" t="str">
        <f>VLOOKUP(AO9,ОКТМО!B:J,9,0)</f>
        <v>поселок Пеледуй</v>
      </c>
    </row>
    <row r="10" spans="1:43">
      <c r="E10">
        <v>8</v>
      </c>
      <c r="F10" t="s">
        <v>11</v>
      </c>
      <c r="G10" t="s">
        <v>216</v>
      </c>
      <c r="H10" s="70">
        <v>98622410101</v>
      </c>
      <c r="I10" t="str">
        <f>VLOOKUP(H10,ОКТМО!B:M,12,0)</f>
        <v>Жиганск</v>
      </c>
      <c r="J10" t="str">
        <f>VLOOKUP(H10,ОКТМО!B:M,6,0)</f>
        <v>Жиганский национальный эвенкийский муниципальный район</v>
      </c>
      <c r="L10">
        <v>8</v>
      </c>
      <c r="M10" t="s">
        <v>11</v>
      </c>
      <c r="N10" s="71" t="s">
        <v>3147</v>
      </c>
      <c r="O10" s="72">
        <f>VLOOKUP(P10,ОКТМО!M:N,2,0)</f>
        <v>98641460101</v>
      </c>
      <c r="P10" s="71" t="s">
        <v>78</v>
      </c>
      <c r="Q10" t="str">
        <f>VLOOKUP(O10,ОКТМО!B:N,12,0)</f>
        <v>Саныяхтах</v>
      </c>
      <c r="R10" t="str">
        <f>VLOOKUP(O10,ОКТМО!B:N,9,0)</f>
        <v>Саныяхтахский наслег</v>
      </c>
      <c r="U10">
        <v>8</v>
      </c>
      <c r="V10" t="s">
        <v>11</v>
      </c>
      <c r="W10" t="s">
        <v>2348</v>
      </c>
      <c r="X10" t="s">
        <v>2348</v>
      </c>
      <c r="Y10" s="70">
        <f>VLOOKUP(X10,ОКТМО!M:N,2,0)</f>
        <v>98641485101</v>
      </c>
      <c r="Z10" t="str">
        <f>VLOOKUP(X10,ОКТМО!M:N,1,0)</f>
        <v>Хоринцы</v>
      </c>
      <c r="AA10" t="str">
        <f>VLOOKUP(Y10,ОКТМО!B:J,9,0)</f>
        <v>Хоринский наслег</v>
      </c>
      <c r="AB10" t="str">
        <f>VLOOKUP(Y10,ОКТМО!B:J,6,0)</f>
        <v>Олекминский муниципальный район</v>
      </c>
      <c r="AE10">
        <v>8</v>
      </c>
      <c r="AF10" s="65">
        <v>24266</v>
      </c>
      <c r="AG10" t="s">
        <v>589</v>
      </c>
      <c r="AH10" t="s">
        <v>589</v>
      </c>
      <c r="AI10" s="70">
        <f>VLOOKUP(AH10,ОКТМО!M:N,2,0)</f>
        <v>98616103001</v>
      </c>
      <c r="AK10" s="1">
        <v>8</v>
      </c>
      <c r="AL10" s="1" t="s">
        <v>11</v>
      </c>
      <c r="AM10" s="1" t="s">
        <v>33</v>
      </c>
      <c r="AN10" s="65" t="s">
        <v>1813</v>
      </c>
      <c r="AO10" s="73">
        <v>98627449106</v>
      </c>
      <c r="AP10" t="str">
        <f>VLOOKUP(AO10,ОКТМО!B:J,6,0)</f>
        <v>Ленский муниципальный район</v>
      </c>
      <c r="AQ10" t="str">
        <f>VLOOKUP(AO10,ОКТМО!B:J,9,0)</f>
        <v>Ярославский наслег</v>
      </c>
    </row>
    <row r="11" spans="1:43">
      <c r="E11">
        <v>9</v>
      </c>
      <c r="F11" t="s">
        <v>317</v>
      </c>
      <c r="G11" t="s">
        <v>2825</v>
      </c>
      <c r="H11" s="70">
        <v>98654151051</v>
      </c>
      <c r="I11" t="str">
        <f>VLOOKUP(H11,ОКТМО!B:M,12,0)</f>
        <v>Усть-Мая</v>
      </c>
      <c r="J11" t="str">
        <f>VLOOKUP(H11,ОКТМО!B:M,6,0)</f>
        <v>Усть-Майский муниципальный район</v>
      </c>
      <c r="L11">
        <v>9</v>
      </c>
      <c r="M11" t="s">
        <v>11</v>
      </c>
      <c r="N11" t="s">
        <v>99</v>
      </c>
      <c r="O11" s="72">
        <f>VLOOKUP(P11,ОКТМО!M:N,2,0)</f>
        <v>98644101001</v>
      </c>
      <c r="P11" t="s">
        <v>99</v>
      </c>
      <c r="Q11" t="str">
        <f>VLOOKUP(O11,ОКТМО!B:N,12,0)</f>
        <v>Покровск</v>
      </c>
      <c r="R11" t="str">
        <f>VLOOKUP(O11,ОКТМО!B:N,9,0)</f>
        <v>город Покровск</v>
      </c>
      <c r="U11">
        <v>9</v>
      </c>
      <c r="V11" t="s">
        <v>11</v>
      </c>
      <c r="W11" t="s">
        <v>1194</v>
      </c>
      <c r="X11" t="s">
        <v>1194</v>
      </c>
      <c r="Y11" s="70">
        <f>VLOOKUP(X11,ОКТМО!M:N,2,0)</f>
        <v>98614402101</v>
      </c>
      <c r="Z11" t="str">
        <f>VLOOKUP(X11,ОКТМО!M:N,1,0)</f>
        <v>Балаганнах</v>
      </c>
      <c r="AA11" t="str">
        <f>VLOOKUP(Y11,ОКТМО!B:J,9,0)</f>
        <v>Балаганнахский наслег</v>
      </c>
      <c r="AB11" t="str">
        <f>VLOOKUP(Y11,ОКТМО!B:J,6,0)</f>
        <v>Верхневилюйский муниципальный район</v>
      </c>
      <c r="AE11">
        <v>9</v>
      </c>
      <c r="AF11" s="65">
        <v>24382</v>
      </c>
      <c r="AG11" t="s">
        <v>3148</v>
      </c>
      <c r="AH11" s="71" t="s">
        <v>2008</v>
      </c>
      <c r="AI11" s="70">
        <f>VLOOKUP(AH11,ОКТМО!M:N,2,0)</f>
        <v>98633423101</v>
      </c>
      <c r="AK11" s="1">
        <v>9</v>
      </c>
      <c r="AL11" s="1" t="s">
        <v>11</v>
      </c>
      <c r="AM11" s="1" t="s">
        <v>36</v>
      </c>
      <c r="AN11" s="1" t="s">
        <v>36</v>
      </c>
      <c r="AO11" s="73">
        <v>98627101001</v>
      </c>
      <c r="AP11" t="str">
        <f>VLOOKUP(AO11,ОКТМО!B:J,6,0)</f>
        <v>Ленский муниципальный район</v>
      </c>
      <c r="AQ11" t="str">
        <f>VLOOKUP(AO11,ОКТМО!B:J,9,0)</f>
        <v>город Ленск</v>
      </c>
    </row>
    <row r="12" spans="1:43">
      <c r="E12">
        <v>10</v>
      </c>
      <c r="F12" t="s">
        <v>317</v>
      </c>
      <c r="G12" t="s">
        <v>317</v>
      </c>
      <c r="H12" s="70">
        <v>98603101001</v>
      </c>
      <c r="I12" t="str">
        <f>VLOOKUP(H12,ОКТМО!B:M,12,0)</f>
        <v>Алдан</v>
      </c>
      <c r="J12" t="str">
        <f>VLOOKUP(H12,ОКТМО!B:M,6,0)</f>
        <v>Алданский муниципальный район</v>
      </c>
      <c r="L12">
        <v>10</v>
      </c>
      <c r="M12" t="s">
        <v>11</v>
      </c>
      <c r="N12" t="s">
        <v>111</v>
      </c>
      <c r="O12" s="72">
        <f>VLOOKUP(P12,ОКТМО!M:N,2,0)</f>
        <v>98701000116</v>
      </c>
      <c r="P12" t="s">
        <v>111</v>
      </c>
      <c r="Q12" t="str">
        <f>VLOOKUP(O12,ОКТМО!B:N,12,0)</f>
        <v>Табага</v>
      </c>
      <c r="R12" t="str">
        <f>VLOOKUP(O12,ОКТМО!B:N,9,0)</f>
        <v>город Якутск</v>
      </c>
      <c r="U12">
        <v>10</v>
      </c>
      <c r="V12" t="s">
        <v>11</v>
      </c>
      <c r="W12" t="s">
        <v>2287</v>
      </c>
      <c r="X12" t="s">
        <v>2287</v>
      </c>
      <c r="Y12" s="70">
        <f>VLOOKUP(X12,ОКТМО!M:N,2,0)</f>
        <v>98641445101</v>
      </c>
      <c r="Z12" t="str">
        <f>VLOOKUP(X12,ОКТМО!M:N,1,0)</f>
        <v>Нерюктяйинск 1-й</v>
      </c>
      <c r="AA12" t="str">
        <f>VLOOKUP(Y12,ОКТМО!B:J,9,0)</f>
        <v>Нерюктяйинский 1-й наслег</v>
      </c>
      <c r="AB12" t="str">
        <f>VLOOKUP(Y12,ОКТМО!B:J,6,0)</f>
        <v>Олекминский муниципальный район</v>
      </c>
      <c r="AE12">
        <v>10</v>
      </c>
      <c r="AF12" s="65">
        <v>24671</v>
      </c>
      <c r="AG12" t="s">
        <v>485</v>
      </c>
      <c r="AH12" s="71" t="s">
        <v>2703</v>
      </c>
      <c r="AI12" s="70">
        <f>VLOOKUP(AH12,ОКТМО!M:N,2,0)</f>
        <v>98650435101</v>
      </c>
      <c r="AK12" s="1">
        <v>10</v>
      </c>
      <c r="AL12" s="1" t="s">
        <v>11</v>
      </c>
      <c r="AM12" s="1" t="s">
        <v>39</v>
      </c>
      <c r="AN12" s="65" t="s">
        <v>1797</v>
      </c>
      <c r="AO12" s="73">
        <v>98627436101</v>
      </c>
      <c r="AP12" t="str">
        <f>VLOOKUP(AO12,ОКТМО!B:J,6,0)</f>
        <v>Ленский муниципальный район</v>
      </c>
      <c r="AQ12" t="str">
        <f>VLOOKUP(AO12,ОКТМО!B:J,9,0)</f>
        <v>Салдыкельский наслег</v>
      </c>
    </row>
    <row r="13" spans="1:43">
      <c r="E13">
        <v>11</v>
      </c>
      <c r="F13" t="s">
        <v>458</v>
      </c>
      <c r="G13" t="s">
        <v>458</v>
      </c>
      <c r="H13" s="70">
        <v>98608432101</v>
      </c>
      <c r="I13" t="str">
        <f>VLOOKUP(H13,ОКТМО!B:M,12,0)</f>
        <v>Амга</v>
      </c>
      <c r="J13" t="str">
        <f>VLOOKUP(H13,ОКТМО!B:M,6,0)</f>
        <v>Амгинский муниципальный район</v>
      </c>
      <c r="L13">
        <v>11</v>
      </c>
      <c r="M13" t="s">
        <v>11</v>
      </c>
      <c r="N13" t="s">
        <v>129</v>
      </c>
      <c r="O13" s="72">
        <f>VLOOKUP(P13,ОКТМО!M:N,2,0)</f>
        <v>98701000001</v>
      </c>
      <c r="P13" t="s">
        <v>129</v>
      </c>
      <c r="Q13" t="str">
        <f>VLOOKUP(O13,ОКТМО!B:N,12,0)</f>
        <v>Якутск</v>
      </c>
      <c r="R13" t="str">
        <f>VLOOKUP(O13,ОКТМО!B:N,9,0)</f>
        <v>город Якутск</v>
      </c>
      <c r="U13">
        <v>11</v>
      </c>
      <c r="V13" t="s">
        <v>11</v>
      </c>
      <c r="W13" t="s">
        <v>2290</v>
      </c>
      <c r="X13" t="s">
        <v>2290</v>
      </c>
      <c r="Y13" s="70">
        <f>VLOOKUP(X13,ОКТМО!M:N,2,0)</f>
        <v>98641445106</v>
      </c>
      <c r="Z13" t="str">
        <f>VLOOKUP(X13,ОКТМО!M:N,1,0)</f>
        <v>Бирюк</v>
      </c>
      <c r="AA13" t="str">
        <f>VLOOKUP(Y13,ОКТМО!B:J,9,0)</f>
        <v>Нерюктяйинский 1-й наслег</v>
      </c>
      <c r="AB13" t="str">
        <f>VLOOKUP(Y13,ОКТМО!B:J,6,0)</f>
        <v>Олекминский муниципальный район</v>
      </c>
      <c r="AE13">
        <v>11</v>
      </c>
      <c r="AF13" s="65">
        <v>24688</v>
      </c>
      <c r="AG13" t="s">
        <v>2165</v>
      </c>
      <c r="AH13" t="s">
        <v>2165</v>
      </c>
      <c r="AI13" s="70">
        <f>VLOOKUP(AH13,ОКТМО!M:N,2,0)</f>
        <v>98639405101</v>
      </c>
      <c r="AK13" s="1">
        <v>11</v>
      </c>
      <c r="AL13" s="1" t="s">
        <v>11</v>
      </c>
      <c r="AM13" s="1" t="s">
        <v>42</v>
      </c>
      <c r="AN13" s="65" t="s">
        <v>387</v>
      </c>
      <c r="AO13" s="73">
        <v>98627436106</v>
      </c>
      <c r="AP13" t="str">
        <f>VLOOKUP(AO13,ОКТМО!B:J,6,0)</f>
        <v>Ленский муниципальный район</v>
      </c>
      <c r="AQ13" t="str">
        <f>VLOOKUP(AO13,ОКТМО!B:J,9,0)</f>
        <v>Салдыкельский наслег</v>
      </c>
    </row>
    <row r="14" spans="1:43">
      <c r="E14">
        <v>12</v>
      </c>
      <c r="F14" t="s">
        <v>588</v>
      </c>
      <c r="G14" t="s">
        <v>592</v>
      </c>
      <c r="H14" s="70">
        <v>98616151051</v>
      </c>
      <c r="I14" t="str">
        <f>VLOOKUP(H14,ОКТМО!B:M,12,0)</f>
        <v>Батагай</v>
      </c>
      <c r="J14" t="str">
        <f>VLOOKUP(H14,ОКТМО!B:M,6,0)</f>
        <v>Верхоянский муниципальный район</v>
      </c>
      <c r="L14">
        <v>12</v>
      </c>
      <c r="M14" t="s">
        <v>11</v>
      </c>
      <c r="N14" t="s">
        <v>141</v>
      </c>
      <c r="O14" s="72">
        <f>VLOOKUP(P14,ОКТМО!M:N,2,0)</f>
        <v>98701000001</v>
      </c>
      <c r="P14" t="s">
        <v>141</v>
      </c>
      <c r="Q14" t="str">
        <f>VLOOKUP(O14,ОКТМО!B:N,12,0)</f>
        <v>Якутск</v>
      </c>
      <c r="R14" t="str">
        <f>VLOOKUP(O14,ОКТМО!B:N,9,0)</f>
        <v>город Якутск</v>
      </c>
      <c r="U14">
        <v>12</v>
      </c>
      <c r="V14" t="s">
        <v>11</v>
      </c>
      <c r="W14" t="s">
        <v>2236</v>
      </c>
      <c r="X14" t="s">
        <v>2236</v>
      </c>
      <c r="Y14" s="70">
        <f>VLOOKUP(X14,ОКТМО!M:N,2,0)</f>
        <v>98641415101</v>
      </c>
      <c r="Z14" t="str">
        <f>VLOOKUP(X14,ОКТМО!M:N,1,0)</f>
        <v>Дельгей</v>
      </c>
      <c r="AA14" t="str">
        <f>VLOOKUP(Y14,ОКТМО!B:J,9,0)</f>
        <v>Дельгейский наслег</v>
      </c>
      <c r="AB14" t="str">
        <f>VLOOKUP(Y14,ОКТМО!B:J,6,0)</f>
        <v>Олекминский муниципальный район</v>
      </c>
      <c r="AE14">
        <v>12</v>
      </c>
      <c r="AF14" s="65">
        <v>24738</v>
      </c>
      <c r="AG14" t="s">
        <v>501</v>
      </c>
      <c r="AH14" t="s">
        <v>501</v>
      </c>
      <c r="AI14" s="70">
        <f>VLOOKUP(AH14,ОКТМО!M:N,2,0)</f>
        <v>98648455101</v>
      </c>
      <c r="AK14" s="1">
        <v>12</v>
      </c>
      <c r="AL14" s="1" t="s">
        <v>11</v>
      </c>
      <c r="AM14" s="1" t="s">
        <v>45</v>
      </c>
      <c r="AN14" s="1" t="s">
        <v>45</v>
      </c>
      <c r="AO14" s="73">
        <v>98627430101</v>
      </c>
      <c r="AP14" t="str">
        <f>VLOOKUP(AO14,ОКТМО!B:J,6,0)</f>
        <v>Ленский муниципальный район</v>
      </c>
      <c r="AQ14" t="str">
        <f>VLOOKUP(AO14,ОКТМО!B:J,9,0)</f>
        <v>Нюйский наслег</v>
      </c>
    </row>
    <row r="15" spans="1:43">
      <c r="E15">
        <v>13</v>
      </c>
      <c r="F15" t="s">
        <v>588</v>
      </c>
      <c r="G15" t="s">
        <v>589</v>
      </c>
      <c r="H15" s="70">
        <v>98616103001</v>
      </c>
      <c r="I15" t="str">
        <f>VLOOKUP(H15,ОКТМО!B:M,12,0)</f>
        <v>Верхоянск</v>
      </c>
      <c r="J15" t="str">
        <f>VLOOKUP(H15,ОКТМО!B:M,6,0)</f>
        <v>Верхоянский муниципальный район</v>
      </c>
      <c r="L15">
        <v>13</v>
      </c>
      <c r="M15" t="s">
        <v>11</v>
      </c>
      <c r="N15" s="71" t="s">
        <v>209</v>
      </c>
      <c r="O15" s="72">
        <f>VLOOKUP(P15,ОКТМО!M:N,2,0)</f>
        <v>98624151051</v>
      </c>
      <c r="P15" s="71" t="s">
        <v>1590</v>
      </c>
      <c r="Q15" t="str">
        <f>VLOOKUP(O15,ОКТМО!B:N,12,0)</f>
        <v>Сангар</v>
      </c>
      <c r="R15" t="str">
        <f>VLOOKUP(O15,ОКТМО!B:N,9,0)</f>
        <v>поселок Сангар</v>
      </c>
      <c r="U15">
        <v>13</v>
      </c>
      <c r="V15" t="s">
        <v>11</v>
      </c>
      <c r="W15" t="s">
        <v>2239</v>
      </c>
      <c r="X15" t="s">
        <v>2239</v>
      </c>
      <c r="Y15" s="70">
        <f>VLOOKUP(X15,ОКТМО!M:N,2,0)</f>
        <v>98641415106</v>
      </c>
      <c r="Z15" t="str">
        <f>VLOOKUP(X15,ОКТМО!M:N,1,0)</f>
        <v>Иннях</v>
      </c>
      <c r="AA15" t="str">
        <f>VLOOKUP(Y15,ОКТМО!B:J,9,0)</f>
        <v>Дельгейский наслег</v>
      </c>
      <c r="AB15" t="str">
        <f>VLOOKUP(Y15,ОКТМО!B:J,6,0)</f>
        <v>Олекминский муниципальный район</v>
      </c>
      <c r="AE15">
        <v>13</v>
      </c>
      <c r="AF15" s="65">
        <v>24763</v>
      </c>
      <c r="AG15" t="s">
        <v>369</v>
      </c>
      <c r="AH15" t="s">
        <v>369</v>
      </c>
      <c r="AI15" s="70">
        <f>VLOOKUP(AH15,ОКТМО!M:N,2,0)</f>
        <v>98650405101</v>
      </c>
      <c r="AK15" s="1">
        <v>13</v>
      </c>
      <c r="AL15" s="1" t="s">
        <v>11</v>
      </c>
      <c r="AM15" s="1" t="s">
        <v>48</v>
      </c>
      <c r="AN15" s="65" t="s">
        <v>1786</v>
      </c>
      <c r="AO15" s="73">
        <v>98627430106</v>
      </c>
      <c r="AP15" t="str">
        <f>VLOOKUP(AO15,ОКТМО!B:J,6,0)</f>
        <v>Ленский муниципальный район</v>
      </c>
      <c r="AQ15" t="str">
        <f>VLOOKUP(AO15,ОКТМО!B:J,9,0)</f>
        <v>Нюйский наслег</v>
      </c>
    </row>
    <row r="16" spans="1:43">
      <c r="E16">
        <v>14</v>
      </c>
      <c r="F16" t="s">
        <v>588</v>
      </c>
      <c r="G16" t="s">
        <v>2884</v>
      </c>
      <c r="H16" s="70">
        <v>98656405101</v>
      </c>
      <c r="I16" t="str">
        <f>VLOOKUP(H16,ОКТМО!B:M,12,0)</f>
        <v>Казачье</v>
      </c>
      <c r="J16" t="str">
        <f>VLOOKUP(H16,ОКТМО!B:M,6,0)</f>
        <v>Усть-Янский муниципальный район</v>
      </c>
      <c r="L16">
        <v>14</v>
      </c>
      <c r="M16" t="s">
        <v>11</v>
      </c>
      <c r="N16" t="s">
        <v>216</v>
      </c>
      <c r="O16" s="72">
        <f>VLOOKUP(P16,ОКТМО!M:N,2,0)</f>
        <v>98622410101</v>
      </c>
      <c r="P16" t="s">
        <v>216</v>
      </c>
      <c r="Q16" t="str">
        <f>VLOOKUP(O16,ОКТМО!B:N,12,0)</f>
        <v>Жиганск</v>
      </c>
      <c r="R16" t="str">
        <f>VLOOKUP(O16,ОКТМО!B:N,9,0)</f>
        <v>Жиганский эвенкийский национальный наслег</v>
      </c>
      <c r="U16">
        <v>14</v>
      </c>
      <c r="V16" t="s">
        <v>11</v>
      </c>
      <c r="W16" t="s">
        <v>2448</v>
      </c>
      <c r="X16" t="s">
        <v>2448</v>
      </c>
      <c r="Y16" s="70">
        <f>VLOOKUP(X16,ОКТМО!M:N,2,0)</f>
        <v>98644428101</v>
      </c>
      <c r="Z16" t="str">
        <f>VLOOKUP(X16,ОКТМО!M:N,1,0)</f>
        <v>Кытыл-Дюра</v>
      </c>
      <c r="AA16" t="str">
        <f>VLOOKUP(Y16,ОКТМО!B:J,9,0)</f>
        <v>Мальжагарский 5-й наслег</v>
      </c>
      <c r="AB16" t="str">
        <f>VLOOKUP(Y16,ОКТМО!B:J,6,0)</f>
        <v>Хангаласский муниципальный район</v>
      </c>
      <c r="AE16">
        <v>14</v>
      </c>
      <c r="AF16" s="65">
        <v>24923</v>
      </c>
      <c r="AG16" t="s">
        <v>36</v>
      </c>
      <c r="AH16" t="s">
        <v>36</v>
      </c>
      <c r="AI16" s="70">
        <f>VLOOKUP(AH16,ОКТМО!M:N,2,0)</f>
        <v>98627101001</v>
      </c>
      <c r="AK16" s="1">
        <v>14</v>
      </c>
      <c r="AL16" s="1" t="s">
        <v>11</v>
      </c>
      <c r="AM16" s="1" t="s">
        <v>51</v>
      </c>
      <c r="AN16" s="1" t="s">
        <v>51</v>
      </c>
      <c r="AO16" s="73">
        <v>98641440101</v>
      </c>
      <c r="AP16" t="str">
        <f>VLOOKUP(AO16,ОКТМО!B:J,6,0)</f>
        <v>Олекминский муниципальный район</v>
      </c>
      <c r="AQ16" t="str">
        <f>VLOOKUP(AO16,ОКТМО!B:J,9,0)</f>
        <v>Мачинский наслег</v>
      </c>
    </row>
    <row r="17" spans="5:43">
      <c r="E17">
        <v>15</v>
      </c>
      <c r="F17" t="s">
        <v>632</v>
      </c>
      <c r="G17" t="s">
        <v>2153</v>
      </c>
      <c r="H17" s="70">
        <v>98639151051</v>
      </c>
      <c r="I17" t="str">
        <f>VLOOKUP(H17,ОКТМО!B:M,12,0)</f>
        <v>Усть-Нера</v>
      </c>
      <c r="J17" t="str">
        <f>VLOOKUP(H17,ОКТМО!B:M,6,0)</f>
        <v>Оймяконский муниципальный район</v>
      </c>
      <c r="L17">
        <v>15</v>
      </c>
      <c r="M17" t="s">
        <v>11</v>
      </c>
      <c r="N17" t="s">
        <v>222</v>
      </c>
      <c r="O17" s="72">
        <f>VLOOKUP(P17,ОКТМО!M:N,2,0)</f>
        <v>98612412101</v>
      </c>
      <c r="P17" t="s">
        <v>222</v>
      </c>
      <c r="Q17" t="str">
        <f>VLOOKUP(O17,ОКТМО!B:N,12,0)</f>
        <v>Кюсюр</v>
      </c>
      <c r="R17" t="str">
        <f>VLOOKUP(O17,ОКТМО!B:N,9,0)</f>
        <v>Булунский национальный (эвенкийский) наслег</v>
      </c>
      <c r="U17">
        <v>15</v>
      </c>
      <c r="V17" t="s">
        <v>11</v>
      </c>
      <c r="W17" t="s">
        <v>1047</v>
      </c>
      <c r="X17" t="s">
        <v>1047</v>
      </c>
      <c r="Y17" s="70">
        <f>VLOOKUP(X17,ОКТМО!M:N,2,0)</f>
        <v>98606424101</v>
      </c>
      <c r="Z17" t="str">
        <f>VLOOKUP(X17,ОКТМО!M:N,1,0)</f>
        <v>Чкалов</v>
      </c>
      <c r="AA17" t="str">
        <f>VLOOKUP(Y17,ОКТМО!B:J,9,0)</f>
        <v>Береляхский наслег</v>
      </c>
      <c r="AB17" t="str">
        <f>VLOOKUP(Y17,ОКТМО!B:J,6,0)</f>
        <v>Аллаиховский муниципальный район</v>
      </c>
      <c r="AE17">
        <v>15</v>
      </c>
      <c r="AF17" s="65">
        <v>24944</v>
      </c>
      <c r="AG17" t="s">
        <v>3146</v>
      </c>
      <c r="AH17" s="71" t="s">
        <v>66</v>
      </c>
      <c r="AI17" s="70">
        <f>VLOOKUP(AH17,ОКТМО!M:N,2,0)</f>
        <v>98641101001</v>
      </c>
      <c r="AK17" s="1">
        <v>15</v>
      </c>
      <c r="AL17" s="1" t="s">
        <v>11</v>
      </c>
      <c r="AM17" s="1" t="s">
        <v>54</v>
      </c>
      <c r="AN17" s="65" t="s">
        <v>2236</v>
      </c>
      <c r="AO17" s="73">
        <v>98641415101</v>
      </c>
      <c r="AP17" t="str">
        <f>VLOOKUP(AO17,ОКТМО!B:J,6,0)</f>
        <v>Олекминский муниципальный район</v>
      </c>
      <c r="AQ17" t="str">
        <f>VLOOKUP(AO17,ОКТМО!B:J,9,0)</f>
        <v>Дельгейский наслег</v>
      </c>
    </row>
    <row r="18" spans="5:43">
      <c r="E18">
        <v>16</v>
      </c>
      <c r="F18" t="s">
        <v>632</v>
      </c>
      <c r="G18" t="s">
        <v>2165</v>
      </c>
      <c r="H18" s="70">
        <v>98639405101</v>
      </c>
      <c r="I18" t="str">
        <f>VLOOKUP(H18,ОКТМО!B:M,12,0)</f>
        <v>Оймякон</v>
      </c>
      <c r="J18" t="str">
        <f>VLOOKUP(H18,ОКТМО!B:M,6,0)</f>
        <v>Оймяконский муниципальный район</v>
      </c>
      <c r="L18">
        <v>16</v>
      </c>
      <c r="M18" t="s">
        <v>317</v>
      </c>
      <c r="N18" t="s">
        <v>324</v>
      </c>
      <c r="O18" s="72">
        <f>VLOOKUP(P18,ОКТМО!M:N,2,0)</f>
        <v>98603105001</v>
      </c>
      <c r="P18" t="s">
        <v>324</v>
      </c>
      <c r="Q18" t="str">
        <f>VLOOKUP(O18,ОКТМО!B:N,12,0)</f>
        <v>Томмот</v>
      </c>
      <c r="R18" t="str">
        <f>VLOOKUP(O18,ОКТМО!B:N,9,0)</f>
        <v>город Томмот</v>
      </c>
      <c r="U18">
        <v>16</v>
      </c>
      <c r="V18" t="s">
        <v>11</v>
      </c>
      <c r="W18" t="s">
        <v>2417</v>
      </c>
      <c r="X18" t="s">
        <v>2417</v>
      </c>
      <c r="Y18" s="70">
        <f>VLOOKUP(X18,ОКТМО!M:N,2,0)</f>
        <v>98644412101</v>
      </c>
      <c r="Z18" t="str">
        <f>VLOOKUP(X18,ОКТМО!M:N,1,0)</f>
        <v>Исит</v>
      </c>
      <c r="AA18" t="str">
        <f>VLOOKUP(Y18,ОКТМО!B:J,9,0)</f>
        <v>Иситский наслег</v>
      </c>
      <c r="AB18" t="str">
        <f>VLOOKUP(Y18,ОКТМО!B:J,6,0)</f>
        <v>Хангаласский муниципальный район</v>
      </c>
      <c r="AE18">
        <v>16</v>
      </c>
      <c r="AF18" s="65">
        <v>24951</v>
      </c>
      <c r="AG18" t="s">
        <v>3149</v>
      </c>
      <c r="AH18" s="71" t="s">
        <v>2417</v>
      </c>
      <c r="AI18" s="70">
        <f>VLOOKUP(AH18,ОКТМО!M:N,2,0)</f>
        <v>98644412101</v>
      </c>
      <c r="AK18" s="1">
        <v>16</v>
      </c>
      <c r="AL18" s="1" t="s">
        <v>11</v>
      </c>
      <c r="AM18" s="1" t="s">
        <v>57</v>
      </c>
      <c r="AN18" s="65" t="s">
        <v>2226</v>
      </c>
      <c r="AO18" s="73">
        <v>98641410101</v>
      </c>
      <c r="AP18" t="str">
        <f>VLOOKUP(AO18,ОКТМО!B:J,6,0)</f>
        <v>Олекминский муниципальный район</v>
      </c>
      <c r="AQ18" t="str">
        <f>VLOOKUP(AO18,ОКТМО!B:J,9,0)</f>
        <v>Дабанский наслег</v>
      </c>
    </row>
    <row r="19" spans="5:43">
      <c r="E19">
        <v>17</v>
      </c>
      <c r="F19" t="s">
        <v>632</v>
      </c>
      <c r="G19" t="s">
        <v>2008</v>
      </c>
      <c r="H19" s="70">
        <v>98633423101</v>
      </c>
      <c r="I19" t="str">
        <f>VLOOKUP(H19,ОКТМО!B:M,12,0)</f>
        <v>Хонуу</v>
      </c>
      <c r="J19" t="str">
        <f>VLOOKUP(H19,ОКТМО!B:M,6,0)</f>
        <v>Момский муниципальный район</v>
      </c>
      <c r="L19">
        <v>17</v>
      </c>
      <c r="M19" t="s">
        <v>317</v>
      </c>
      <c r="N19" s="71" t="s">
        <v>3150</v>
      </c>
      <c r="O19" s="72">
        <f>VLOOKUP(P19,ОКТМО!M:N,2,0)</f>
        <v>98654415101</v>
      </c>
      <c r="P19" s="71" t="s">
        <v>336</v>
      </c>
      <c r="Q19" t="str">
        <f>VLOOKUP(O19,ОКТМО!B:N,12,0)</f>
        <v>Усть-Миль</v>
      </c>
      <c r="R19" t="str">
        <f>VLOOKUP(O19,ОКТМО!B:N,9,0)</f>
        <v>село Усть-Миль</v>
      </c>
      <c r="U19">
        <v>17</v>
      </c>
      <c r="V19" t="s">
        <v>11</v>
      </c>
      <c r="W19" t="s">
        <v>2434</v>
      </c>
      <c r="X19" t="s">
        <v>2434</v>
      </c>
      <c r="Y19" s="70">
        <f>VLOOKUP(X19,ОКТМО!M:N,2,0)</f>
        <v>98644423106</v>
      </c>
      <c r="Z19" t="str">
        <f>VLOOKUP(X19,ОКТМО!M:N,1,0)</f>
        <v>Тойон-Ары</v>
      </c>
      <c r="AA19" t="str">
        <f>VLOOKUP(Y19,ОКТМО!B:J,9,0)</f>
        <v>Мальжагарский 1-й наслег</v>
      </c>
      <c r="AB19" t="str">
        <f>VLOOKUP(Y19,ОКТМО!B:J,6,0)</f>
        <v>Хангаласский муниципальный район</v>
      </c>
      <c r="AE19">
        <v>17</v>
      </c>
      <c r="AF19" s="65">
        <v>25400</v>
      </c>
      <c r="AG19" t="s">
        <v>679</v>
      </c>
      <c r="AH19" t="s">
        <v>679</v>
      </c>
      <c r="AI19" s="70">
        <f>VLOOKUP(AH19,ОКТМО!M:N,2,0)</f>
        <v>98615151051</v>
      </c>
      <c r="AK19" s="1">
        <v>17</v>
      </c>
      <c r="AL19" s="1" t="s">
        <v>11</v>
      </c>
      <c r="AM19" s="1" t="s">
        <v>60</v>
      </c>
      <c r="AN19" s="65" t="s">
        <v>2287</v>
      </c>
      <c r="AO19" s="73">
        <v>98641445101</v>
      </c>
      <c r="AP19" t="str">
        <f>VLOOKUP(AO19,ОКТМО!B:J,6,0)</f>
        <v>Олекминский муниципальный район</v>
      </c>
      <c r="AQ19" t="str">
        <f>VLOOKUP(AO19,ОКТМО!B:J,9,0)</f>
        <v>Нерюктяйинский 1-й наслег</v>
      </c>
    </row>
    <row r="20" spans="5:43">
      <c r="E20">
        <v>18</v>
      </c>
      <c r="F20" t="s">
        <v>632</v>
      </c>
      <c r="G20" t="s">
        <v>642</v>
      </c>
      <c r="H20" s="70">
        <v>98601151051</v>
      </c>
      <c r="I20" t="str">
        <f>VLOOKUP(H20,ОКТМО!B:M,12,0)</f>
        <v>Белая Гора</v>
      </c>
      <c r="J20" t="str">
        <f>VLOOKUP(H20,ОКТМО!B:M,6,0)</f>
        <v>Абыйский муниципальный район</v>
      </c>
      <c r="L20">
        <v>18</v>
      </c>
      <c r="M20" t="s">
        <v>317</v>
      </c>
      <c r="N20" s="71" t="s">
        <v>3151</v>
      </c>
      <c r="O20" s="73">
        <f>VLOOKUP(P20,ОКТМО!M:N,2,0)</f>
        <v>98654420101</v>
      </c>
      <c r="P20" s="74" t="s">
        <v>2861</v>
      </c>
      <c r="Q20" t="str">
        <f>VLOOKUP(O20,ОКТМО!B:N,12,0)</f>
        <v>Петропавловск</v>
      </c>
      <c r="R20" t="str">
        <f>VLOOKUP(O20,ОКТМО!B:N,9,0)</f>
        <v>Петропавловский национальный наслег</v>
      </c>
      <c r="S20" t="s">
        <v>3152</v>
      </c>
      <c r="U20">
        <v>18</v>
      </c>
      <c r="V20" t="s">
        <v>11</v>
      </c>
      <c r="W20" t="s">
        <v>99</v>
      </c>
      <c r="X20" t="s">
        <v>99</v>
      </c>
      <c r="Y20" s="70">
        <f>VLOOKUP(X20,ОКТМО!M:N,2,0)</f>
        <v>98644101001</v>
      </c>
      <c r="Z20" t="str">
        <f>VLOOKUP(X20,ОКТМО!M:N,1,0)</f>
        <v>Покровск</v>
      </c>
      <c r="AA20" t="str">
        <f>VLOOKUP(Y20,ОКТМО!B:J,9,0)</f>
        <v>город Покровск</v>
      </c>
      <c r="AB20" t="str">
        <f>VLOOKUP(Y20,ОКТМО!B:J,6,0)</f>
        <v>Хангаласский муниципальный район</v>
      </c>
      <c r="AE20">
        <v>18</v>
      </c>
      <c r="AF20" s="65">
        <v>24966</v>
      </c>
      <c r="AG20" t="s">
        <v>2825</v>
      </c>
      <c r="AH20" t="s">
        <v>2825</v>
      </c>
      <c r="AI20" s="70">
        <f>VLOOKUP(AH20,ОКТМО!M:N,2,0)</f>
        <v>98654151051</v>
      </c>
      <c r="AK20" s="1">
        <v>18</v>
      </c>
      <c r="AL20" s="1" t="s">
        <v>11</v>
      </c>
      <c r="AM20" s="1" t="s">
        <v>63</v>
      </c>
      <c r="AN20" s="65" t="s">
        <v>817</v>
      </c>
      <c r="AO20" s="73">
        <v>98641430101</v>
      </c>
      <c r="AP20" t="str">
        <f>VLOOKUP(AO20,ОКТМО!B:J,6,0)</f>
        <v>Олекминский муниципальный район</v>
      </c>
      <c r="AQ20" t="str">
        <f>VLOOKUP(AO20,ОКТМО!B:J,9,0)</f>
        <v>Кыллахский наслег</v>
      </c>
    </row>
    <row r="21" spans="5:43">
      <c r="E21">
        <v>19</v>
      </c>
      <c r="F21" t="s">
        <v>632</v>
      </c>
      <c r="G21" t="s">
        <v>645</v>
      </c>
      <c r="H21" s="70">
        <v>98606151051</v>
      </c>
      <c r="I21" t="str">
        <f>VLOOKUP(H21,ОКТМО!B:M,12,0)</f>
        <v>Чокурдах</v>
      </c>
      <c r="J21" t="str">
        <f>VLOOKUP(H21,ОКТМО!B:M,6,0)</f>
        <v>Аллаиховский муниципальный район</v>
      </c>
      <c r="L21">
        <v>19</v>
      </c>
      <c r="M21" t="s">
        <v>317</v>
      </c>
      <c r="N21" t="s">
        <v>345</v>
      </c>
      <c r="O21" s="72">
        <f>VLOOKUP(P21,ОКТМО!M:N,2,0)</f>
        <v>98654164051</v>
      </c>
      <c r="P21" t="s">
        <v>345</v>
      </c>
      <c r="Q21" t="str">
        <f>VLOOKUP(O21,ОКТМО!B:N,12,0)</f>
        <v>Эльдикан</v>
      </c>
      <c r="R21" t="str">
        <f>VLOOKUP(O21,ОКТМО!B:N,9,0)</f>
        <v>поселок Эльдикан</v>
      </c>
      <c r="U21">
        <v>19</v>
      </c>
      <c r="V21" t="s">
        <v>11</v>
      </c>
      <c r="W21" t="s">
        <v>2452</v>
      </c>
      <c r="X21" t="s">
        <v>2452</v>
      </c>
      <c r="Y21" s="70">
        <f>VLOOKUP(X21,ОКТМО!M:N,2,0)</f>
        <v>98644435101</v>
      </c>
      <c r="Z21" t="str">
        <f>VLOOKUP(X21,ОКТМО!M:N,1,0)</f>
        <v>Ой</v>
      </c>
      <c r="AA21" t="str">
        <f>VLOOKUP(Y21,ОКТМО!B:J,9,0)</f>
        <v>Немюгюнский наслег</v>
      </c>
      <c r="AB21" t="str">
        <f>VLOOKUP(Y21,ОКТМО!B:J,6,0)</f>
        <v>Хангаласский муниципальный район</v>
      </c>
      <c r="AE21">
        <v>19</v>
      </c>
      <c r="AF21" s="65">
        <v>24959</v>
      </c>
      <c r="AG21" t="s">
        <v>129</v>
      </c>
      <c r="AH21" t="s">
        <v>129</v>
      </c>
      <c r="AI21" s="70">
        <f>VLOOKUP(AH21,ОКТМО!M:N,2,0)</f>
        <v>98701000001</v>
      </c>
      <c r="AK21" s="1">
        <v>19</v>
      </c>
      <c r="AL21" s="1" t="s">
        <v>11</v>
      </c>
      <c r="AM21" s="1" t="s">
        <v>66</v>
      </c>
      <c r="AN21" s="1" t="s">
        <v>66</v>
      </c>
      <c r="AO21" s="73">
        <v>98641101001</v>
      </c>
      <c r="AP21" t="str">
        <f>VLOOKUP(AO21,ОКТМО!B:J,6,0)</f>
        <v>Олекминский муниципальный район</v>
      </c>
      <c r="AQ21" t="str">
        <f>VLOOKUP(AO21,ОКТМО!B:J,9,0)</f>
        <v>город Олекминск</v>
      </c>
    </row>
    <row r="22" spans="5:43">
      <c r="E22">
        <v>20</v>
      </c>
      <c r="F22" t="s">
        <v>666</v>
      </c>
      <c r="G22" t="s">
        <v>679</v>
      </c>
      <c r="H22" s="70">
        <v>98615151051</v>
      </c>
      <c r="I22" t="str">
        <f>VLOOKUP(H22,ОКТМО!B:M,12,0)</f>
        <v>Зырянка</v>
      </c>
      <c r="J22" t="str">
        <f>VLOOKUP(H22,ОКТМО!B:M,6,0)</f>
        <v>Верхнеколымский муниципальный район</v>
      </c>
      <c r="L22">
        <v>20</v>
      </c>
      <c r="M22" t="s">
        <v>317</v>
      </c>
      <c r="N22" s="71" t="s">
        <v>3153</v>
      </c>
      <c r="O22" s="72">
        <f>VLOOKUP(P22,ОКТМО!M:N,2,0)</f>
        <v>98650425101</v>
      </c>
      <c r="P22" s="71" t="s">
        <v>3154</v>
      </c>
      <c r="Q22" t="str">
        <f>VLOOKUP(O22,ОКТМО!B:N,12,0)</f>
        <v>Охотский-Перевоз</v>
      </c>
      <c r="R22" t="str">
        <f>VLOOKUP(O22,ОКТМО!B:N,9,0)</f>
        <v>Охот-Перевозовский наслег</v>
      </c>
      <c r="U22">
        <v>20</v>
      </c>
      <c r="V22" t="s">
        <v>11</v>
      </c>
      <c r="W22" t="s">
        <v>2402</v>
      </c>
      <c r="X22" t="s">
        <v>2402</v>
      </c>
      <c r="Y22" s="70">
        <f>VLOOKUP(X22,ОКТМО!M:N,2,0)</f>
        <v>98644406106</v>
      </c>
      <c r="Z22" t="str">
        <f>VLOOKUP(X22,ОКТМО!M:N,1,0)</f>
        <v>Хоточчу</v>
      </c>
      <c r="AA22" t="str">
        <f>VLOOKUP(Y22,ОКТМО!B:J,9,0)</f>
        <v>Жемконский 1-й наслег</v>
      </c>
      <c r="AB22" t="str">
        <f>VLOOKUP(Y22,ОКТМО!B:J,6,0)</f>
        <v>Хангаласский муниципальный район</v>
      </c>
      <c r="AE22">
        <v>20</v>
      </c>
      <c r="AF22" s="65">
        <v>25206</v>
      </c>
      <c r="AG22" t="s">
        <v>682</v>
      </c>
      <c r="AH22" t="s">
        <v>682</v>
      </c>
      <c r="AI22" s="70">
        <f>VLOOKUP(AH22,ОКТМО!M:N,2,0)</f>
        <v>98646101001</v>
      </c>
      <c r="AK22" s="1">
        <v>20</v>
      </c>
      <c r="AL22" s="1" t="s">
        <v>11</v>
      </c>
      <c r="AM22" s="1" t="s">
        <v>69</v>
      </c>
      <c r="AN22" s="1" t="s">
        <v>69</v>
      </c>
      <c r="AO22" s="73">
        <v>98641465101</v>
      </c>
      <c r="AP22" t="str">
        <f>VLOOKUP(AO22,ОКТМО!B:J,6,0)</f>
        <v>Олекминский муниципальный район</v>
      </c>
      <c r="AQ22" t="str">
        <f>VLOOKUP(AO22,ОКТМО!B:J,9,0)</f>
        <v>Солянский наслег</v>
      </c>
    </row>
    <row r="23" spans="5:43">
      <c r="E23">
        <v>21</v>
      </c>
      <c r="F23" t="s">
        <v>666</v>
      </c>
      <c r="G23" t="s">
        <v>682</v>
      </c>
      <c r="H23" s="70">
        <v>98646101001</v>
      </c>
      <c r="I23" t="str">
        <f>VLOOKUP(H23,ОКТМО!B:M,12,0)</f>
        <v>Среднеколымск</v>
      </c>
      <c r="J23" t="str">
        <f>VLOOKUP(H23,ОКТМО!B:M,6,0)</f>
        <v>Среднеколымский муниципальный район</v>
      </c>
      <c r="L23">
        <v>21</v>
      </c>
      <c r="M23" t="s">
        <v>317</v>
      </c>
      <c r="N23" t="s">
        <v>369</v>
      </c>
      <c r="O23" s="72">
        <f>VLOOKUP(P23,ОКТМО!M:N,2,0)</f>
        <v>98650405101</v>
      </c>
      <c r="P23" t="s">
        <v>369</v>
      </c>
      <c r="Q23" t="str">
        <f>VLOOKUP(O23,ОКТМО!B:N,12,0)</f>
        <v>Крест-Хальджай</v>
      </c>
      <c r="R23" t="str">
        <f>VLOOKUP(O23,ОКТМО!B:N,9,0)</f>
        <v>Баягантайский наслег</v>
      </c>
      <c r="U23">
        <v>21</v>
      </c>
      <c r="V23" t="s">
        <v>11</v>
      </c>
      <c r="W23" t="s">
        <v>2413</v>
      </c>
      <c r="X23" t="s">
        <v>2413</v>
      </c>
      <c r="Y23" s="70">
        <f>VLOOKUP(X23,ОКТМО!M:N,2,0)</f>
        <v>98644409101</v>
      </c>
      <c r="Z23" t="str">
        <f>VLOOKUP(X23,ОКТМО!M:N,1,0)</f>
        <v>Улах-Ан</v>
      </c>
      <c r="AA23" t="str">
        <f>VLOOKUP(Y23,ОКТМО!B:J,9,0)</f>
        <v>Жерский наслег</v>
      </c>
      <c r="AB23" t="str">
        <f>VLOOKUP(Y23,ОКТМО!B:J,6,0)</f>
        <v>Хангаласский муниципальный район</v>
      </c>
      <c r="AE23">
        <v>21</v>
      </c>
      <c r="AF23" s="65">
        <v>30393</v>
      </c>
      <c r="AG23" t="s">
        <v>414</v>
      </c>
      <c r="AH23" t="s">
        <v>414</v>
      </c>
      <c r="AI23" s="70">
        <f>VLOOKUP(AH23,ОКТМО!M:N,2,0)</f>
        <v>98660165051</v>
      </c>
      <c r="AK23" s="1">
        <v>21</v>
      </c>
      <c r="AL23" s="1" t="s">
        <v>11</v>
      </c>
      <c r="AM23" s="1" t="s">
        <v>72</v>
      </c>
      <c r="AN23" s="65" t="s">
        <v>2348</v>
      </c>
      <c r="AO23" s="73">
        <v>98641485101</v>
      </c>
      <c r="AP23" t="str">
        <f>VLOOKUP(AO23,ОКТМО!B:J,6,0)</f>
        <v>Олекминский муниципальный район</v>
      </c>
      <c r="AQ23" t="str">
        <f>VLOOKUP(AO23,ОКТМО!B:J,9,0)</f>
        <v>Хоринский наслег</v>
      </c>
    </row>
    <row r="24" spans="5:43">
      <c r="E24">
        <v>22</v>
      </c>
      <c r="F24" t="s">
        <v>666</v>
      </c>
      <c r="G24" t="s">
        <v>691</v>
      </c>
      <c r="H24" s="70">
        <v>98637151051</v>
      </c>
      <c r="I24" t="str">
        <f>VLOOKUP(H24,ОКТМО!B:M,12,0)</f>
        <v>Черский</v>
      </c>
      <c r="J24" t="str">
        <f>VLOOKUP(H24,ОКТМО!B:M,6,0)</f>
        <v>Нижнеколымский муниципальный район</v>
      </c>
      <c r="L24">
        <v>22</v>
      </c>
      <c r="M24" t="s">
        <v>317</v>
      </c>
      <c r="N24" t="s">
        <v>387</v>
      </c>
      <c r="O24" s="72">
        <f>VLOOKUP(P24,ОКТМО!M:N,2,0)</f>
        <v>98624414106</v>
      </c>
      <c r="P24" t="s">
        <v>387</v>
      </c>
      <c r="Q24" t="str">
        <f>VLOOKUP(O24,ОКТМО!B:N,12,0)</f>
        <v>Батамай</v>
      </c>
      <c r="R24" t="str">
        <f>VLOOKUP(O24,ОКТМО!B:N,9,0)</f>
        <v>Кировский эвенский национальный наслег</v>
      </c>
      <c r="U24">
        <v>22</v>
      </c>
      <c r="V24" t="s">
        <v>11</v>
      </c>
      <c r="W24" t="s">
        <v>2456</v>
      </c>
      <c r="X24" t="s">
        <v>2456</v>
      </c>
      <c r="Y24" s="70">
        <f>VLOOKUP(X24,ОКТМО!M:N,2,0)</f>
        <v>98644440101</v>
      </c>
      <c r="Z24" t="str">
        <f>VLOOKUP(X24,ОКТМО!M:N,1,0)</f>
        <v>Октёмцы</v>
      </c>
      <c r="AA24" t="str">
        <f>VLOOKUP(Y24,ОКТМО!B:J,9,0)</f>
        <v>Октемский наслег</v>
      </c>
      <c r="AB24" t="str">
        <f>VLOOKUP(Y24,ОКТМО!B:J,6,0)</f>
        <v>Хангаласский муниципальный район</v>
      </c>
      <c r="AK24" s="1">
        <v>22</v>
      </c>
      <c r="AL24" s="1" t="s">
        <v>11</v>
      </c>
      <c r="AM24" s="1" t="s">
        <v>75</v>
      </c>
      <c r="AN24" s="1" t="s">
        <v>75</v>
      </c>
      <c r="AO24" s="73">
        <v>98641480106</v>
      </c>
      <c r="AP24" t="str">
        <f>VLOOKUP(AO24,ОКТМО!B:J,6,0)</f>
        <v>Олекминский муниципальный район</v>
      </c>
      <c r="AQ24" t="str">
        <f>VLOOKUP(AO24,ОКТМО!B:J,9,0)</f>
        <v>Урицкий наслег</v>
      </c>
    </row>
    <row r="25" spans="5:43">
      <c r="E25">
        <v>23</v>
      </c>
      <c r="F25" t="s">
        <v>488</v>
      </c>
      <c r="G25" s="71" t="s">
        <v>3155</v>
      </c>
      <c r="H25" s="70">
        <v>98631162051</v>
      </c>
      <c r="I25" t="str">
        <f>VLOOKUP(H25,ОКТМО!B:M,12,0)</f>
        <v>Чернышевский</v>
      </c>
      <c r="J25" t="str">
        <f>VLOOKUP(H25,ОКТМО!B:M,6,0)</f>
        <v>Мирнинский муниципальный район</v>
      </c>
      <c r="L25">
        <v>23</v>
      </c>
      <c r="M25" t="s">
        <v>458</v>
      </c>
      <c r="N25" t="s">
        <v>458</v>
      </c>
      <c r="O25" s="72">
        <f>VLOOKUP(P25,ОКТМО!M:N,2,0)</f>
        <v>98608432101</v>
      </c>
      <c r="P25" t="s">
        <v>458</v>
      </c>
      <c r="Q25" t="str">
        <f>VLOOKUP(O25,ОКТМО!B:N,12,0)</f>
        <v>Амга</v>
      </c>
      <c r="R25" t="str">
        <f>VLOOKUP(O25,ОКТМО!B:N,9,0)</f>
        <v>Амгинский наслег</v>
      </c>
      <c r="U25">
        <v>23</v>
      </c>
      <c r="V25" t="s">
        <v>11</v>
      </c>
      <c r="W25" t="s">
        <v>2466</v>
      </c>
      <c r="X25" t="s">
        <v>2466</v>
      </c>
      <c r="Y25" s="70">
        <f>VLOOKUP(X25,ОКТМО!M:N,2,0)</f>
        <v>98644447101</v>
      </c>
      <c r="Z25" t="str">
        <f>VLOOKUP(X25,ОКТМО!M:N,1,0)</f>
        <v>Техтюр</v>
      </c>
      <c r="AA25" t="str">
        <f>VLOOKUP(Y25,ОКТМО!B:J,9,0)</f>
        <v>Техтюрский наслег</v>
      </c>
      <c r="AB25" t="str">
        <f>VLOOKUP(Y25,ОКТМО!B:J,6,0)</f>
        <v>Хангаласский муниципальный район</v>
      </c>
      <c r="AK25" s="1">
        <v>23</v>
      </c>
      <c r="AL25" s="1" t="s">
        <v>11</v>
      </c>
      <c r="AM25" s="1" t="s">
        <v>78</v>
      </c>
      <c r="AN25" s="1" t="s">
        <v>78</v>
      </c>
      <c r="AO25" s="73">
        <v>98641460101</v>
      </c>
      <c r="AP25" t="str">
        <f>VLOOKUP(AO25,ОКТМО!B:J,6,0)</f>
        <v>Олекминский муниципальный район</v>
      </c>
      <c r="AQ25" t="str">
        <f>VLOOKUP(AO25,ОКТМО!B:J,9,0)</f>
        <v>Саныяхтахский наслег</v>
      </c>
    </row>
    <row r="26" spans="5:43">
      <c r="F26" t="s">
        <v>3156</v>
      </c>
      <c r="G26" t="s">
        <v>1980</v>
      </c>
      <c r="H26" s="70">
        <v>98631162051</v>
      </c>
      <c r="I26" t="str">
        <f>VLOOKUP(H26,ОКТМО!B:M,12,0)</f>
        <v>Чернышевский</v>
      </c>
      <c r="J26" t="str">
        <f>VLOOKUP(H26,ОКТМО!B:M,6,0)</f>
        <v>Мирнинский муниципальный район</v>
      </c>
      <c r="L26">
        <v>24</v>
      </c>
      <c r="M26" t="s">
        <v>458</v>
      </c>
      <c r="N26" s="71" t="s">
        <v>3157</v>
      </c>
      <c r="O26" s="72">
        <f>VLOOKUP(P26,ОКТМО!M:N,2,0)</f>
        <v>98604440101</v>
      </c>
      <c r="P26" s="74" t="s">
        <v>1018</v>
      </c>
      <c r="Q26" t="str">
        <f>VLOOKUP(O26,ОКТМО!B:N,12,0)</f>
        <v>Харбалах</v>
      </c>
      <c r="R26" t="str">
        <f>VLOOKUP(O26,ОКТМО!B:N,9,0)</f>
        <v>Средне-Амгинский наслег</v>
      </c>
      <c r="S26" t="s">
        <v>3158</v>
      </c>
      <c r="U26">
        <v>24</v>
      </c>
      <c r="V26" t="s">
        <v>11</v>
      </c>
      <c r="W26" t="s">
        <v>1905</v>
      </c>
      <c r="X26" t="s">
        <v>1905</v>
      </c>
      <c r="Y26" s="70">
        <f>VLOOKUP(X26,ОКТМО!M:N,2,0)</f>
        <v>98629447101</v>
      </c>
      <c r="Z26" t="str">
        <f>VLOOKUP(X26,ОКТМО!M:N,1,0)</f>
        <v>Рассолода</v>
      </c>
      <c r="AA26" t="str">
        <f>VLOOKUP(Y26,ОКТМО!B:J,9,0)</f>
        <v>Рассолодинский наслег</v>
      </c>
      <c r="AB26" t="str">
        <f>VLOOKUP(Y26,ОКТМО!B:J,6,0)</f>
        <v>Мегино-Кангаласский муниципальный район</v>
      </c>
      <c r="AK26" s="1">
        <v>24</v>
      </c>
      <c r="AL26" s="1" t="s">
        <v>11</v>
      </c>
      <c r="AM26" s="1" t="s">
        <v>81</v>
      </c>
      <c r="AN26" s="65" t="s">
        <v>2448</v>
      </c>
      <c r="AO26" s="73">
        <v>98644428101</v>
      </c>
      <c r="AP26" t="str">
        <f>VLOOKUP(AO26,ОКТМО!B:J,6,0)</f>
        <v>Хангаласский муниципальный район</v>
      </c>
      <c r="AQ26" t="str">
        <f>VLOOKUP(AO26,ОКТМО!B:J,9,0)</f>
        <v>Мальжагарский 5-й наслег</v>
      </c>
    </row>
    <row r="27" spans="5:43">
      <c r="E27">
        <v>24</v>
      </c>
      <c r="F27" t="s">
        <v>488</v>
      </c>
      <c r="G27" t="s">
        <v>501</v>
      </c>
      <c r="H27" s="70">
        <v>98648455101</v>
      </c>
      <c r="I27" t="str">
        <f>VLOOKUP(H27,ОКТМО!B:M,12,0)</f>
        <v>Сунтар</v>
      </c>
      <c r="J27" t="str">
        <f>VLOOKUP(H27,ОКТМО!B:M,6,0)</f>
        <v>Сунтарский муниципальный район</v>
      </c>
      <c r="L27">
        <v>25</v>
      </c>
      <c r="M27" t="s">
        <v>488</v>
      </c>
      <c r="N27" t="s">
        <v>501</v>
      </c>
      <c r="O27" s="72">
        <f>VLOOKUP(P27,ОКТМО!M:N,2,0)</f>
        <v>98648455101</v>
      </c>
      <c r="P27" t="s">
        <v>501</v>
      </c>
      <c r="Q27" t="str">
        <f>VLOOKUP(O27,ОКТМО!B:N,12,0)</f>
        <v>Сунтар</v>
      </c>
      <c r="R27" t="str">
        <f>VLOOKUP(O27,ОКТМО!B:N,9,0)</f>
        <v>Сунтарский наслег</v>
      </c>
      <c r="U27">
        <v>25</v>
      </c>
      <c r="V27" t="s">
        <v>11</v>
      </c>
      <c r="W27" t="s">
        <v>1930</v>
      </c>
      <c r="X27" t="s">
        <v>1930</v>
      </c>
      <c r="Y27" s="70">
        <f>VLOOKUP(X27,ОКТМО!M:N,2,0)</f>
        <v>98629460101</v>
      </c>
      <c r="Z27" t="str">
        <f>VLOOKUP(X27,ОКТМО!M:N,1,0)</f>
        <v>Хаптагай</v>
      </c>
      <c r="AA27" t="str">
        <f>VLOOKUP(Y27,ОКТМО!B:J,9,0)</f>
        <v>Хаптагайский наслег</v>
      </c>
      <c r="AB27" t="str">
        <f>VLOOKUP(Y27,ОКТМО!B:J,6,0)</f>
        <v>Мегино-Кангаласский муниципальный район</v>
      </c>
      <c r="AK27" s="1">
        <v>25</v>
      </c>
      <c r="AL27" s="1" t="s">
        <v>11</v>
      </c>
      <c r="AM27" s="1" t="s">
        <v>84</v>
      </c>
      <c r="AN27" s="65" t="s">
        <v>1685</v>
      </c>
      <c r="AO27" s="73">
        <v>98644427101</v>
      </c>
      <c r="AP27" t="str">
        <f>VLOOKUP(AO27,ОКТМО!B:J,6,0)</f>
        <v>Хангаласский муниципальный район</v>
      </c>
      <c r="AQ27" t="str">
        <f>VLOOKUP(AO27,ОКТМО!B:J,9,0)</f>
        <v>Мальжагарский 4-й наслег</v>
      </c>
    </row>
    <row r="28" spans="5:43">
      <c r="E28">
        <v>25</v>
      </c>
      <c r="F28" t="s">
        <v>488</v>
      </c>
      <c r="G28" t="s">
        <v>504</v>
      </c>
      <c r="H28" s="70">
        <v>98626101001</v>
      </c>
      <c r="I28" t="str">
        <f>VLOOKUP(H28,ОКТМО!B:M,12,0)</f>
        <v>Нюрба</v>
      </c>
      <c r="J28" t="str">
        <f>VLOOKUP(H28,ОКТМО!B:M,6,0)</f>
        <v>Нюрбинский муниципальный район</v>
      </c>
      <c r="L28">
        <v>26</v>
      </c>
      <c r="M28" t="s">
        <v>488</v>
      </c>
      <c r="N28" t="s">
        <v>504</v>
      </c>
      <c r="O28" s="72">
        <f>VLOOKUP(P28,ОКТМО!M:N,2,0)</f>
        <v>98626101001</v>
      </c>
      <c r="P28" t="s">
        <v>504</v>
      </c>
      <c r="Q28" t="str">
        <f>VLOOKUP(O28,ОКТМО!B:N,12,0)</f>
        <v>Нюрба</v>
      </c>
      <c r="R28" t="str">
        <f>VLOOKUP(O28,ОКТМО!B:N,9,0)</f>
        <v>город Нюрба</v>
      </c>
      <c r="U28">
        <v>26</v>
      </c>
      <c r="V28" t="s">
        <v>11</v>
      </c>
      <c r="W28" t="s">
        <v>1899</v>
      </c>
      <c r="X28" t="s">
        <v>1899</v>
      </c>
      <c r="Y28" s="70">
        <f>VLOOKUP(X28,ОКТМО!M:N,2,0)</f>
        <v>98629445101</v>
      </c>
      <c r="Z28" t="str">
        <f>VLOOKUP(X28,ОКТМО!M:N,1,0)</f>
        <v>Павловск</v>
      </c>
      <c r="AA28" t="str">
        <f>VLOOKUP(Y28,ОКТМО!B:J,9,0)</f>
        <v>Нерюктяйинский наслег</v>
      </c>
      <c r="AB28" t="str">
        <f>VLOOKUP(Y28,ОКТМО!B:J,6,0)</f>
        <v>Мегино-Кангаласский муниципальный район</v>
      </c>
      <c r="AK28" s="1">
        <v>26</v>
      </c>
      <c r="AL28" s="1" t="s">
        <v>11</v>
      </c>
      <c r="AM28" s="1" t="s">
        <v>87</v>
      </c>
      <c r="AN28" s="65" t="s">
        <v>2462</v>
      </c>
      <c r="AO28" s="73">
        <v>98644445101</v>
      </c>
      <c r="AP28" t="str">
        <f>VLOOKUP(AO28,ОКТМО!B:J,6,0)</f>
        <v>Хангаласский муниципальный район</v>
      </c>
      <c r="AQ28" t="str">
        <f>VLOOKUP(AO28,ОКТМО!B:J,9,0)</f>
        <v>Синский наслег</v>
      </c>
    </row>
    <row r="29" spans="5:43">
      <c r="E29">
        <v>26</v>
      </c>
      <c r="F29" t="s">
        <v>488</v>
      </c>
      <c r="G29" s="71" t="s">
        <v>3159</v>
      </c>
      <c r="H29" s="70">
        <v>98614412101</v>
      </c>
      <c r="I29" t="str">
        <f>VLOOKUP(H29,ОКТМО!B:M,12,0)</f>
        <v>Верхневилюйск</v>
      </c>
      <c r="J29" t="str">
        <f>VLOOKUP(H29,ОКТМО!B:M,6,0)</f>
        <v>Верхневилюйский муниципальный район</v>
      </c>
      <c r="L29">
        <v>27</v>
      </c>
      <c r="M29" t="s">
        <v>488</v>
      </c>
      <c r="N29" t="s">
        <v>510</v>
      </c>
      <c r="O29" s="72">
        <f>VLOOKUP(P29,ОКТМО!M:N,2,0)</f>
        <v>98614412101</v>
      </c>
      <c r="P29" t="s">
        <v>510</v>
      </c>
      <c r="Q29" t="str">
        <f>VLOOKUP(O29,ОКТМО!B:N,12,0)</f>
        <v>Верхневилюйск</v>
      </c>
      <c r="R29" t="str">
        <f>VLOOKUP(O29,ОКТМО!B:N,9,0)</f>
        <v>Верхневилюйский наслег</v>
      </c>
      <c r="U29">
        <v>27</v>
      </c>
      <c r="V29" t="s">
        <v>11</v>
      </c>
      <c r="W29" t="s">
        <v>1820</v>
      </c>
      <c r="X29" t="s">
        <v>1820</v>
      </c>
      <c r="Y29" s="70">
        <f>VLOOKUP(X29,ОКТМО!M:N,2,0)</f>
        <v>98629155051</v>
      </c>
      <c r="Z29" t="str">
        <f>VLOOKUP(X29,ОКТМО!M:N,1,0)</f>
        <v>Нижний Бестях</v>
      </c>
      <c r="AA29" t="str">
        <f>VLOOKUP(Y29,ОКТМО!B:J,9,0)</f>
        <v>поселок Нижний Бестях</v>
      </c>
      <c r="AB29" t="str">
        <f>VLOOKUP(Y29,ОКТМО!B:J,6,0)</f>
        <v>Мегино-Кангаласский муниципальный район</v>
      </c>
      <c r="AK29" s="1">
        <v>27</v>
      </c>
      <c r="AL29" s="1" t="s">
        <v>11</v>
      </c>
      <c r="AM29" s="1" t="s">
        <v>90</v>
      </c>
      <c r="AN29" s="65" t="s">
        <v>1047</v>
      </c>
      <c r="AO29" s="73">
        <v>98644450111</v>
      </c>
      <c r="AP29" t="str">
        <f>VLOOKUP(AO29,ОКТМО!B:J,6,0)</f>
        <v>Хангаласский муниципальный район</v>
      </c>
      <c r="AQ29" t="str">
        <f>VLOOKUP(AO29,ОКТМО!B:J,9,0)</f>
        <v>Тит-Арынский наслег</v>
      </c>
    </row>
    <row r="30" spans="5:43">
      <c r="F30" t="s">
        <v>3156</v>
      </c>
      <c r="G30" t="s">
        <v>510</v>
      </c>
      <c r="H30" s="70">
        <v>98614412101</v>
      </c>
      <c r="I30" t="str">
        <f>VLOOKUP(H30,ОКТМО!B:M,12,0)</f>
        <v>Верхневилюйск</v>
      </c>
      <c r="J30" t="str">
        <f>VLOOKUP(H30,ОКТМО!B:M,6,0)</f>
        <v>Верхневилюйский муниципальный район</v>
      </c>
      <c r="L30">
        <v>28</v>
      </c>
      <c r="M30" t="s">
        <v>488</v>
      </c>
      <c r="N30" t="s">
        <v>513</v>
      </c>
      <c r="O30" s="72">
        <f>VLOOKUP(P30,ОКТМО!M:N,2,0)</f>
        <v>98618101001</v>
      </c>
      <c r="P30" t="s">
        <v>513</v>
      </c>
      <c r="Q30" t="str">
        <f>VLOOKUP(O30,ОКТМО!B:N,12,0)</f>
        <v>Вилюйск</v>
      </c>
      <c r="R30" t="str">
        <f>VLOOKUP(O30,ОКТМО!B:N,9,0)</f>
        <v>город Вилюйск</v>
      </c>
      <c r="U30">
        <v>28</v>
      </c>
      <c r="V30" t="s">
        <v>11</v>
      </c>
      <c r="W30" t="s">
        <v>2466</v>
      </c>
      <c r="X30" t="s">
        <v>2466</v>
      </c>
      <c r="Y30" s="70">
        <f>VLOOKUP(X30,ОКТМО!M:N,2,0)</f>
        <v>98644447101</v>
      </c>
      <c r="Z30" t="str">
        <f>VLOOKUP(X30,ОКТМО!M:N,1,0)</f>
        <v>Техтюр</v>
      </c>
      <c r="AA30" t="str">
        <f>VLOOKUP(Y30,ОКТМО!B:J,9,0)</f>
        <v>Техтюрский наслег</v>
      </c>
      <c r="AB30" t="str">
        <f>VLOOKUP(Y30,ОКТМО!B:J,6,0)</f>
        <v>Хангаласский муниципальный район</v>
      </c>
      <c r="AK30" s="1">
        <v>28</v>
      </c>
      <c r="AL30" s="1" t="s">
        <v>11</v>
      </c>
      <c r="AM30" s="1" t="s">
        <v>93</v>
      </c>
      <c r="AN30" s="65" t="s">
        <v>2434</v>
      </c>
      <c r="AO30" s="73">
        <v>98644423106</v>
      </c>
      <c r="AP30" t="str">
        <f>VLOOKUP(AO30,ОКТМО!B:J,6,0)</f>
        <v>Хангаласский муниципальный район</v>
      </c>
      <c r="AQ30" t="str">
        <f>VLOOKUP(AO30,ОКТМО!B:J,9,0)</f>
        <v>Мальжагарский 1-й наслег</v>
      </c>
    </row>
    <row r="31" spans="5:43">
      <c r="E31">
        <v>27</v>
      </c>
      <c r="F31" t="s">
        <v>488</v>
      </c>
      <c r="G31" t="s">
        <v>513</v>
      </c>
      <c r="H31" s="70">
        <v>98618101001</v>
      </c>
      <c r="I31" t="str">
        <f>VLOOKUP(H31,ОКТМО!B:M,12,0)</f>
        <v>Вилюйск</v>
      </c>
      <c r="J31" t="str">
        <f>VLOOKUP(H31,ОКТМО!B:M,6,0)</f>
        <v>Вилюйский муниципальный район</v>
      </c>
      <c r="L31">
        <v>29</v>
      </c>
      <c r="M31" t="s">
        <v>488</v>
      </c>
      <c r="N31" s="71" t="s">
        <v>3160</v>
      </c>
      <c r="O31" s="72">
        <f>VLOOKUP(P31,ОКТМО!M:N,2,0)</f>
        <v>98624405111</v>
      </c>
      <c r="P31" s="71" t="s">
        <v>516</v>
      </c>
      <c r="Q31" t="str">
        <f>VLOOKUP(O31,ОКТМО!B:N,12,0)</f>
        <v>Хатырык-Хомо</v>
      </c>
      <c r="R31" t="str">
        <f>VLOOKUP(O31,ОКТМО!B:N,9,0)</f>
        <v>Арыктахский наслег</v>
      </c>
      <c r="U31">
        <v>29</v>
      </c>
      <c r="V31" t="s">
        <v>11</v>
      </c>
      <c r="W31" t="s">
        <v>1863</v>
      </c>
      <c r="X31" t="s">
        <v>1863</v>
      </c>
      <c r="Y31" s="70">
        <f>VLOOKUP(X31,ОКТМО!M:N,2,0)</f>
        <v>98629413106</v>
      </c>
      <c r="Z31" t="str">
        <f>VLOOKUP(X31,ОКТМО!M:N,1,0)</f>
        <v>Кердюген</v>
      </c>
      <c r="AA31" t="str">
        <f>VLOOKUP(Y31,ОКТМО!B:J,9,0)</f>
        <v>Дойдунский наслег</v>
      </c>
      <c r="AB31" t="str">
        <f>VLOOKUP(Y31,ОКТМО!B:J,6,0)</f>
        <v>Мегино-Кангаласский муниципальный район</v>
      </c>
      <c r="AK31" s="1">
        <v>29</v>
      </c>
      <c r="AL31" s="1" t="s">
        <v>11</v>
      </c>
      <c r="AM31" s="1" t="s">
        <v>96</v>
      </c>
      <c r="AN31" s="65" t="s">
        <v>2427</v>
      </c>
      <c r="AO31" s="73">
        <v>98644418106</v>
      </c>
      <c r="AP31" t="str">
        <f>VLOOKUP(AO31,ОКТМО!B:J,6,0)</f>
        <v>Хангаласский муниципальный район</v>
      </c>
      <c r="AQ31" t="str">
        <f>VLOOKUP(AO31,ОКТМО!B:J,9,0)</f>
        <v>Качикатский наслег</v>
      </c>
    </row>
    <row r="32" spans="5:43">
      <c r="E32">
        <v>28</v>
      </c>
      <c r="F32" t="s">
        <v>11</v>
      </c>
      <c r="G32" t="s">
        <v>129</v>
      </c>
      <c r="H32" s="70">
        <v>98701000001</v>
      </c>
      <c r="I32" t="str">
        <f>VLOOKUP(H32,ОКТМО!B:M,12,0)</f>
        <v>Якутск</v>
      </c>
      <c r="J32" t="str">
        <f>VLOOKUP(H32,ОКТМО!B:M,6,0)</f>
        <v>Городской округ Город Якутск</v>
      </c>
      <c r="L32">
        <v>30</v>
      </c>
      <c r="M32" t="s">
        <v>588</v>
      </c>
      <c r="N32" s="71" t="s">
        <v>3161</v>
      </c>
      <c r="O32" s="72">
        <f>VLOOKUP(P32,ОКТМО!M:N,2,0)</f>
        <v>98616103001</v>
      </c>
      <c r="P32" s="71" t="s">
        <v>589</v>
      </c>
      <c r="Q32" t="str">
        <f>VLOOKUP(O32,ОКТМО!B:N,12,0)</f>
        <v>Верхоянск</v>
      </c>
      <c r="R32" t="str">
        <f>VLOOKUP(O32,ОКТМО!B:N,9,0)</f>
        <v>город Верхоянск</v>
      </c>
      <c r="U32">
        <v>30</v>
      </c>
      <c r="V32" t="s">
        <v>11</v>
      </c>
      <c r="W32" t="s">
        <v>129</v>
      </c>
      <c r="X32" t="s">
        <v>129</v>
      </c>
      <c r="Y32" s="70">
        <f>VLOOKUP(X32,ОКТМО!M:N,2,0)</f>
        <v>98701000001</v>
      </c>
      <c r="Z32" t="str">
        <f>VLOOKUP(X32,ОКТМО!M:N,1,0)</f>
        <v>Якутск</v>
      </c>
      <c r="AA32" t="str">
        <f>VLOOKUP(Y32,ОКТМО!B:J,9,0)</f>
        <v>город Якутск</v>
      </c>
      <c r="AB32" t="str">
        <f>VLOOKUP(Y32,ОКТМО!B:J,6,0)</f>
        <v>Городской округ Город Якутск</v>
      </c>
      <c r="AK32" s="1">
        <v>30</v>
      </c>
      <c r="AL32" s="1" t="s">
        <v>11</v>
      </c>
      <c r="AM32" s="1" t="s">
        <v>99</v>
      </c>
      <c r="AN32" s="1" t="s">
        <v>99</v>
      </c>
      <c r="AO32" s="73">
        <v>98644101001</v>
      </c>
      <c r="AP32" t="str">
        <f>VLOOKUP(AO32,ОКТМО!B:J,6,0)</f>
        <v>Хангаласский муниципальный район</v>
      </c>
      <c r="AQ32" t="str">
        <f>VLOOKUP(AO32,ОКТМО!B:J,9,0)</f>
        <v>город Покровск</v>
      </c>
    </row>
    <row r="33" spans="5:43">
      <c r="E33">
        <v>29</v>
      </c>
      <c r="F33" t="s">
        <v>11</v>
      </c>
      <c r="G33" t="s">
        <v>99</v>
      </c>
      <c r="H33" s="70">
        <v>98644101001</v>
      </c>
      <c r="I33" t="str">
        <f>VLOOKUP(H33,ОКТМО!B:M,12,0)</f>
        <v>Покровск</v>
      </c>
      <c r="J33" t="str">
        <f>VLOOKUP(H33,ОКТМО!B:M,6,0)</f>
        <v>Хангаласский муниципальный район</v>
      </c>
      <c r="L33">
        <v>31</v>
      </c>
      <c r="M33" t="s">
        <v>621</v>
      </c>
      <c r="N33" t="s">
        <v>622</v>
      </c>
      <c r="O33" s="72">
        <f>VLOOKUP(P33,ОКТМО!M:N,2,0)</f>
        <v>98616151111</v>
      </c>
      <c r="P33" t="s">
        <v>622</v>
      </c>
      <c r="Q33" t="str">
        <f>VLOOKUP(O33,ОКТМО!B:N,12,0)</f>
        <v>Усть-Чаркы</v>
      </c>
      <c r="R33" t="str">
        <f>VLOOKUP(O33,ОКТМО!B:N,9,0)</f>
        <v>поселок Батагай</v>
      </c>
      <c r="U33">
        <v>31</v>
      </c>
      <c r="V33" t="s">
        <v>11</v>
      </c>
      <c r="W33" t="s">
        <v>818</v>
      </c>
      <c r="X33" t="s">
        <v>818</v>
      </c>
      <c r="Y33" s="70">
        <f>VLOOKUP(X33,ОКТМО!M:N,2,0)</f>
        <v>98702000051</v>
      </c>
      <c r="Z33" t="str">
        <f>VLOOKUP(X33,ОКТМО!M:N,1,0)</f>
        <v>Жатай</v>
      </c>
      <c r="AA33" t="str">
        <f>VLOOKUP(Y33,ОКТМО!B:J,9,0)</f>
        <v>Жатай</v>
      </c>
      <c r="AB33" t="str">
        <f>VLOOKUP(Y33,ОКТМО!B:J,6,0)</f>
        <v>Городской округ поселок Жатай</v>
      </c>
      <c r="AK33" s="1">
        <v>31</v>
      </c>
      <c r="AL33" s="1" t="s">
        <v>11</v>
      </c>
      <c r="AM33" s="1" t="s">
        <v>102</v>
      </c>
      <c r="AN33" s="65" t="s">
        <v>2402</v>
      </c>
      <c r="AO33" s="73">
        <v>98644406106</v>
      </c>
      <c r="AP33" t="str">
        <f>VLOOKUP(AO33,ОКТМО!B:J,6,0)</f>
        <v>Хангаласский муниципальный район</v>
      </c>
      <c r="AQ33" t="str">
        <f>VLOOKUP(AO33,ОКТМО!B:J,9,0)</f>
        <v>Жемконский 1-й наслег</v>
      </c>
    </row>
    <row r="34" spans="5:43">
      <c r="E34">
        <v>30</v>
      </c>
      <c r="F34" t="s">
        <v>11</v>
      </c>
      <c r="G34" t="s">
        <v>2044</v>
      </c>
      <c r="H34" s="70">
        <v>98635425101</v>
      </c>
      <c r="I34" t="str">
        <f>VLOOKUP(H34,ОКТМО!B:M,12,0)</f>
        <v>Намцы</v>
      </c>
      <c r="J34" t="str">
        <f>VLOOKUP(H34,ОКТМО!B:M,6,0)</f>
        <v>Намский муниципальный район</v>
      </c>
      <c r="L34">
        <v>32</v>
      </c>
      <c r="M34" t="s">
        <v>632</v>
      </c>
      <c r="N34" t="s">
        <v>2153</v>
      </c>
      <c r="O34" s="72">
        <f>VLOOKUP(P34,ОКТМО!M:N,2,0)</f>
        <v>98639151051</v>
      </c>
      <c r="P34" t="s">
        <v>2153</v>
      </c>
      <c r="Q34" t="str">
        <f>VLOOKUP(O34,ОКТМО!B:N,12,0)</f>
        <v>Усть-Нера</v>
      </c>
      <c r="R34" t="str">
        <f>VLOOKUP(O34,ОКТМО!B:N,9,0)</f>
        <v>поселок Усть-Нера</v>
      </c>
      <c r="U34">
        <v>32</v>
      </c>
      <c r="V34" t="s">
        <v>11</v>
      </c>
      <c r="W34" t="s">
        <v>2095</v>
      </c>
      <c r="X34" t="s">
        <v>2095</v>
      </c>
      <c r="Y34" s="70">
        <f>VLOOKUP(X34,ОКТМО!M:N,2,0)</f>
        <v>98635466101</v>
      </c>
      <c r="Z34" t="str">
        <f>VLOOKUP(X34,ОКТМО!M:N,1,0)</f>
        <v>Хатас</v>
      </c>
      <c r="AA34" t="str">
        <f>VLOOKUP(Y34,ОКТМО!B:J,9,0)</f>
        <v>Хомустахский 2-й наслег</v>
      </c>
      <c r="AB34" t="str">
        <f>VLOOKUP(Y34,ОКТМО!B:J,6,0)</f>
        <v>Намский муниципальный район</v>
      </c>
      <c r="AK34" s="1">
        <v>32</v>
      </c>
      <c r="AL34" s="1" t="s">
        <v>11</v>
      </c>
      <c r="AM34" s="1" t="s">
        <v>105</v>
      </c>
      <c r="AN34" s="65" t="s">
        <v>2456</v>
      </c>
      <c r="AO34" s="73">
        <v>98644440101</v>
      </c>
      <c r="AP34" t="str">
        <f>VLOOKUP(AO34,ОКТМО!B:J,6,0)</f>
        <v>Хангаласский муниципальный район</v>
      </c>
      <c r="AQ34" t="str">
        <f>VLOOKUP(AO34,ОКТМО!B:J,9,0)</f>
        <v>Октемский наслег</v>
      </c>
    </row>
    <row r="35" spans="5:43">
      <c r="E35">
        <v>31</v>
      </c>
      <c r="F35" t="s">
        <v>11</v>
      </c>
      <c r="G35" t="s">
        <v>66</v>
      </c>
      <c r="H35" s="70">
        <v>98641101001</v>
      </c>
      <c r="I35" t="str">
        <f>VLOOKUP(H35,ОКТМО!B:M,12,0)</f>
        <v>Олёкминск</v>
      </c>
      <c r="J35" t="str">
        <f>VLOOKUP(H35,ОКТМО!B:M,6,0)</f>
        <v>Олекминский муниципальный район</v>
      </c>
      <c r="L35">
        <v>33</v>
      </c>
      <c r="M35" t="s">
        <v>632</v>
      </c>
      <c r="N35" t="s">
        <v>645</v>
      </c>
      <c r="O35" s="72">
        <f>VLOOKUP(P35,ОКТМО!M:N,2,0)</f>
        <v>98606151051</v>
      </c>
      <c r="P35" t="s">
        <v>645</v>
      </c>
      <c r="Q35" t="str">
        <f>VLOOKUP(O35,ОКТМО!B:N,12,0)</f>
        <v>Чокурдах</v>
      </c>
      <c r="R35" t="str">
        <f>VLOOKUP(O35,ОКТМО!B:N,9,0)</f>
        <v>поселок Чокурдах</v>
      </c>
      <c r="U35">
        <v>33</v>
      </c>
      <c r="V35" t="s">
        <v>11</v>
      </c>
      <c r="W35" t="s">
        <v>111</v>
      </c>
      <c r="X35" t="s">
        <v>111</v>
      </c>
      <c r="Y35" s="70">
        <f>VLOOKUP(X35,ОКТМО!M:N,2,0)</f>
        <v>98701000116</v>
      </c>
      <c r="Z35" t="str">
        <f>VLOOKUP(X35,ОКТМО!M:N,1,0)</f>
        <v>Табага</v>
      </c>
      <c r="AA35" t="str">
        <f>VLOOKUP(Y35,ОКТМО!B:J,9,0)</f>
        <v>город Якутск</v>
      </c>
      <c r="AB35" t="str">
        <f>VLOOKUP(Y35,ОКТМО!B:J,6,0)</f>
        <v>Городской округ Город Якутск</v>
      </c>
      <c r="AK35" s="1">
        <v>33</v>
      </c>
      <c r="AL35" s="1" t="s">
        <v>11</v>
      </c>
      <c r="AM35" s="1" t="s">
        <v>108</v>
      </c>
      <c r="AN35" s="65" t="s">
        <v>1905</v>
      </c>
      <c r="AO35" s="73">
        <v>98629447101</v>
      </c>
      <c r="AP35" t="str">
        <f>VLOOKUP(AO35,ОКТМО!B:J,6,0)</f>
        <v>Мегино-Кангаласский муниципальный район</v>
      </c>
      <c r="AQ35" t="str">
        <f>VLOOKUP(AO35,ОКТМО!B:J,9,0)</f>
        <v>Рассолодинский наслег</v>
      </c>
    </row>
    <row r="36" spans="5:43">
      <c r="E36">
        <v>32</v>
      </c>
      <c r="F36" t="s">
        <v>11</v>
      </c>
      <c r="G36" s="71" t="s">
        <v>3146</v>
      </c>
      <c r="H36" s="70">
        <v>98641101001</v>
      </c>
      <c r="I36" t="str">
        <f>VLOOKUP(H36,ОКТМО!B:M,12,0)</f>
        <v>Олёкминск</v>
      </c>
      <c r="J36" t="str">
        <f>VLOOKUP(H36,ОКТМО!B:M,6,0)</f>
        <v>Олекминский муниципальный район</v>
      </c>
      <c r="L36">
        <v>34</v>
      </c>
      <c r="M36" t="s">
        <v>666</v>
      </c>
      <c r="N36" t="s">
        <v>679</v>
      </c>
      <c r="O36" s="72">
        <f>VLOOKUP(P36,ОКТМО!M:N,2,0)</f>
        <v>98615151051</v>
      </c>
      <c r="P36" t="s">
        <v>679</v>
      </c>
      <c r="Q36" t="str">
        <f>VLOOKUP(O36,ОКТМО!B:N,12,0)</f>
        <v>Зырянка</v>
      </c>
      <c r="R36" t="str">
        <f>VLOOKUP(O36,ОКТМО!B:N,9,0)</f>
        <v>поселок Зырянка</v>
      </c>
      <c r="U36">
        <v>34</v>
      </c>
      <c r="V36" t="s">
        <v>11</v>
      </c>
      <c r="W36" t="s">
        <v>775</v>
      </c>
      <c r="X36" t="s">
        <v>775</v>
      </c>
      <c r="Y36" s="70">
        <f>VLOOKUP(X36,ОКТМО!M:N,2,0)</f>
        <v>98701000121</v>
      </c>
      <c r="Z36" t="str">
        <f>VLOOKUP(X36,ОКТМО!M:N,1,0)</f>
        <v>Тулагино</v>
      </c>
      <c r="AA36" t="str">
        <f>VLOOKUP(Y36,ОКТМО!B:J,9,0)</f>
        <v>город Якутск</v>
      </c>
      <c r="AB36" t="str">
        <f>VLOOKUP(Y36,ОКТМО!B:J,6,0)</f>
        <v>Городской округ Город Якутск</v>
      </c>
      <c r="AK36" s="1">
        <v>34</v>
      </c>
      <c r="AL36" s="1" t="s">
        <v>11</v>
      </c>
      <c r="AM36" s="1" t="s">
        <v>111</v>
      </c>
      <c r="AN36" s="1" t="s">
        <v>111</v>
      </c>
      <c r="AO36" s="73">
        <v>98701000116</v>
      </c>
      <c r="AP36" t="str">
        <f>VLOOKUP(AO36,ОКТМО!B:J,6,0)</f>
        <v>Городской округ Город Якутск</v>
      </c>
      <c r="AQ36" t="str">
        <f>VLOOKUP(AO36,ОКТМО!B:J,9,0)</f>
        <v>город Якутск</v>
      </c>
    </row>
    <row r="37" spans="5:43">
      <c r="E37">
        <v>33</v>
      </c>
      <c r="F37" t="s">
        <v>11</v>
      </c>
      <c r="G37" t="s">
        <v>36</v>
      </c>
      <c r="H37" s="70">
        <v>98627101001</v>
      </c>
      <c r="I37" t="str">
        <f>VLOOKUP(H37,ОКТМО!B:M,12,0)</f>
        <v>Ленск</v>
      </c>
      <c r="J37" t="str">
        <f>VLOOKUP(H37,ОКТМО!B:M,6,0)</f>
        <v>Ленский муниципальный район</v>
      </c>
      <c r="L37">
        <v>35</v>
      </c>
      <c r="M37" t="s">
        <v>666</v>
      </c>
      <c r="N37" t="s">
        <v>682</v>
      </c>
      <c r="O37" s="72">
        <f>VLOOKUP(P37,ОКТМО!M:N,2,0)</f>
        <v>98646101001</v>
      </c>
      <c r="P37" t="s">
        <v>682</v>
      </c>
      <c r="Q37" t="str">
        <f>VLOOKUP(O37,ОКТМО!B:N,12,0)</f>
        <v>Среднеколымск</v>
      </c>
      <c r="R37" t="str">
        <f>VLOOKUP(O37,ОКТМО!B:N,9,0)</f>
        <v>город Среднеколымск</v>
      </c>
      <c r="U37">
        <v>35</v>
      </c>
      <c r="V37" t="s">
        <v>11</v>
      </c>
      <c r="W37" t="s">
        <v>793</v>
      </c>
      <c r="X37" t="s">
        <v>793</v>
      </c>
      <c r="Y37" s="70">
        <f>VLOOKUP(X37,ОКТМО!M:N,2,0)</f>
        <v>98701000136</v>
      </c>
      <c r="Z37" t="str">
        <f>VLOOKUP(X37,ОКТМО!M:N,1,0)</f>
        <v>Сырдах</v>
      </c>
      <c r="AA37" t="str">
        <f>VLOOKUP(Y37,ОКТМО!B:J,9,0)</f>
        <v>город Якутск</v>
      </c>
      <c r="AB37" t="str">
        <f>VLOOKUP(Y37,ОКТМО!B:J,6,0)</f>
        <v>Городской округ Город Якутск</v>
      </c>
      <c r="AK37" s="1">
        <v>35</v>
      </c>
      <c r="AL37" s="1" t="s">
        <v>11</v>
      </c>
      <c r="AM37" s="1" t="s">
        <v>114</v>
      </c>
      <c r="AN37" s="65" t="s">
        <v>1930</v>
      </c>
      <c r="AO37" s="73">
        <v>98629460101</v>
      </c>
      <c r="AP37" t="str">
        <f>VLOOKUP(AO37,ОКТМО!B:J,6,0)</f>
        <v>Мегино-Кангаласский муниципальный район</v>
      </c>
      <c r="AQ37" t="str">
        <f>VLOOKUP(AO37,ОКТМО!B:J,9,0)</f>
        <v>Хаптагайский наслег</v>
      </c>
    </row>
    <row r="38" spans="5:43">
      <c r="E38">
        <v>34</v>
      </c>
      <c r="F38" t="s">
        <v>11</v>
      </c>
      <c r="G38" t="s">
        <v>24</v>
      </c>
      <c r="H38" s="70">
        <v>98627153051</v>
      </c>
      <c r="I38" t="str">
        <f>VLOOKUP(H38,ОКТМО!B:M,12,0)</f>
        <v>Витим</v>
      </c>
      <c r="J38" t="str">
        <f>VLOOKUP(H38,ОКТМО!B:M,6,0)</f>
        <v>Ленский муниципальный район</v>
      </c>
      <c r="O38" s="72"/>
      <c r="U38">
        <v>36</v>
      </c>
      <c r="V38" t="s">
        <v>11</v>
      </c>
      <c r="W38" t="s">
        <v>782</v>
      </c>
      <c r="X38" t="s">
        <v>782</v>
      </c>
      <c r="Y38" s="70">
        <f>VLOOKUP(X38,ОКТМО!M:N,2,0)</f>
        <v>98701000126</v>
      </c>
      <c r="Z38" t="str">
        <f>VLOOKUP(X38,ОКТМО!M:N,1,0)</f>
        <v>Капитоновка</v>
      </c>
      <c r="AA38" t="str">
        <f>VLOOKUP(Y38,ОКТМО!B:J,9,0)</f>
        <v>город Якутск</v>
      </c>
      <c r="AB38" t="str">
        <f>VLOOKUP(Y38,ОКТМО!B:J,6,0)</f>
        <v>Городской округ Город Якутск</v>
      </c>
      <c r="AK38" s="1">
        <v>36</v>
      </c>
      <c r="AL38" s="1" t="s">
        <v>11</v>
      </c>
      <c r="AM38" s="1" t="s">
        <v>117</v>
      </c>
      <c r="AN38" s="65" t="s">
        <v>800</v>
      </c>
      <c r="AO38" s="73">
        <v>98701000141</v>
      </c>
      <c r="AP38" t="str">
        <f>VLOOKUP(AO38,ОКТМО!B:J,6,0)</f>
        <v>Городской округ Город Якутск</v>
      </c>
      <c r="AQ38" t="str">
        <f>VLOOKUP(AO38,ОКТМО!B:J,9,0)</f>
        <v>город Якутск</v>
      </c>
    </row>
    <row r="39" spans="5:43">
      <c r="E39">
        <v>35</v>
      </c>
      <c r="F39" t="s">
        <v>11</v>
      </c>
      <c r="G39" t="s">
        <v>1590</v>
      </c>
      <c r="H39" s="70">
        <v>98624151051</v>
      </c>
      <c r="I39" t="str">
        <f>VLOOKUP(H39,ОКТМО!B:M,12,0)</f>
        <v>Сангар</v>
      </c>
      <c r="J39" t="str">
        <f>VLOOKUP(H39,ОКТМО!B:M,6,0)</f>
        <v>Кобяйский муниципальный район</v>
      </c>
      <c r="M39" t="s">
        <v>3162</v>
      </c>
      <c r="O39" s="72"/>
      <c r="U39">
        <v>37</v>
      </c>
      <c r="V39" t="s">
        <v>11</v>
      </c>
      <c r="W39" t="s">
        <v>141</v>
      </c>
      <c r="X39" t="s">
        <v>141</v>
      </c>
      <c r="Y39" s="70">
        <f>VLOOKUP(X39,ОКТМО!M:N,2,0)</f>
        <v>98701000001</v>
      </c>
      <c r="Z39" t="str">
        <f>VLOOKUP(X39,ОКТМО!M:N,1,0)</f>
        <v>Кангалассы</v>
      </c>
      <c r="AA39" t="str">
        <f>VLOOKUP(Y39,ОКТМО!B:J,9,0)</f>
        <v>город Якутск</v>
      </c>
      <c r="AB39" t="str">
        <f>VLOOKUP(Y39,ОКТМО!B:J,6,0)</f>
        <v>Городской округ Город Якутск</v>
      </c>
      <c r="AK39" s="1">
        <v>37</v>
      </c>
      <c r="AL39" s="1" t="s">
        <v>11</v>
      </c>
      <c r="AM39" s="1" t="s">
        <v>120</v>
      </c>
      <c r="AN39" s="65" t="s">
        <v>1899</v>
      </c>
      <c r="AO39" s="73">
        <v>98629445101</v>
      </c>
      <c r="AP39" t="str">
        <f>VLOOKUP(AO39,ОКТМО!B:J,6,0)</f>
        <v>Мегино-Кангаласский муниципальный район</v>
      </c>
      <c r="AQ39" t="str">
        <f>VLOOKUP(AO39,ОКТМО!B:J,9,0)</f>
        <v>Нерюктяйинский наслег</v>
      </c>
    </row>
    <row r="40" spans="5:43">
      <c r="E40">
        <v>36</v>
      </c>
      <c r="F40" t="s">
        <v>11</v>
      </c>
      <c r="G40" t="s">
        <v>216</v>
      </c>
      <c r="H40" s="70">
        <v>98622410101</v>
      </c>
      <c r="I40" t="str">
        <f>VLOOKUP(H40,ОКТМО!B:M,12,0)</f>
        <v>Жиганск</v>
      </c>
      <c r="J40" t="str">
        <f>VLOOKUP(H40,ОКТМО!B:M,6,0)</f>
        <v>Жиганский национальный эвенкийский муниципальный район</v>
      </c>
      <c r="L40">
        <v>36</v>
      </c>
      <c r="M40" t="s">
        <v>11</v>
      </c>
      <c r="N40" s="71" t="s">
        <v>30</v>
      </c>
      <c r="O40" s="72">
        <f>VLOOKUP(P40,ОКТМО!M:N,2,0)</f>
        <v>98627157106</v>
      </c>
      <c r="P40" s="71" t="s">
        <v>1764</v>
      </c>
      <c r="Q40" t="str">
        <f>VLOOKUP(O40,ОКТМО!B:N,12,0)</f>
        <v>Крестовский лесоучасток</v>
      </c>
      <c r="R40" t="str">
        <f>VLOOKUP(O40,ОКТМО!B:N,9,0)</f>
        <v>поселок Пеледуй</v>
      </c>
      <c r="U40">
        <v>38</v>
      </c>
      <c r="V40" t="s">
        <v>11</v>
      </c>
      <c r="W40" t="s">
        <v>2027</v>
      </c>
      <c r="X40" t="s">
        <v>2027</v>
      </c>
      <c r="Y40" s="70">
        <f>VLOOKUP(X40,ОКТМО!M:N,2,0)</f>
        <v>98635405101</v>
      </c>
      <c r="Z40" t="str">
        <f>VLOOKUP(X40,ОКТМО!M:N,1,0)</f>
        <v>Сыгыннах</v>
      </c>
      <c r="AA40" t="str">
        <f>VLOOKUP(Y40,ОКТМО!B:J,9,0)</f>
        <v>Арбынский наслег</v>
      </c>
      <c r="AB40" t="str">
        <f>VLOOKUP(Y40,ОКТМО!B:J,6,0)</f>
        <v>Намский муниципальный район</v>
      </c>
      <c r="AK40" s="1">
        <v>38</v>
      </c>
      <c r="AL40" s="1" t="s">
        <v>11</v>
      </c>
      <c r="AM40" s="1" t="s">
        <v>123</v>
      </c>
      <c r="AN40" s="65" t="s">
        <v>1820</v>
      </c>
      <c r="AO40" s="73">
        <v>98629155051</v>
      </c>
      <c r="AP40" t="str">
        <f>VLOOKUP(AO40,ОКТМО!B:J,6,0)</f>
        <v>Мегино-Кангаласский муниципальный район</v>
      </c>
      <c r="AQ40" t="str">
        <f>VLOOKUP(AO40,ОКТМО!B:J,9,0)</f>
        <v>поселок Нижний Бестях</v>
      </c>
    </row>
    <row r="41" spans="5:43">
      <c r="E41">
        <v>37</v>
      </c>
      <c r="F41" t="s">
        <v>317</v>
      </c>
      <c r="G41" t="s">
        <v>2825</v>
      </c>
      <c r="H41" s="70">
        <v>98654151051</v>
      </c>
      <c r="I41" t="str">
        <f>VLOOKUP(H41,ОКТМО!B:M,12,0)</f>
        <v>Усть-Мая</v>
      </c>
      <c r="J41" t="str">
        <f>VLOOKUP(H41,ОКТМО!B:M,6,0)</f>
        <v>Усть-Майский муниципальный район</v>
      </c>
      <c r="L41">
        <v>37</v>
      </c>
      <c r="M41" t="s">
        <v>317</v>
      </c>
      <c r="N41" s="71" t="s">
        <v>3163</v>
      </c>
      <c r="O41" s="72">
        <f>VLOOKUP(P41,ОКТМО!M:N,2,0)</f>
        <v>98652475101</v>
      </c>
      <c r="P41" s="71" t="s">
        <v>2811</v>
      </c>
      <c r="Q41" t="str">
        <f>VLOOKUP(O41,ОКТМО!B:N,12,0)</f>
        <v>Кылайы</v>
      </c>
      <c r="R41" t="str">
        <f>VLOOKUP(O41,ОКТМО!B:N,9,0)</f>
        <v>Тюляхский наслег</v>
      </c>
      <c r="U41">
        <v>39</v>
      </c>
      <c r="V41" t="s">
        <v>11</v>
      </c>
      <c r="W41" t="s">
        <v>2033</v>
      </c>
      <c r="X41" t="s">
        <v>2033</v>
      </c>
      <c r="Y41" s="70">
        <f>VLOOKUP(X41,ОКТМО!M:N,2,0)</f>
        <v>98635415101</v>
      </c>
      <c r="Z41" t="str">
        <f>VLOOKUP(X41,ОКТМО!M:N,1,0)</f>
        <v>Ымыяхтах</v>
      </c>
      <c r="AA41" t="str">
        <f>VLOOKUP(Y41,ОКТМО!B:J,9,0)</f>
        <v>Едейский наслег</v>
      </c>
      <c r="AB41" t="str">
        <f>VLOOKUP(Y41,ОКТМО!B:J,6,0)</f>
        <v>Намский муниципальный район</v>
      </c>
      <c r="AK41" s="1">
        <v>39</v>
      </c>
      <c r="AL41" s="1" t="s">
        <v>11</v>
      </c>
      <c r="AM41" s="1" t="s">
        <v>126</v>
      </c>
      <c r="AN41" s="65" t="s">
        <v>811</v>
      </c>
      <c r="AO41" s="73">
        <v>98701000151</v>
      </c>
      <c r="AP41" t="str">
        <f>VLOOKUP(AO41,ОКТМО!B:J,6,0)</f>
        <v>Городской округ Город Якутск</v>
      </c>
      <c r="AQ41" t="str">
        <f>VLOOKUP(AO41,ОКТМО!B:J,9,0)</f>
        <v>город Якутск</v>
      </c>
    </row>
    <row r="42" spans="5:43">
      <c r="E42">
        <v>38</v>
      </c>
      <c r="F42" t="s">
        <v>317</v>
      </c>
      <c r="G42" t="s">
        <v>317</v>
      </c>
      <c r="H42" s="70">
        <v>98603101001</v>
      </c>
      <c r="I42" t="str">
        <f>VLOOKUP(H42,ОКТМО!B:M,12,0)</f>
        <v>Алдан</v>
      </c>
      <c r="J42" t="str">
        <f>VLOOKUP(H42,ОКТМО!B:M,6,0)</f>
        <v>Алданский муниципальный район</v>
      </c>
      <c r="L42">
        <v>38</v>
      </c>
      <c r="M42" t="s">
        <v>632</v>
      </c>
      <c r="N42" s="71" t="s">
        <v>642</v>
      </c>
      <c r="O42" s="72">
        <f>VLOOKUP(P42,ОКТМО!M:N,2,0)</f>
        <v>98601151051</v>
      </c>
      <c r="P42" s="71" t="s">
        <v>642</v>
      </c>
      <c r="Q42" t="str">
        <f>VLOOKUP(O42,ОКТМО!B:N,12,0)</f>
        <v>Белая Гора</v>
      </c>
      <c r="R42" t="str">
        <f>VLOOKUP(O42,ОКТМО!B:N,9,0)</f>
        <v>поселок Белая Гора</v>
      </c>
      <c r="U42">
        <v>40</v>
      </c>
      <c r="V42" t="s">
        <v>11</v>
      </c>
      <c r="W42" t="s">
        <v>2082</v>
      </c>
      <c r="X42" t="s">
        <v>2082</v>
      </c>
      <c r="Y42" s="70">
        <f>VLOOKUP(X42,ОКТМО!M:N,2,0)</f>
        <v>98635455106</v>
      </c>
      <c r="Z42" t="str">
        <f>VLOOKUP(X42,ОКТМО!M:N,1,0)</f>
        <v>Графский Берег</v>
      </c>
      <c r="AA42" t="str">
        <f>VLOOKUP(Y42,ОКТМО!B:J,9,0)</f>
        <v>Хатын-Арынский наслег</v>
      </c>
      <c r="AB42" t="str">
        <f>VLOOKUP(Y42,ОКТМО!B:J,6,0)</f>
        <v>Намский муниципальный район</v>
      </c>
      <c r="AK42" s="1">
        <v>40</v>
      </c>
      <c r="AL42" s="1" t="s">
        <v>11</v>
      </c>
      <c r="AM42" s="1" t="s">
        <v>129</v>
      </c>
      <c r="AN42" s="1" t="s">
        <v>129</v>
      </c>
      <c r="AO42" s="73">
        <v>98701000001</v>
      </c>
      <c r="AP42" t="str">
        <f>VLOOKUP(AO42,ОКТМО!B:J,6,0)</f>
        <v>Городской округ Город Якутск</v>
      </c>
      <c r="AQ42" t="str">
        <f>VLOOKUP(AO42,ОКТМО!B:J,9,0)</f>
        <v>город Якутск</v>
      </c>
    </row>
    <row r="43" spans="5:43">
      <c r="E43">
        <v>39</v>
      </c>
      <c r="F43" t="s">
        <v>458</v>
      </c>
      <c r="G43" t="s">
        <v>458</v>
      </c>
      <c r="H43" s="70">
        <v>98608432101</v>
      </c>
      <c r="I43" t="str">
        <f>VLOOKUP(H43,ОКТМО!B:M,12,0)</f>
        <v>Амга</v>
      </c>
      <c r="J43" t="str">
        <f>VLOOKUP(H43,ОКТМО!B:M,6,0)</f>
        <v>Амгинский муниципальный район</v>
      </c>
      <c r="U43">
        <v>41</v>
      </c>
      <c r="V43" t="s">
        <v>11</v>
      </c>
      <c r="W43" t="s">
        <v>2095</v>
      </c>
      <c r="X43" t="s">
        <v>2095</v>
      </c>
      <c r="Y43" s="70">
        <f>VLOOKUP(X43,ОКТМО!M:N,2,0)</f>
        <v>98635466101</v>
      </c>
      <c r="Z43" t="str">
        <f>VLOOKUP(X43,ОКТМО!M:N,1,0)</f>
        <v>Хатас</v>
      </c>
      <c r="AA43" t="str">
        <f>VLOOKUP(Y43,ОКТМО!B:J,9,0)</f>
        <v>Хомустахский 2-й наслег</v>
      </c>
      <c r="AB43" t="str">
        <f>VLOOKUP(Y43,ОКТМО!B:J,6,0)</f>
        <v>Намский муниципальный район</v>
      </c>
      <c r="AK43" s="1">
        <v>41</v>
      </c>
      <c r="AL43" s="1" t="s">
        <v>11</v>
      </c>
      <c r="AM43" s="1" t="s">
        <v>132</v>
      </c>
      <c r="AN43" s="65" t="s">
        <v>2466</v>
      </c>
      <c r="AO43" s="73">
        <v>98644447101</v>
      </c>
      <c r="AP43" t="str">
        <f>VLOOKUP(AO43,ОКТМО!B:J,6,0)</f>
        <v>Хангаласский муниципальный район</v>
      </c>
      <c r="AQ43" t="str">
        <f>VLOOKUP(AO43,ОКТМО!B:J,9,0)</f>
        <v>Техтюрский наслег</v>
      </c>
    </row>
    <row r="44" spans="5:43">
      <c r="E44">
        <v>40</v>
      </c>
      <c r="F44" t="s">
        <v>588</v>
      </c>
      <c r="G44" t="s">
        <v>592</v>
      </c>
      <c r="H44" s="70">
        <v>98616151051</v>
      </c>
      <c r="I44" t="str">
        <f>VLOOKUP(H44,ОКТМО!B:M,12,0)</f>
        <v>Батагай</v>
      </c>
      <c r="J44" t="str">
        <f>VLOOKUP(H44,ОКТМО!B:M,6,0)</f>
        <v>Верхоянский муниципальный район</v>
      </c>
      <c r="U44">
        <v>42</v>
      </c>
      <c r="V44" t="s">
        <v>11</v>
      </c>
      <c r="W44" t="s">
        <v>2055</v>
      </c>
      <c r="X44" t="s">
        <v>2055</v>
      </c>
      <c r="Y44" s="70">
        <f>VLOOKUP(X44,ОКТМО!M:N,2,0)</f>
        <v>98635435101</v>
      </c>
      <c r="Z44" t="str">
        <f>VLOOKUP(X44,ОКТМО!M:N,1,0)</f>
        <v>Партизан</v>
      </c>
      <c r="AA44" t="str">
        <f>VLOOKUP(Y44,ОКТМО!B:J,9,0)</f>
        <v>Партизанский наслег</v>
      </c>
      <c r="AB44" t="str">
        <f>VLOOKUP(Y44,ОКТМО!B:J,6,0)</f>
        <v>Намский муниципальный район</v>
      </c>
      <c r="AK44" s="1">
        <v>42</v>
      </c>
      <c r="AL44" s="1" t="s">
        <v>11</v>
      </c>
      <c r="AM44" s="1" t="s">
        <v>135</v>
      </c>
      <c r="AN44" s="65" t="s">
        <v>818</v>
      </c>
      <c r="AO44" s="73">
        <v>98702000051</v>
      </c>
      <c r="AP44" t="str">
        <f>VLOOKUP(AO44,ОКТМО!B:J,6,0)</f>
        <v>Городской округ поселок Жатай</v>
      </c>
      <c r="AQ44" t="str">
        <f>VLOOKUP(AO44,ОКТМО!B:J,9,0)</f>
        <v>Жатай</v>
      </c>
    </row>
    <row r="45" spans="5:43">
      <c r="E45">
        <v>41</v>
      </c>
      <c r="F45" t="s">
        <v>588</v>
      </c>
      <c r="G45" t="s">
        <v>589</v>
      </c>
      <c r="H45" s="70">
        <v>98616103001</v>
      </c>
      <c r="I45" t="str">
        <f>VLOOKUP(H45,ОКТМО!B:M,12,0)</f>
        <v>Верхоянск</v>
      </c>
      <c r="J45" t="str">
        <f>VLOOKUP(H45,ОКТМО!B:M,6,0)</f>
        <v>Верхоянский муниципальный район</v>
      </c>
      <c r="U45">
        <v>43</v>
      </c>
      <c r="V45" t="s">
        <v>11</v>
      </c>
      <c r="W45" t="s">
        <v>2051</v>
      </c>
      <c r="X45" t="s">
        <v>2051</v>
      </c>
      <c r="Y45" s="70">
        <f>VLOOKUP(X45,ОКТМО!M:N,2,0)</f>
        <v>98635432101</v>
      </c>
      <c r="Z45" t="str">
        <f>VLOOKUP(X45,ОКТМО!M:N,1,0)</f>
        <v>Никольский</v>
      </c>
      <c r="AA45" t="str">
        <f>VLOOKUP(Y45,ОКТМО!B:J,9,0)</f>
        <v>Никольский наслег</v>
      </c>
      <c r="AB45" t="str">
        <f>VLOOKUP(Y45,ОКТМО!B:J,6,0)</f>
        <v>Намский муниципальный район</v>
      </c>
      <c r="AK45" s="1">
        <v>43</v>
      </c>
      <c r="AL45" s="1" t="s">
        <v>11</v>
      </c>
      <c r="AM45" s="1" t="s">
        <v>138</v>
      </c>
      <c r="AN45" s="65" t="s">
        <v>775</v>
      </c>
      <c r="AO45" s="73">
        <v>98701000121</v>
      </c>
      <c r="AP45" t="str">
        <f>VLOOKUP(AO45,ОКТМО!B:J,6,0)</f>
        <v>Городской округ Город Якутск</v>
      </c>
      <c r="AQ45" t="str">
        <f>VLOOKUP(AO45,ОКТМО!B:J,9,0)</f>
        <v>город Якутск</v>
      </c>
    </row>
    <row r="46" spans="5:43">
      <c r="E46">
        <v>42</v>
      </c>
      <c r="F46" t="s">
        <v>588</v>
      </c>
      <c r="G46" t="s">
        <v>2884</v>
      </c>
      <c r="H46" s="70">
        <v>98656405101</v>
      </c>
      <c r="I46" t="str">
        <f>VLOOKUP(H46,ОКТМО!B:M,12,0)</f>
        <v>Казачье</v>
      </c>
      <c r="J46" t="str">
        <f>VLOOKUP(H46,ОКТМО!B:M,6,0)</f>
        <v>Усть-Янский муниципальный район</v>
      </c>
      <c r="U46">
        <v>44</v>
      </c>
      <c r="V46" t="s">
        <v>11</v>
      </c>
      <c r="W46" t="s">
        <v>3164</v>
      </c>
      <c r="X46" s="71" t="s">
        <v>2075</v>
      </c>
      <c r="Y46" s="70">
        <f>VLOOKUP(X46,ОКТМО!M:N,2,0)</f>
        <v>98635450101</v>
      </c>
      <c r="Z46" t="str">
        <f>VLOOKUP(X46,ОКТМО!M:N,1,0)</f>
        <v>Крест-Кытыл</v>
      </c>
      <c r="AA46" t="str">
        <f>VLOOKUP(Y46,ОКТМО!B:J,9,0)</f>
        <v>Хамагаттинский наслег</v>
      </c>
      <c r="AB46" t="str">
        <f>VLOOKUP(Y46,ОКТМО!B:J,6,0)</f>
        <v>Намский муниципальный район</v>
      </c>
      <c r="AK46" s="1">
        <v>44</v>
      </c>
      <c r="AL46" s="1" t="s">
        <v>11</v>
      </c>
      <c r="AM46" s="1" t="s">
        <v>141</v>
      </c>
      <c r="AN46" s="1" t="s">
        <v>141</v>
      </c>
      <c r="AO46" s="73">
        <v>98701000001</v>
      </c>
      <c r="AP46" t="str">
        <f>VLOOKUP(AO46,ОКТМО!B:J,6,0)</f>
        <v>Городской округ Город Якутск</v>
      </c>
      <c r="AQ46" t="str">
        <f>VLOOKUP(AO46,ОКТМО!B:J,9,0)</f>
        <v>город Якутск</v>
      </c>
    </row>
    <row r="47" spans="5:43">
      <c r="E47">
        <v>43</v>
      </c>
      <c r="F47" t="s">
        <v>588</v>
      </c>
      <c r="G47" s="71" t="s">
        <v>607</v>
      </c>
      <c r="H47" s="70">
        <v>98656159051</v>
      </c>
      <c r="I47" t="str">
        <f>VLOOKUP(H47,ОКТМО!B:M,12,0)</f>
        <v>Нижнеянск</v>
      </c>
      <c r="J47" t="str">
        <f>VLOOKUP(H47,ОКТМО!B:M,6,0)</f>
        <v>Усть-Янский муниципальный район</v>
      </c>
      <c r="U47">
        <v>45</v>
      </c>
      <c r="V47" t="s">
        <v>11</v>
      </c>
      <c r="W47" t="s">
        <v>2044</v>
      </c>
      <c r="X47" t="s">
        <v>2044</v>
      </c>
      <c r="Y47" s="70">
        <f>VLOOKUP(X47,ОКТМО!M:N,2,0)</f>
        <v>98635425101</v>
      </c>
      <c r="Z47" t="str">
        <f>VLOOKUP(X47,ОКТМО!M:N,1,0)</f>
        <v>Намцы</v>
      </c>
      <c r="AA47" t="str">
        <f>VLOOKUP(Y47,ОКТМО!B:J,9,0)</f>
        <v>Ленский наслег</v>
      </c>
      <c r="AB47" t="str">
        <f>VLOOKUP(Y47,ОКТМО!B:J,6,0)</f>
        <v>Намский муниципальный район</v>
      </c>
      <c r="AK47" s="1">
        <v>45</v>
      </c>
      <c r="AL47" s="1" t="s">
        <v>11</v>
      </c>
      <c r="AM47" s="1" t="s">
        <v>144</v>
      </c>
      <c r="AN47" s="65" t="s">
        <v>1860</v>
      </c>
      <c r="AO47" s="73">
        <v>98629413101</v>
      </c>
      <c r="AP47" t="str">
        <f>VLOOKUP(AO47,ОКТМО!B:J,6,0)</f>
        <v>Мегино-Кангаласский муниципальный район</v>
      </c>
      <c r="AQ47" t="str">
        <f>VLOOKUP(AO47,ОКТМО!B:J,9,0)</f>
        <v>Дойдунский наслег</v>
      </c>
    </row>
    <row r="48" spans="5:43">
      <c r="E48">
        <v>44</v>
      </c>
      <c r="F48" t="s">
        <v>632</v>
      </c>
      <c r="G48" t="s">
        <v>2153</v>
      </c>
      <c r="H48" s="70">
        <v>98639151051</v>
      </c>
      <c r="I48" t="str">
        <f>VLOOKUP(H48,ОКТМО!B:M,12,0)</f>
        <v>Усть-Нера</v>
      </c>
      <c r="J48" t="str">
        <f>VLOOKUP(H48,ОКТМО!B:M,6,0)</f>
        <v>Оймяконский муниципальный район</v>
      </c>
      <c r="U48">
        <v>46</v>
      </c>
      <c r="V48" t="s">
        <v>11</v>
      </c>
      <c r="W48" t="s">
        <v>3165</v>
      </c>
      <c r="X48" s="71" t="s">
        <v>2079</v>
      </c>
      <c r="Y48" s="70">
        <f>VLOOKUP(X48,ОКТМО!M:N,2,0)</f>
        <v>98635455101</v>
      </c>
      <c r="Z48" t="str">
        <f>VLOOKUP(X48,ОКТМО!M:N,1,0)</f>
        <v>Аппаны</v>
      </c>
      <c r="AA48" t="str">
        <f>VLOOKUP(Y48,ОКТМО!B:J,9,0)</f>
        <v>Хатын-Арынский наслег</v>
      </c>
      <c r="AB48" t="str">
        <f>VLOOKUP(Y48,ОКТМО!B:J,6,0)</f>
        <v>Намский муниципальный район</v>
      </c>
      <c r="AK48" s="1">
        <v>46</v>
      </c>
      <c r="AL48" s="1" t="s">
        <v>11</v>
      </c>
      <c r="AM48" s="1" t="s">
        <v>147</v>
      </c>
      <c r="AN48" s="65" t="s">
        <v>2794</v>
      </c>
      <c r="AO48" s="73">
        <v>98652470101</v>
      </c>
      <c r="AP48" t="str">
        <f>VLOOKUP(AO48,ОКТМО!B:J,6,0)</f>
        <v>Усть-Алданский муниципальный район</v>
      </c>
      <c r="AQ48" t="str">
        <f>VLOOKUP(AO48,ОКТМО!B:J,9,0)</f>
        <v>Суоттунский наслег</v>
      </c>
    </row>
    <row r="49" spans="5:43">
      <c r="E49">
        <v>45</v>
      </c>
      <c r="F49" t="s">
        <v>632</v>
      </c>
      <c r="G49" t="s">
        <v>2165</v>
      </c>
      <c r="H49" s="70">
        <v>98639405101</v>
      </c>
      <c r="I49" t="str">
        <f>VLOOKUP(H49,ОКТМО!B:M,12,0)</f>
        <v>Оймякон</v>
      </c>
      <c r="J49" t="str">
        <f>VLOOKUP(H49,ОКТМО!B:M,6,0)</f>
        <v>Оймяконский муниципальный район</v>
      </c>
      <c r="U49">
        <v>47</v>
      </c>
      <c r="V49" t="s">
        <v>11</v>
      </c>
      <c r="W49" t="s">
        <v>3166</v>
      </c>
      <c r="X49" s="71" t="s">
        <v>2085</v>
      </c>
      <c r="Y49" s="70">
        <f>VLOOKUP(X49,ОКТМО!M:N,2,0)</f>
        <v>98635455111</v>
      </c>
      <c r="Z49" t="str">
        <f>VLOOKUP(X49,ОКТМО!M:N,1,0)</f>
        <v>Кысыл-Деревня</v>
      </c>
      <c r="AA49" t="str">
        <f>VLOOKUP(Y49,ОКТМО!B:J,9,0)</f>
        <v>Хатын-Арынский наслег</v>
      </c>
      <c r="AB49" t="str">
        <f>VLOOKUP(Y49,ОКТМО!B:J,6,0)</f>
        <v>Намский муниципальный район</v>
      </c>
      <c r="AK49" s="1">
        <v>47</v>
      </c>
      <c r="AL49" s="1" t="s">
        <v>11</v>
      </c>
      <c r="AM49" s="1" t="s">
        <v>150</v>
      </c>
      <c r="AN49" s="65" t="s">
        <v>2800</v>
      </c>
      <c r="AO49" s="73">
        <v>98652470111</v>
      </c>
      <c r="AP49" t="str">
        <f>VLOOKUP(AO49,ОКТМО!B:J,6,0)</f>
        <v>Усть-Алданский муниципальный район</v>
      </c>
      <c r="AQ49" t="str">
        <f>VLOOKUP(AO49,ОКТМО!B:J,9,0)</f>
        <v>Суоттунский наслег</v>
      </c>
    </row>
    <row r="50" spans="5:43">
      <c r="E50">
        <v>46</v>
      </c>
      <c r="F50" t="s">
        <v>632</v>
      </c>
      <c r="G50" t="s">
        <v>2008</v>
      </c>
      <c r="H50" s="70">
        <v>98633423101</v>
      </c>
      <c r="I50" t="str">
        <f>VLOOKUP(H50,ОКТМО!B:M,12,0)</f>
        <v>Хонуу</v>
      </c>
      <c r="J50" t="str">
        <f>VLOOKUP(H50,ОКТМО!B:M,6,0)</f>
        <v>Момский муниципальный район</v>
      </c>
      <c r="U50">
        <v>48</v>
      </c>
      <c r="V50" t="s">
        <v>11</v>
      </c>
      <c r="W50" t="s">
        <v>3167</v>
      </c>
      <c r="X50" s="71" t="s">
        <v>2030</v>
      </c>
      <c r="Y50" s="70">
        <f>VLOOKUP(X50,ОКТМО!M:N,2,0)</f>
        <v>98635410101</v>
      </c>
      <c r="Z50" t="str">
        <f>VLOOKUP(X50,ОКТМО!M:N,1,0)</f>
        <v>Бютяй-Юрдя</v>
      </c>
      <c r="AA50" t="str">
        <f>VLOOKUP(Y50,ОКТМО!B:J,9,0)</f>
        <v>Бетюнский наслег</v>
      </c>
      <c r="AB50" t="str">
        <f>VLOOKUP(Y50,ОКТМО!B:J,6,0)</f>
        <v>Намский муниципальный район</v>
      </c>
      <c r="AK50" s="1">
        <v>48</v>
      </c>
      <c r="AL50" s="1" t="s">
        <v>11</v>
      </c>
      <c r="AM50" s="1" t="s">
        <v>153</v>
      </c>
      <c r="AN50" s="65" t="s">
        <v>2720</v>
      </c>
      <c r="AO50" s="73">
        <v>98652415106</v>
      </c>
      <c r="AP50" t="str">
        <f>VLOOKUP(AO50,ОКТМО!B:J,6,0)</f>
        <v>Усть-Алданский муниципальный район</v>
      </c>
      <c r="AQ50" t="str">
        <f>VLOOKUP(AO50,ОКТМО!B:J,9,0)</f>
        <v>Борогонский наслег</v>
      </c>
    </row>
    <row r="51" spans="5:43">
      <c r="E51">
        <v>47</v>
      </c>
      <c r="F51" t="s">
        <v>632</v>
      </c>
      <c r="G51" t="s">
        <v>642</v>
      </c>
      <c r="H51" s="70">
        <v>98601151051</v>
      </c>
      <c r="I51" t="str">
        <f>VLOOKUP(H51,ОКТМО!B:M,12,0)</f>
        <v>Белая Гора</v>
      </c>
      <c r="J51" t="str">
        <f>VLOOKUP(H51,ОКТМО!B:M,6,0)</f>
        <v>Абыйский муниципальный район</v>
      </c>
      <c r="U51">
        <v>49</v>
      </c>
      <c r="V51" t="s">
        <v>11</v>
      </c>
      <c r="W51" t="s">
        <v>3168</v>
      </c>
      <c r="X51" s="74" t="s">
        <v>873</v>
      </c>
      <c r="Y51" s="75">
        <v>98635430101</v>
      </c>
      <c r="Z51" t="str">
        <f>VLOOKUP(X51,ОКТМО!M:N,1,0)</f>
        <v>Тумул</v>
      </c>
      <c r="AA51" t="str">
        <f>VLOOKUP(Y51,ОКТМО!B:J,9,0)</f>
        <v>Модутский наслег</v>
      </c>
      <c r="AB51" t="str">
        <f>VLOOKUP(Y51,ОКТМО!B:J,6,0)</f>
        <v>Намский муниципальный район</v>
      </c>
      <c r="AC51" t="s">
        <v>3169</v>
      </c>
      <c r="AK51" s="1">
        <v>49</v>
      </c>
      <c r="AL51" s="1" t="s">
        <v>11</v>
      </c>
      <c r="AM51" s="1" t="s">
        <v>156</v>
      </c>
      <c r="AN51" s="65" t="s">
        <v>2033</v>
      </c>
      <c r="AO51" s="73">
        <v>98635415101</v>
      </c>
      <c r="AP51" t="str">
        <f>VLOOKUP(AO51,ОКТМО!B:J,6,0)</f>
        <v>Намский муниципальный район</v>
      </c>
      <c r="AQ51" t="str">
        <f>VLOOKUP(AO51,ОКТМО!B:J,9,0)</f>
        <v>Едейский наслег</v>
      </c>
    </row>
    <row r="52" spans="5:43">
      <c r="E52">
        <v>48</v>
      </c>
      <c r="F52" t="s">
        <v>632</v>
      </c>
      <c r="G52" t="s">
        <v>645</v>
      </c>
      <c r="H52" s="70">
        <v>98606151051</v>
      </c>
      <c r="I52" t="str">
        <f>VLOOKUP(H52,ОКТМО!B:M,12,0)</f>
        <v>Чокурдах</v>
      </c>
      <c r="J52" t="str">
        <f>VLOOKUP(H52,ОКТМО!B:M,6,0)</f>
        <v>Аллаиховский муниципальный район</v>
      </c>
      <c r="U52">
        <v>50</v>
      </c>
      <c r="V52" t="s">
        <v>11</v>
      </c>
      <c r="W52" t="s">
        <v>3170</v>
      </c>
      <c r="X52" s="74" t="s">
        <v>1375</v>
      </c>
      <c r="Y52" s="75">
        <v>98635460101</v>
      </c>
      <c r="Z52" t="str">
        <f>VLOOKUP(X52,ОКТМО!M:N,1,0)</f>
        <v>Столбы</v>
      </c>
      <c r="AA52" t="str">
        <f>VLOOKUP(Y52,ОКТМО!B:J,9,0)</f>
        <v>Хатырыкский наслег</v>
      </c>
      <c r="AB52" t="str">
        <f>VLOOKUP(Y52,ОКТМО!B:J,6,0)</f>
        <v>Намский муниципальный район</v>
      </c>
      <c r="AC52" t="s">
        <v>3171</v>
      </c>
      <c r="AK52" s="1">
        <v>50</v>
      </c>
      <c r="AL52" s="1" t="s">
        <v>11</v>
      </c>
      <c r="AM52" s="1" t="s">
        <v>159</v>
      </c>
      <c r="AN52" s="1" t="s">
        <v>1427</v>
      </c>
      <c r="AO52" s="73">
        <v>98635465101</v>
      </c>
      <c r="AP52" t="str">
        <f>VLOOKUP(AO52,ОКТМО!B:J,6,0)</f>
        <v>Намский муниципальный район</v>
      </c>
      <c r="AQ52" t="str">
        <f>VLOOKUP(AO52,ОКТМО!B:J,9,0)</f>
        <v>Хомустахский 1-й наслег</v>
      </c>
    </row>
    <row r="53" spans="5:43">
      <c r="E53">
        <v>49</v>
      </c>
      <c r="F53" t="s">
        <v>666</v>
      </c>
      <c r="G53" t="s">
        <v>679</v>
      </c>
      <c r="H53" s="70">
        <v>98615151051</v>
      </c>
      <c r="I53" t="str">
        <f>VLOOKUP(H53,ОКТМО!B:M,12,0)</f>
        <v>Зырянка</v>
      </c>
      <c r="J53" t="str">
        <f>VLOOKUP(H53,ОКТМО!B:M,6,0)</f>
        <v>Верхнеколымский муниципальный район</v>
      </c>
      <c r="U53">
        <v>51</v>
      </c>
      <c r="V53" t="s">
        <v>11</v>
      </c>
      <c r="W53" t="s">
        <v>2108</v>
      </c>
      <c r="X53" t="s">
        <v>2108</v>
      </c>
      <c r="Y53" s="70">
        <f>VLOOKUP(X53,ОКТМО!M:N,2,0)</f>
        <v>98635470101</v>
      </c>
      <c r="Z53" t="str">
        <f>VLOOKUP(X53,ОКТМО!M:N,1,0)</f>
        <v>Маймага</v>
      </c>
      <c r="AA53" t="str">
        <f>VLOOKUP(Y53,ОКТМО!B:J,9,0)</f>
        <v>Маймагинский наслег</v>
      </c>
      <c r="AB53" t="str">
        <f>VLOOKUP(Y53,ОКТМО!B:J,6,0)</f>
        <v>Намский муниципальный район</v>
      </c>
      <c r="AK53" s="1">
        <v>51</v>
      </c>
      <c r="AL53" s="1" t="s">
        <v>11</v>
      </c>
      <c r="AM53" s="1" t="s">
        <v>162</v>
      </c>
      <c r="AN53" s="65" t="s">
        <v>2055</v>
      </c>
      <c r="AO53" s="73">
        <v>98635435101</v>
      </c>
      <c r="AP53" t="str">
        <f>VLOOKUP(AO53,ОКТМО!B:J,6,0)</f>
        <v>Намский муниципальный район</v>
      </c>
      <c r="AQ53" t="str">
        <f>VLOOKUP(AO53,ОКТМО!B:J,9,0)</f>
        <v>Партизанский наслег</v>
      </c>
    </row>
    <row r="54" spans="5:43">
      <c r="E54">
        <v>50</v>
      </c>
      <c r="F54" t="s">
        <v>666</v>
      </c>
      <c r="G54" t="s">
        <v>682</v>
      </c>
      <c r="H54" s="70">
        <v>98646101001</v>
      </c>
      <c r="I54" t="str">
        <f>VLOOKUP(H54,ОКТМО!B:M,12,0)</f>
        <v>Среднеколымск</v>
      </c>
      <c r="J54" t="str">
        <f>VLOOKUP(H54,ОКТМО!B:M,6,0)</f>
        <v>Среднеколымский муниципальный район</v>
      </c>
      <c r="U54">
        <v>52</v>
      </c>
      <c r="V54" t="s">
        <v>11</v>
      </c>
      <c r="W54" t="s">
        <v>3172</v>
      </c>
      <c r="X54" s="71" t="s">
        <v>1240</v>
      </c>
      <c r="Y54" s="70">
        <f>VLOOKUP(X54,ОКТМО!M:N,2,0)</f>
        <v>98614429101</v>
      </c>
      <c r="Z54" t="str">
        <f>VLOOKUP(X54,ОКТМО!M:N,1,0)</f>
        <v>Харыялах</v>
      </c>
      <c r="AA54" t="str">
        <f>VLOOKUP(Y54,ОКТМО!B:J,9,0)</f>
        <v>Кэнтикский наслег</v>
      </c>
      <c r="AB54" t="str">
        <f>VLOOKUP(Y54,ОКТМО!B:J,6,0)</f>
        <v>Верхневилюйский муниципальный район</v>
      </c>
      <c r="AK54" s="1">
        <v>52</v>
      </c>
      <c r="AL54" s="1" t="s">
        <v>11</v>
      </c>
      <c r="AM54" s="1" t="s">
        <v>165</v>
      </c>
      <c r="AN54" s="65" t="s">
        <v>2051</v>
      </c>
      <c r="AO54" s="73">
        <v>98635432101</v>
      </c>
      <c r="AP54" t="str">
        <f>VLOOKUP(AO54,ОКТМО!B:J,6,0)</f>
        <v>Намский муниципальный район</v>
      </c>
      <c r="AQ54" t="str">
        <f>VLOOKUP(AO54,ОКТМО!B:J,9,0)</f>
        <v>Никольский наслег</v>
      </c>
    </row>
    <row r="55" spans="5:43">
      <c r="E55">
        <v>51</v>
      </c>
      <c r="F55" t="s">
        <v>666</v>
      </c>
      <c r="G55" t="s">
        <v>691</v>
      </c>
      <c r="H55" s="70">
        <v>98637151051</v>
      </c>
      <c r="I55" t="str">
        <f>VLOOKUP(H55,ОКТМО!B:M,12,0)</f>
        <v>Черский</v>
      </c>
      <c r="J55" t="str">
        <f>VLOOKUP(H55,ОКТМО!B:M,6,0)</f>
        <v>Нижнеколымский муниципальный район</v>
      </c>
      <c r="U55">
        <v>53</v>
      </c>
      <c r="V55" t="s">
        <v>11</v>
      </c>
      <c r="W55" t="s">
        <v>2071</v>
      </c>
      <c r="X55" t="s">
        <v>2071</v>
      </c>
      <c r="Y55" s="70">
        <f>VLOOKUP(X55,ОКТМО!M:N,2,0)</f>
        <v>98635447101</v>
      </c>
      <c r="Z55" t="str">
        <f>VLOOKUP(X55,ОКТМО!M:N,1,0)</f>
        <v>Фрунзе</v>
      </c>
      <c r="AA55" t="str">
        <f>VLOOKUP(Y55,ОКТМО!B:J,9,0)</f>
        <v>Фрунзенский наслег</v>
      </c>
      <c r="AB55" t="str">
        <f>VLOOKUP(Y55,ОКТМО!B:J,6,0)</f>
        <v>Намский муниципальный район</v>
      </c>
      <c r="AK55" s="1">
        <v>53</v>
      </c>
      <c r="AL55" s="1" t="s">
        <v>11</v>
      </c>
      <c r="AM55" s="1" t="s">
        <v>168</v>
      </c>
      <c r="AN55" s="65" t="s">
        <v>2075</v>
      </c>
      <c r="AO55" s="73">
        <v>98635450101</v>
      </c>
      <c r="AP55" t="str">
        <f>VLOOKUP(AO55,ОКТМО!B:J,6,0)</f>
        <v>Намский муниципальный район</v>
      </c>
      <c r="AQ55" t="str">
        <f>VLOOKUP(AO55,ОКТМО!B:J,9,0)</f>
        <v>Хамагаттинский наслег</v>
      </c>
    </row>
    <row r="56" spans="5:43">
      <c r="U56">
        <v>54</v>
      </c>
      <c r="V56" t="s">
        <v>11</v>
      </c>
      <c r="W56" t="s">
        <v>3173</v>
      </c>
      <c r="X56" s="71" t="s">
        <v>2794</v>
      </c>
      <c r="Y56" s="70">
        <f>VLOOKUP(X56,ОКТМО!M:N,2,0)</f>
        <v>98652470101</v>
      </c>
      <c r="Z56" t="str">
        <f>VLOOKUP(X56,ОКТМО!M:N,1,0)</f>
        <v>Огородтах</v>
      </c>
      <c r="AA56" t="str">
        <f>VLOOKUP(Y56,ОКТМО!B:J,9,0)</f>
        <v>Суоттунский наслег</v>
      </c>
      <c r="AB56" t="str">
        <f>VLOOKUP(Y56,ОКТМО!B:J,6,0)</f>
        <v>Усть-Алданский муниципальный район</v>
      </c>
      <c r="AK56" s="1">
        <v>54</v>
      </c>
      <c r="AL56" s="1" t="s">
        <v>11</v>
      </c>
      <c r="AM56" s="1" t="s">
        <v>170</v>
      </c>
      <c r="AN56" s="65" t="s">
        <v>2095</v>
      </c>
      <c r="AO56" s="73">
        <v>98635466101</v>
      </c>
      <c r="AP56" t="str">
        <f>VLOOKUP(AO56,ОКТМО!B:J,6,0)</f>
        <v>Намский муниципальный район</v>
      </c>
      <c r="AQ56" t="str">
        <f>VLOOKUP(AO56,ОКТМО!B:J,9,0)</f>
        <v>Хомустахский 2-й наслег</v>
      </c>
    </row>
    <row r="57" spans="5:43">
      <c r="F57" t="s">
        <v>3174</v>
      </c>
      <c r="U57">
        <v>55</v>
      </c>
      <c r="V57" t="s">
        <v>11</v>
      </c>
      <c r="W57" t="s">
        <v>2720</v>
      </c>
      <c r="X57" t="s">
        <v>2720</v>
      </c>
      <c r="Y57" s="70">
        <f>VLOOKUP(X57,ОКТМО!M:N,2,0)</f>
        <v>98652415106</v>
      </c>
      <c r="Z57" t="str">
        <f>VLOOKUP(X57,ОКТМО!M:N,1,0)</f>
        <v>Ары-Тит</v>
      </c>
      <c r="AA57" t="str">
        <f>VLOOKUP(Y57,ОКТМО!B:J,9,0)</f>
        <v>Борогонский наслег</v>
      </c>
      <c r="AB57" t="str">
        <f>VLOOKUP(Y57,ОКТМО!B:J,6,0)</f>
        <v>Усть-Алданский муниципальный район</v>
      </c>
      <c r="AK57" s="1">
        <v>55</v>
      </c>
      <c r="AL57" s="1" t="s">
        <v>11</v>
      </c>
      <c r="AM57" s="1" t="s">
        <v>173</v>
      </c>
      <c r="AN57" s="65" t="s">
        <v>2044</v>
      </c>
      <c r="AO57" s="73">
        <v>98635425101</v>
      </c>
      <c r="AP57" t="str">
        <f>VLOOKUP(AO57,ОКТМО!B:J,6,0)</f>
        <v>Намский муниципальный район</v>
      </c>
      <c r="AQ57" t="str">
        <f>VLOOKUP(AO57,ОКТМО!B:J,9,0)</f>
        <v>Ленский наслег</v>
      </c>
    </row>
    <row r="58" spans="5:43">
      <c r="F58" t="s">
        <v>3175</v>
      </c>
      <c r="G58" t="s">
        <v>45</v>
      </c>
      <c r="H58" s="70">
        <v>98627430101</v>
      </c>
      <c r="I58" t="str">
        <f>VLOOKUP(H58,ОКТМО!B:M,12,0)</f>
        <v>Нюя</v>
      </c>
      <c r="J58" t="str">
        <f>VLOOKUP(H58,ОКТМО!B:M,6,0)</f>
        <v>Ленский муниципальный район</v>
      </c>
      <c r="U58">
        <v>56</v>
      </c>
      <c r="V58" t="s">
        <v>11</v>
      </c>
      <c r="W58" t="s">
        <v>1629</v>
      </c>
      <c r="X58" t="s">
        <v>1629</v>
      </c>
      <c r="Y58" s="70">
        <f>VLOOKUP(X58,ОКТМО!M:N,2,0)</f>
        <v>98624424106</v>
      </c>
      <c r="Z58" t="str">
        <f>VLOOKUP(X58,ОКТМО!M:N,1,0)</f>
        <v>Кальвица</v>
      </c>
      <c r="AA58" t="str">
        <f>VLOOKUP(Y58,ОКТМО!B:J,9,0)</f>
        <v>Куокуйский наслег</v>
      </c>
      <c r="AB58" t="str">
        <f>VLOOKUP(Y58,ОКТМО!B:J,6,0)</f>
        <v>Кобяйский муниципальный район</v>
      </c>
      <c r="AK58" s="1">
        <v>56</v>
      </c>
      <c r="AL58" s="1" t="s">
        <v>11</v>
      </c>
      <c r="AM58" s="1" t="s">
        <v>2044</v>
      </c>
      <c r="AN58" s="1" t="s">
        <v>2044</v>
      </c>
      <c r="AO58" s="73">
        <v>98635425101</v>
      </c>
      <c r="AP58" t="str">
        <f>VLOOKUP(AO58,ОКТМО!B:J,6,0)</f>
        <v>Намский муниципальный район</v>
      </c>
      <c r="AQ58" t="str">
        <f>VLOOKUP(AO58,ОКТМО!B:J,9,0)</f>
        <v>Ленский наслег</v>
      </c>
    </row>
    <row r="59" spans="5:43">
      <c r="F59" t="s">
        <v>3175</v>
      </c>
      <c r="G59" t="s">
        <v>51</v>
      </c>
      <c r="H59" s="70">
        <v>98641440101</v>
      </c>
      <c r="I59" t="str">
        <f>VLOOKUP(H59,ОКТМО!B:M,12,0)</f>
        <v>Мача</v>
      </c>
      <c r="J59" t="str">
        <f>VLOOKUP(H59,ОКТМО!B:M,6,0)</f>
        <v>Олекминский муниципальный район</v>
      </c>
      <c r="U59">
        <v>57</v>
      </c>
      <c r="V59" t="s">
        <v>11</v>
      </c>
      <c r="W59" t="s">
        <v>1590</v>
      </c>
      <c r="X59" t="s">
        <v>1590</v>
      </c>
      <c r="Y59" s="70">
        <f>VLOOKUP(X59,ОКТМО!M:N,2,0)</f>
        <v>98624151051</v>
      </c>
      <c r="Z59" t="str">
        <f>VLOOKUP(X59,ОКТМО!M:N,1,0)</f>
        <v>Сангар</v>
      </c>
      <c r="AA59" t="str">
        <f>VLOOKUP(Y59,ОКТМО!B:J,9,0)</f>
        <v>поселок Сангар</v>
      </c>
      <c r="AB59" t="str">
        <f>VLOOKUP(Y59,ОКТМО!B:J,6,0)</f>
        <v>Кобяйский муниципальный район</v>
      </c>
      <c r="AK59" s="1">
        <v>57</v>
      </c>
      <c r="AL59" s="1" t="s">
        <v>11</v>
      </c>
      <c r="AM59" s="1" t="s">
        <v>176</v>
      </c>
      <c r="AN59" s="65" t="s">
        <v>2079</v>
      </c>
      <c r="AO59" s="73">
        <v>98635455101</v>
      </c>
      <c r="AP59" t="str">
        <f>VLOOKUP(AO59,ОКТМО!B:J,6,0)</f>
        <v>Намский муниципальный район</v>
      </c>
      <c r="AQ59" t="str">
        <f>VLOOKUP(AO59,ОКТМО!B:J,9,0)</f>
        <v>Хатын-Арынский наслег</v>
      </c>
    </row>
    <row r="60" spans="5:43">
      <c r="F60" t="s">
        <v>3175</v>
      </c>
      <c r="G60" t="s">
        <v>279</v>
      </c>
      <c r="H60" s="70">
        <v>98641475101</v>
      </c>
      <c r="I60" t="str">
        <f>VLOOKUP(H60,ОКТМО!B:M,12,0)</f>
        <v>Тяня</v>
      </c>
      <c r="J60" t="str">
        <f>VLOOKUP(H60,ОКТМО!B:M,6,0)</f>
        <v>Олекминский муниципальный район</v>
      </c>
      <c r="U60">
        <v>58</v>
      </c>
      <c r="V60" t="s">
        <v>11</v>
      </c>
      <c r="W60" t="s">
        <v>3176</v>
      </c>
      <c r="X60" s="71" t="s">
        <v>1626</v>
      </c>
      <c r="Y60" s="70">
        <f>VLOOKUP(X60,ОКТМО!M:N,2,0)</f>
        <v>98624424101</v>
      </c>
      <c r="Z60" t="str">
        <f>VLOOKUP(X60,ОКТМО!M:N,1,0)</f>
        <v>Аргас</v>
      </c>
      <c r="AA60" t="str">
        <f>VLOOKUP(Y60,ОКТМО!B:J,9,0)</f>
        <v>Куокуйский наслег</v>
      </c>
      <c r="AB60" t="str">
        <f>VLOOKUP(Y60,ОКТМО!B:J,6,0)</f>
        <v>Кобяйский муниципальный район</v>
      </c>
      <c r="AK60" s="1">
        <v>58</v>
      </c>
      <c r="AL60" s="1" t="s">
        <v>11</v>
      </c>
      <c r="AM60" s="1" t="s">
        <v>179</v>
      </c>
      <c r="AN60" s="65" t="s">
        <v>2085</v>
      </c>
      <c r="AO60" s="73">
        <v>98635455111</v>
      </c>
      <c r="AP60" t="str">
        <f>VLOOKUP(AO60,ОКТМО!B:J,6,0)</f>
        <v>Намский муниципальный район</v>
      </c>
      <c r="AQ60" t="str">
        <f>VLOOKUP(AO60,ОКТМО!B:J,9,0)</f>
        <v>Хатын-Арынский наслег</v>
      </c>
    </row>
    <row r="61" spans="5:43">
      <c r="F61" t="s">
        <v>3175</v>
      </c>
      <c r="G61" s="71" t="s">
        <v>3177</v>
      </c>
      <c r="H61" s="70">
        <v>98620440101</v>
      </c>
      <c r="I61" t="str">
        <f>VLOOKUP(H61,ОКТМО!B:M,12,0)</f>
        <v>Дикимдя</v>
      </c>
      <c r="J61" t="str">
        <f>VLOOKUP(H61,ОКТМО!B:M,6,0)</f>
        <v>Горный муниципальный район</v>
      </c>
      <c r="U61">
        <v>59</v>
      </c>
      <c r="V61" t="s">
        <v>11</v>
      </c>
      <c r="W61" t="s">
        <v>1658</v>
      </c>
      <c r="X61" t="s">
        <v>1658</v>
      </c>
      <c r="Y61" s="70">
        <f>VLOOKUP(X61,ОКТМО!M:N,2,0)</f>
        <v>98624450101</v>
      </c>
      <c r="Z61" t="str">
        <f>VLOOKUP(X61,ОКТМО!M:N,1,0)</f>
        <v>Ситте</v>
      </c>
      <c r="AA61" t="str">
        <f>VLOOKUP(Y61,ОКТМО!B:J,9,0)</f>
        <v>Ситтинский наслег</v>
      </c>
      <c r="AB61" t="str">
        <f>VLOOKUP(Y61,ОКТМО!B:J,6,0)</f>
        <v>Кобяйский муниципальный район</v>
      </c>
      <c r="AK61" s="1">
        <v>59</v>
      </c>
      <c r="AL61" s="1" t="s">
        <v>11</v>
      </c>
      <c r="AM61" s="1" t="s">
        <v>182</v>
      </c>
      <c r="AN61" s="65" t="s">
        <v>2030</v>
      </c>
      <c r="AO61" s="73">
        <v>98635410101</v>
      </c>
      <c r="AP61" t="str">
        <f>VLOOKUP(AO61,ОКТМО!B:J,6,0)</f>
        <v>Намский муниципальный район</v>
      </c>
      <c r="AQ61" t="str">
        <f>VLOOKUP(AO61,ОКТМО!B:J,9,0)</f>
        <v>Бетюнский наслег</v>
      </c>
    </row>
    <row r="62" spans="5:43">
      <c r="F62" t="s">
        <v>3175</v>
      </c>
      <c r="G62" s="71" t="s">
        <v>3147</v>
      </c>
      <c r="H62" s="70">
        <v>98641460101</v>
      </c>
      <c r="I62" t="str">
        <f>VLOOKUP(H62,ОКТМО!B:M,12,0)</f>
        <v>Саныяхтах</v>
      </c>
      <c r="J62" t="str">
        <f>VLOOKUP(H62,ОКТМО!B:M,6,0)</f>
        <v>Олекминский муниципальный район</v>
      </c>
      <c r="U62">
        <v>60</v>
      </c>
      <c r="V62" t="s">
        <v>317</v>
      </c>
      <c r="W62" t="s">
        <v>971</v>
      </c>
      <c r="X62" s="74" t="s">
        <v>971</v>
      </c>
      <c r="Y62" s="75">
        <f>VLOOKUP(X62,ОКТМО!M:N,2,0)</f>
        <v>98603460101</v>
      </c>
      <c r="Z62" t="str">
        <f>VLOOKUP(X62,ОКТМО!M:N,1,0)</f>
        <v>Чагда</v>
      </c>
      <c r="AA62" t="str">
        <f>VLOOKUP(Y62,ОКТМО!B:J,9,0)</f>
        <v>Чагдинский наслег</v>
      </c>
      <c r="AB62" t="str">
        <f>VLOOKUP(Y62,ОКТМО!B:J,6,0)</f>
        <v>Алданский муниципальный район</v>
      </c>
      <c r="AK62" s="1">
        <v>60</v>
      </c>
      <c r="AL62" s="1" t="s">
        <v>11</v>
      </c>
      <c r="AM62" s="1" t="s">
        <v>185</v>
      </c>
      <c r="AN62" s="65" t="s">
        <v>873</v>
      </c>
      <c r="AO62" s="73">
        <v>98629411101</v>
      </c>
      <c r="AP62" t="str">
        <f>VLOOKUP(AO62,ОКТМО!B:J,6,0)</f>
        <v>Мегино-Кангаласский муниципальный район</v>
      </c>
      <c r="AQ62" t="str">
        <f>VLOOKUP(AO62,ОКТМО!B:J,9,0)</f>
        <v>Доллунский наслег</v>
      </c>
    </row>
    <row r="63" spans="5:43">
      <c r="F63" t="s">
        <v>3175</v>
      </c>
      <c r="G63" s="71" t="s">
        <v>3149</v>
      </c>
      <c r="H63" s="70">
        <v>98644412101</v>
      </c>
      <c r="I63" t="str">
        <f>VLOOKUP(H63,ОКТМО!B:M,12,0)</f>
        <v>Исит</v>
      </c>
      <c r="J63" t="str">
        <f>VLOOKUP(H63,ОКТМО!B:M,6,0)</f>
        <v>Хангаласский муниципальный район</v>
      </c>
      <c r="U63">
        <v>61</v>
      </c>
      <c r="V63" t="s">
        <v>317</v>
      </c>
      <c r="W63" t="s">
        <v>957</v>
      </c>
      <c r="X63" t="s">
        <v>957</v>
      </c>
      <c r="Y63" s="70">
        <f>VLOOKUP(X63,ОКТМО!M:N,2,0)</f>
        <v>98603404101</v>
      </c>
      <c r="Z63" t="str">
        <f>VLOOKUP(X63,ОКТМО!M:N,1,0)</f>
        <v>Кутана</v>
      </c>
      <c r="AA63" t="str">
        <f>VLOOKUP(Y63,ОКТМО!B:J,9,0)</f>
        <v>Национальный наслег Анамы</v>
      </c>
      <c r="AB63" t="str">
        <f>VLOOKUP(Y63,ОКТМО!B:J,6,0)</f>
        <v>Алданский муниципальный район</v>
      </c>
      <c r="AK63" s="1">
        <v>61</v>
      </c>
      <c r="AL63" s="1" t="s">
        <v>11</v>
      </c>
      <c r="AM63" s="1" t="s">
        <v>188</v>
      </c>
      <c r="AN63" s="1" t="s">
        <v>1375</v>
      </c>
      <c r="AO63" s="73">
        <v>98616445101</v>
      </c>
      <c r="AP63" t="str">
        <f>VLOOKUP(AO63,ОКТМО!B:J,6,0)</f>
        <v>Верхоянский муниципальный район</v>
      </c>
      <c r="AQ63" t="str">
        <f>VLOOKUP(AO63,ОКТМО!B:J,9,0)</f>
        <v>Столбинский наслег</v>
      </c>
    </row>
    <row r="64" spans="5:43">
      <c r="F64" t="s">
        <v>3175</v>
      </c>
      <c r="G64" t="s">
        <v>1542</v>
      </c>
      <c r="H64" s="70">
        <v>98620433106</v>
      </c>
      <c r="I64" t="str">
        <f>VLOOKUP(H64,ОКТМО!B:M,12,0)</f>
        <v>Тонгулах</v>
      </c>
      <c r="J64" t="str">
        <f>VLOOKUP(H64,ОКТМО!B:M,6,0)</f>
        <v>Горный муниципальный район</v>
      </c>
      <c r="U64">
        <v>62</v>
      </c>
      <c r="V64" t="s">
        <v>317</v>
      </c>
      <c r="W64" t="s">
        <v>966</v>
      </c>
      <c r="X64" t="s">
        <v>966</v>
      </c>
      <c r="Y64" s="70">
        <f>VLOOKUP(X64,ОКТМО!M:N,2,0)</f>
        <v>98603407106</v>
      </c>
      <c r="Z64" t="str">
        <f>VLOOKUP(X64,ОКТМО!M:N,1,0)</f>
        <v>Угоян</v>
      </c>
      <c r="AA64" t="str">
        <f>VLOOKUP(Y64,ОКТМО!B:J,9,0)</f>
        <v>Беллетский эвенкийский национальный наслег</v>
      </c>
      <c r="AB64" t="str">
        <f>VLOOKUP(Y64,ОКТМО!B:J,6,0)</f>
        <v>Алданский муниципальный район</v>
      </c>
      <c r="AK64" s="1">
        <v>62</v>
      </c>
      <c r="AL64" s="1" t="s">
        <v>11</v>
      </c>
      <c r="AM64" s="1" t="s">
        <v>191</v>
      </c>
      <c r="AN64" s="1" t="s">
        <v>2108</v>
      </c>
      <c r="AO64" s="73">
        <v>98635470101</v>
      </c>
      <c r="AP64" t="str">
        <f>VLOOKUP(AO64,ОКТМО!B:J,6,0)</f>
        <v>Намский муниципальный район</v>
      </c>
      <c r="AQ64" t="str">
        <f>VLOOKUP(AO64,ОКТМО!B:J,9,0)</f>
        <v>Маймагинский наслег</v>
      </c>
    </row>
    <row r="65" spans="6:43">
      <c r="F65" t="s">
        <v>3175</v>
      </c>
      <c r="G65" t="s">
        <v>1522</v>
      </c>
      <c r="H65" s="70">
        <v>98620410101</v>
      </c>
      <c r="I65" t="str">
        <f>VLOOKUP(H65,ОКТМО!B:M,12,0)</f>
        <v>Бердигестях</v>
      </c>
      <c r="J65" t="str">
        <f>VLOOKUP(H65,ОКТМО!B:M,6,0)</f>
        <v>Горный муниципальный район</v>
      </c>
      <c r="U65">
        <v>63</v>
      </c>
      <c r="V65" t="s">
        <v>317</v>
      </c>
      <c r="W65" t="s">
        <v>345</v>
      </c>
      <c r="X65" t="s">
        <v>345</v>
      </c>
      <c r="Y65" s="70">
        <f>VLOOKUP(X65,ОКТМО!M:N,2,0)</f>
        <v>98654164051</v>
      </c>
      <c r="Z65" t="str">
        <f>VLOOKUP(X65,ОКТМО!M:N,1,0)</f>
        <v>Эльдикан</v>
      </c>
      <c r="AA65" t="str">
        <f>VLOOKUP(Y65,ОКТМО!B:J,9,0)</f>
        <v>поселок Эльдикан</v>
      </c>
      <c r="AB65" t="str">
        <f>VLOOKUP(Y65,ОКТМО!B:J,6,0)</f>
        <v>Усть-Майский муниципальный район</v>
      </c>
      <c r="AK65" s="1">
        <v>63</v>
      </c>
      <c r="AL65" s="1" t="s">
        <v>11</v>
      </c>
      <c r="AM65" s="1" t="s">
        <v>194</v>
      </c>
      <c r="AN65" s="1" t="s">
        <v>2071</v>
      </c>
      <c r="AO65" s="73">
        <v>98635447101</v>
      </c>
      <c r="AP65" t="str">
        <f>VLOOKUP(AO65,ОКТМО!B:J,6,0)</f>
        <v>Намский муниципальный район</v>
      </c>
      <c r="AQ65" t="str">
        <f>VLOOKUP(AO65,ОКТМО!B:J,9,0)</f>
        <v>Фрунзенский наслег</v>
      </c>
    </row>
    <row r="66" spans="6:43">
      <c r="F66" t="s">
        <v>3175</v>
      </c>
      <c r="G66" s="71" t="s">
        <v>209</v>
      </c>
      <c r="H66" s="70">
        <v>98624151051</v>
      </c>
      <c r="I66" t="str">
        <f>VLOOKUP(H66,ОКТМО!B:M,12,0)</f>
        <v>Сангар</v>
      </c>
      <c r="J66" t="str">
        <f>VLOOKUP(H66,ОКТМО!B:M,6,0)</f>
        <v>Кобяйский муниципальный район</v>
      </c>
      <c r="U66">
        <v>64</v>
      </c>
      <c r="V66" t="s">
        <v>317</v>
      </c>
      <c r="W66" t="s">
        <v>2867</v>
      </c>
      <c r="X66" t="s">
        <v>2867</v>
      </c>
      <c r="Y66" s="70">
        <f>VLOOKUP(X66,ОКТМО!M:N,2,0)</f>
        <v>98654425101</v>
      </c>
      <c r="Z66" t="str">
        <f>VLOOKUP(X66,ОКТМО!M:N,1,0)</f>
        <v>Эжанцы</v>
      </c>
      <c r="AA66" t="str">
        <f>VLOOKUP(Y66,ОКТМО!B:J,9,0)</f>
        <v>Эжанский национальный наслег</v>
      </c>
      <c r="AB66" t="str">
        <f>VLOOKUP(Y66,ОКТМО!B:J,6,0)</f>
        <v>Усть-Майский муниципальный район</v>
      </c>
      <c r="AK66" s="1">
        <v>64</v>
      </c>
      <c r="AL66" s="1" t="s">
        <v>11</v>
      </c>
      <c r="AM66" s="1" t="s">
        <v>197</v>
      </c>
      <c r="AN66" s="1" t="s">
        <v>1240</v>
      </c>
      <c r="AO66" s="73">
        <v>98614429101</v>
      </c>
      <c r="AP66" t="str">
        <f>VLOOKUP(AO66,ОКТМО!B:J,6,0)</f>
        <v>Верхневилюйский муниципальный район</v>
      </c>
      <c r="AQ66" t="str">
        <f>VLOOKUP(AO66,ОКТМО!B:J,9,0)</f>
        <v>Кэнтикский наслег</v>
      </c>
    </row>
    <row r="67" spans="6:43">
      <c r="F67" t="s">
        <v>3175</v>
      </c>
      <c r="G67" t="s">
        <v>222</v>
      </c>
      <c r="H67" s="70">
        <v>98612412101</v>
      </c>
      <c r="I67" t="str">
        <f>VLOOKUP(H67,ОКТМО!B:M,12,0)</f>
        <v>Кюсюр</v>
      </c>
      <c r="J67" t="str">
        <f>VLOOKUP(H67,ОКТМО!B:M,6,0)</f>
        <v>Булунский муниципальный район</v>
      </c>
      <c r="U67">
        <v>65</v>
      </c>
      <c r="V67" t="s">
        <v>317</v>
      </c>
      <c r="W67" t="s">
        <v>2853</v>
      </c>
      <c r="X67" t="s">
        <v>2853</v>
      </c>
      <c r="Y67" s="70">
        <f>VLOOKUP(X67,ОКТМО!M:N,2,0)</f>
        <v>98654410101</v>
      </c>
      <c r="Z67" t="str">
        <f>VLOOKUP(X67,ОКТМО!M:N,1,0)</f>
        <v>Кюпцы</v>
      </c>
      <c r="AA67" t="str">
        <f>VLOOKUP(Y67,ОКТМО!B:J,9,0)</f>
        <v>Кюпский эвенкийский национальный наслег</v>
      </c>
      <c r="AB67" t="str">
        <f>VLOOKUP(Y67,ОКТМО!B:J,6,0)</f>
        <v>Усть-Майский муниципальный район</v>
      </c>
      <c r="AK67" s="1">
        <v>65</v>
      </c>
      <c r="AL67" s="1" t="s">
        <v>11</v>
      </c>
      <c r="AM67" s="1" t="s">
        <v>200</v>
      </c>
      <c r="AN67" s="1" t="s">
        <v>2067</v>
      </c>
      <c r="AO67" s="73">
        <v>98635445101</v>
      </c>
      <c r="AP67" t="str">
        <f>VLOOKUP(AO67,ОКТМО!B:J,6,0)</f>
        <v>Намский муниципальный район</v>
      </c>
      <c r="AQ67" t="str">
        <f>VLOOKUP(AO67,ОКТМО!B:J,9,0)</f>
        <v>Тюбинский наслег</v>
      </c>
    </row>
    <row r="68" spans="6:43">
      <c r="F68" t="s">
        <v>3178</v>
      </c>
      <c r="G68" s="71" t="s">
        <v>459</v>
      </c>
      <c r="H68" s="70">
        <v>98603105111</v>
      </c>
      <c r="I68" t="str">
        <f>VLOOKUP(H68,ОКТМО!B:M,12,0)</f>
        <v>Верхняя Амга</v>
      </c>
      <c r="J68" t="str">
        <f>VLOOKUP(H68,ОКТМО!B:M,6,0)</f>
        <v>Алданский муниципальный район</v>
      </c>
      <c r="U68">
        <v>66</v>
      </c>
      <c r="V68" t="s">
        <v>317</v>
      </c>
      <c r="W68" t="s">
        <v>333</v>
      </c>
      <c r="X68" t="s">
        <v>333</v>
      </c>
      <c r="Y68" s="70">
        <f>VLOOKUP(X68,ОКТМО!M:N,2,0)</f>
        <v>98654405101</v>
      </c>
      <c r="Z68" t="str">
        <f>VLOOKUP(X68,ОКТМО!M:N,1,0)</f>
        <v>Белькачи</v>
      </c>
      <c r="AA68" t="str">
        <f>VLOOKUP(Y68,ОКТМО!B:J,9,0)</f>
        <v>село Белькачи</v>
      </c>
      <c r="AB68" t="str">
        <f>VLOOKUP(Y68,ОКТМО!B:J,6,0)</f>
        <v>Усть-Майский муниципальный район</v>
      </c>
      <c r="AK68" s="1">
        <v>66</v>
      </c>
      <c r="AL68" s="1" t="s">
        <v>11</v>
      </c>
      <c r="AM68" s="1" t="s">
        <v>203</v>
      </c>
      <c r="AN68" s="65" t="s">
        <v>2027</v>
      </c>
      <c r="AO68" s="73">
        <v>98635405101</v>
      </c>
      <c r="AP68" t="str">
        <f>VLOOKUP(AO68,ОКТМО!B:J,6,0)</f>
        <v>Намский муниципальный район</v>
      </c>
      <c r="AQ68" t="str">
        <f>VLOOKUP(AO68,ОКТМО!B:J,9,0)</f>
        <v>Арбынский наслег</v>
      </c>
    </row>
    <row r="69" spans="6:43">
      <c r="F69" t="s">
        <v>3178</v>
      </c>
      <c r="G69" t="s">
        <v>1086</v>
      </c>
      <c r="H69" s="70">
        <v>98608429111</v>
      </c>
      <c r="I69" t="str">
        <f>VLOOKUP(H69,ОКТМО!B:M,12,0)</f>
        <v>Тегюльтя</v>
      </c>
      <c r="J69" t="str">
        <f>VLOOKUP(H69,ОКТМО!B:M,6,0)</f>
        <v>Амгинский муниципальный район</v>
      </c>
      <c r="U69">
        <v>67</v>
      </c>
      <c r="V69" t="s">
        <v>317</v>
      </c>
      <c r="W69" t="s">
        <v>2686</v>
      </c>
      <c r="X69" t="s">
        <v>2686</v>
      </c>
      <c r="Y69" s="70">
        <f>VLOOKUP(X69,ОКТМО!M:N,2,0)</f>
        <v>98650425101</v>
      </c>
      <c r="Z69" t="str">
        <f>VLOOKUP(X69,ОКТМО!M:N,1,0)</f>
        <v>Охотский-Перевоз</v>
      </c>
      <c r="AA69" t="str">
        <f>VLOOKUP(Y69,ОКТМО!B:J,9,0)</f>
        <v>Охот-Перевозовский наслег</v>
      </c>
      <c r="AB69" t="str">
        <f>VLOOKUP(Y69,ОКТМО!B:J,6,0)</f>
        <v>Томпонский муниципальный район</v>
      </c>
      <c r="AK69" s="1">
        <v>67</v>
      </c>
      <c r="AL69" s="1" t="s">
        <v>11</v>
      </c>
      <c r="AM69" s="1" t="s">
        <v>206</v>
      </c>
      <c r="AN69" s="65" t="s">
        <v>1658</v>
      </c>
      <c r="AO69" s="73">
        <v>98624450101</v>
      </c>
      <c r="AP69" t="str">
        <f>VLOOKUP(AO69,ОКТМО!B:J,6,0)</f>
        <v>Кобяйский муниципальный район</v>
      </c>
      <c r="AQ69" t="str">
        <f>VLOOKUP(AO69,ОКТМО!B:J,9,0)</f>
        <v>Ситтинский наслег</v>
      </c>
    </row>
    <row r="70" spans="6:43">
      <c r="F70" t="s">
        <v>3179</v>
      </c>
      <c r="G70" t="s">
        <v>414</v>
      </c>
      <c r="H70" s="70">
        <v>98660165051</v>
      </c>
      <c r="I70" t="str">
        <f>VLOOKUP(H70,ОКТМО!B:M,12,0)</f>
        <v>Чульман</v>
      </c>
      <c r="J70" t="str">
        <f>VLOOKUP(H70,ОКТМО!B:M,6,0)</f>
        <v>Нерюнгринский муниципальный район</v>
      </c>
      <c r="U70">
        <v>68</v>
      </c>
      <c r="V70" t="s">
        <v>317</v>
      </c>
      <c r="W70" t="s">
        <v>2682</v>
      </c>
      <c r="X70" t="s">
        <v>2682</v>
      </c>
      <c r="Y70" s="70">
        <f>VLOOKUP(X70,ОКТМО!M:N,2,0)</f>
        <v>98650415101</v>
      </c>
      <c r="Z70" t="str">
        <f>VLOOKUP(X70,ОКТМО!M:N,1,0)</f>
        <v>Мегино-Алдан</v>
      </c>
      <c r="AA70" t="str">
        <f>VLOOKUP(Y70,ОКТМО!B:J,9,0)</f>
        <v>Мегино-Алданский наслег</v>
      </c>
      <c r="AB70" t="str">
        <f>VLOOKUP(Y70,ОКТМО!B:J,6,0)</f>
        <v>Томпонский муниципальный район</v>
      </c>
      <c r="AK70" s="1">
        <v>68</v>
      </c>
      <c r="AL70" s="1" t="s">
        <v>11</v>
      </c>
      <c r="AM70" s="1" t="s">
        <v>209</v>
      </c>
      <c r="AN70" s="11" t="s">
        <v>1590</v>
      </c>
      <c r="AO70" s="73">
        <v>98624151051</v>
      </c>
      <c r="AP70" t="str">
        <f>VLOOKUP(AO70,ОКТМО!B:J,6,0)</f>
        <v>Кобяйский муниципальный район</v>
      </c>
      <c r="AQ70" t="str">
        <f>VLOOKUP(AO70,ОКТМО!B:J,9,0)</f>
        <v>поселок Сангар</v>
      </c>
    </row>
    <row r="71" spans="6:43">
      <c r="F71" t="s">
        <v>3179</v>
      </c>
      <c r="G71" t="s">
        <v>318</v>
      </c>
      <c r="H71" s="70">
        <v>98633423106</v>
      </c>
      <c r="I71" t="str">
        <f>VLOOKUP(H71,ОКТМО!B:M,12,0)</f>
        <v>Суон-Тит</v>
      </c>
      <c r="J71" t="str">
        <f>VLOOKUP(H71,ОКТМО!B:M,6,0)</f>
        <v>Момский муниципальный район</v>
      </c>
      <c r="U71">
        <v>69</v>
      </c>
      <c r="V71" t="s">
        <v>317</v>
      </c>
      <c r="W71" t="s">
        <v>2690</v>
      </c>
      <c r="X71" t="s">
        <v>2690</v>
      </c>
      <c r="Y71" s="70">
        <f>VLOOKUP(X71,ОКТМО!M:N,2,0)</f>
        <v>98650430101</v>
      </c>
      <c r="Z71" t="str">
        <f>VLOOKUP(X71,ОКТМО!M:N,1,0)</f>
        <v>Кескил</v>
      </c>
      <c r="AA71" t="str">
        <f>VLOOKUP(Y71,ОКТМО!B:J,9,0)</f>
        <v>Сасыльский наслег</v>
      </c>
      <c r="AB71" t="str">
        <f>VLOOKUP(Y71,ОКТМО!B:J,6,0)</f>
        <v>Томпонский муниципальный район</v>
      </c>
      <c r="AK71" s="1">
        <v>69</v>
      </c>
      <c r="AL71" s="1" t="s">
        <v>212</v>
      </c>
      <c r="AM71" s="1" t="s">
        <v>213</v>
      </c>
      <c r="AN71" s="65" t="s">
        <v>1626</v>
      </c>
      <c r="AO71" s="73">
        <v>98624424101</v>
      </c>
      <c r="AP71" t="str">
        <f>VLOOKUP(AO71,ОКТМО!B:J,6,0)</f>
        <v>Кобяйский муниципальный район</v>
      </c>
      <c r="AQ71" t="str">
        <f>VLOOKUP(AO71,ОКТМО!B:J,9,0)</f>
        <v>Куокуйский наслег</v>
      </c>
    </row>
    <row r="72" spans="6:43">
      <c r="F72" t="s">
        <v>3179</v>
      </c>
      <c r="G72" t="s">
        <v>324</v>
      </c>
      <c r="H72" s="70">
        <v>98603105001</v>
      </c>
      <c r="I72" t="str">
        <f>VLOOKUP(H72,ОКТМО!B:M,12,0)</f>
        <v>Томмот</v>
      </c>
      <c r="J72" t="str">
        <f>VLOOKUP(H72,ОКТМО!B:M,6,0)</f>
        <v>Алданский муниципальный район</v>
      </c>
      <c r="U72">
        <v>70</v>
      </c>
      <c r="V72" t="s">
        <v>317</v>
      </c>
      <c r="W72" t="s">
        <v>2668</v>
      </c>
      <c r="X72" t="s">
        <v>2668</v>
      </c>
      <c r="Y72" s="70">
        <f>VLOOKUP(X72,ОКТМО!M:N,2,0)</f>
        <v>98650152051</v>
      </c>
      <c r="Z72" t="str">
        <f>VLOOKUP(X72,ОКТМО!M:N,1,0)</f>
        <v>Джебарики-Хая</v>
      </c>
      <c r="AA72" t="str">
        <f>VLOOKUP(Y72,ОКТМО!B:J,9,0)</f>
        <v>поселок Джебарики-Хая</v>
      </c>
      <c r="AB72" t="str">
        <f>VLOOKUP(Y72,ОКТМО!B:J,6,0)</f>
        <v>Томпонский муниципальный район</v>
      </c>
      <c r="AK72" s="1">
        <v>70</v>
      </c>
      <c r="AL72" s="1" t="s">
        <v>11</v>
      </c>
      <c r="AM72" s="1" t="s">
        <v>216</v>
      </c>
      <c r="AN72" s="1" t="s">
        <v>216</v>
      </c>
      <c r="AO72" s="73">
        <v>98622410101</v>
      </c>
      <c r="AP72" t="str">
        <f>VLOOKUP(AO72,ОКТМО!B:J,6,0)</f>
        <v>Жиганский национальный эвенкийский муниципальный район</v>
      </c>
      <c r="AQ72" t="str">
        <f>VLOOKUP(AO72,ОКТМО!B:J,9,0)</f>
        <v>Жиганский эвенкийский национальный наслег</v>
      </c>
    </row>
    <row r="73" spans="6:43">
      <c r="F73" t="s">
        <v>3179</v>
      </c>
      <c r="G73" t="s">
        <v>3180</v>
      </c>
      <c r="H73" s="70">
        <v>98641420101</v>
      </c>
      <c r="I73" t="str">
        <f>VLOOKUP(H73,ОКТМО!B:M,12,0)</f>
        <v>Токко</v>
      </c>
      <c r="J73" t="str">
        <f>VLOOKUP(H73,ОКТМО!B:M,6,0)</f>
        <v>Олекминский муниципальный район</v>
      </c>
      <c r="U73">
        <v>71</v>
      </c>
      <c r="V73" t="s">
        <v>317</v>
      </c>
      <c r="W73" t="s">
        <v>360</v>
      </c>
      <c r="X73" t="s">
        <v>360</v>
      </c>
      <c r="Y73" s="70">
        <f>VLOOKUP(X73,ОКТМО!M:N,2,0)</f>
        <v>98650151051</v>
      </c>
      <c r="Z73" t="str">
        <f>VLOOKUP(X73,ОКТМО!M:N,1,0)</f>
        <v>Хандыга</v>
      </c>
      <c r="AA73" t="str">
        <f>VLOOKUP(Y73,ОКТМО!B:J,9,0)</f>
        <v>поселок Хандыга</v>
      </c>
      <c r="AB73" t="str">
        <f>VLOOKUP(Y73,ОКТМО!B:J,6,0)</f>
        <v>Томпонский муниципальный район</v>
      </c>
      <c r="AK73" s="1">
        <v>71</v>
      </c>
      <c r="AL73" s="1" t="s">
        <v>11</v>
      </c>
      <c r="AM73" s="1" t="s">
        <v>219</v>
      </c>
      <c r="AN73" s="1" t="s">
        <v>219</v>
      </c>
      <c r="AO73" s="73">
        <v>98622410101</v>
      </c>
      <c r="AP73" t="str">
        <f>VLOOKUP(AO73,ОКТМО!B:J,6,0)</f>
        <v>Жиганский национальный эвенкийский муниципальный район</v>
      </c>
      <c r="AQ73" t="str">
        <f>VLOOKUP(AO73,ОКТМО!B:J,9,0)</f>
        <v>Жиганский эвенкийский национальный наслег</v>
      </c>
    </row>
    <row r="74" spans="6:43">
      <c r="F74" t="s">
        <v>3179</v>
      </c>
      <c r="G74" t="s">
        <v>336</v>
      </c>
      <c r="H74" s="70">
        <v>98654415101</v>
      </c>
      <c r="I74" t="str">
        <f>VLOOKUP(H74,ОКТМО!B:M,12,0)</f>
        <v>Усть-Миль</v>
      </c>
      <c r="J74" t="str">
        <f>VLOOKUP(H74,ОКТМО!B:M,6,0)</f>
        <v>Усть-Майский муниципальный район</v>
      </c>
      <c r="U74">
        <v>72</v>
      </c>
      <c r="V74" t="s">
        <v>317</v>
      </c>
      <c r="W74" t="s">
        <v>1038</v>
      </c>
      <c r="X74" t="s">
        <v>1038</v>
      </c>
      <c r="Y74" s="70">
        <f>VLOOKUP(X74,ОКТМО!M:N,2,0)</f>
        <v>98604465101</v>
      </c>
      <c r="Z74" t="str">
        <f>VLOOKUP(X74,ОКТМО!M:N,1,0)</f>
        <v>Хара-Алдан</v>
      </c>
      <c r="AA74" t="str">
        <f>VLOOKUP(Y74,ОКТМО!B:J,9,0)</f>
        <v>Хара-Алданский наслег</v>
      </c>
      <c r="AB74" t="str">
        <f>VLOOKUP(Y74,ОКТМО!B:J,6,0)</f>
        <v>Таттинский муниципальный район</v>
      </c>
      <c r="AK74" s="1">
        <v>72</v>
      </c>
      <c r="AL74" s="1" t="s">
        <v>11</v>
      </c>
      <c r="AM74" s="1" t="s">
        <v>222</v>
      </c>
      <c r="AN74" s="1" t="s">
        <v>222</v>
      </c>
      <c r="AO74" s="73">
        <v>98612412101</v>
      </c>
      <c r="AP74" t="str">
        <f>VLOOKUP(AO74,ОКТМО!B:J,6,0)</f>
        <v>Булунский муниципальный район</v>
      </c>
      <c r="AQ74" t="str">
        <f>VLOOKUP(AO74,ОКТМО!B:J,9,0)</f>
        <v>Булунский национальный (эвенкийский) наслег</v>
      </c>
    </row>
    <row r="75" spans="6:43">
      <c r="F75" t="s">
        <v>3179</v>
      </c>
      <c r="G75" t="s">
        <v>438</v>
      </c>
      <c r="H75" s="70">
        <v>98654151106</v>
      </c>
      <c r="I75" t="str">
        <f>VLOOKUP(H75,ОКТМО!B:M,12,0)</f>
        <v>Усть-Юдома</v>
      </c>
      <c r="J75" t="str">
        <f>VLOOKUP(H75,ОКТМО!B:M,6,0)</f>
        <v>Усть-Майский муниципальный район</v>
      </c>
      <c r="U75">
        <v>73</v>
      </c>
      <c r="V75" t="s">
        <v>317</v>
      </c>
      <c r="W75" t="s">
        <v>2787</v>
      </c>
      <c r="X75" t="s">
        <v>2787</v>
      </c>
      <c r="Y75" s="70">
        <f>VLOOKUP(X75,ОКТМО!M:N,2,0)</f>
        <v>98652465101</v>
      </c>
      <c r="Z75" t="str">
        <f>VLOOKUP(X75,ОКТМО!M:N,1,0)</f>
        <v>Дыгдал</v>
      </c>
      <c r="AA75" t="str">
        <f>VLOOKUP(Y75,ОКТМО!B:J,9,0)</f>
        <v>Оспехский наслег</v>
      </c>
      <c r="AB75" t="str">
        <f>VLOOKUP(Y75,ОКТМО!B:J,6,0)</f>
        <v>Усть-Алданский муниципальный район</v>
      </c>
      <c r="AK75" s="1">
        <v>73</v>
      </c>
      <c r="AL75" s="1" t="s">
        <v>11</v>
      </c>
      <c r="AM75" s="1" t="s">
        <v>225</v>
      </c>
      <c r="AN75" s="1" t="s">
        <v>225</v>
      </c>
      <c r="AO75" s="73">
        <v>98612412101</v>
      </c>
      <c r="AP75" t="str">
        <f>VLOOKUP(AO75,ОКТМО!B:J,6,0)</f>
        <v>Булунский муниципальный район</v>
      </c>
      <c r="AQ75" t="str">
        <f>VLOOKUP(AO75,ОКТМО!B:J,9,0)</f>
        <v>Булунский национальный (эвенкийский) наслег</v>
      </c>
    </row>
    <row r="76" spans="6:43">
      <c r="F76" t="s">
        <v>3179</v>
      </c>
      <c r="G76" t="s">
        <v>888</v>
      </c>
      <c r="H76" s="70">
        <v>98654166051</v>
      </c>
      <c r="I76" t="str">
        <f>VLOOKUP(H76,ОКТМО!B:M,12,0)</f>
        <v>Югоренок</v>
      </c>
      <c r="J76" t="str">
        <f>VLOOKUP(H76,ОКТМО!B:M,6,0)</f>
        <v>Усть-Майский муниципальный район</v>
      </c>
      <c r="U76">
        <v>74</v>
      </c>
      <c r="V76" t="s">
        <v>317</v>
      </c>
      <c r="W76" t="s">
        <v>2817</v>
      </c>
      <c r="X76" t="s">
        <v>2817</v>
      </c>
      <c r="Y76" s="70">
        <f>VLOOKUP(X76,ОКТМО!M:N,2,0)</f>
        <v>98652485101</v>
      </c>
      <c r="Z76" t="str">
        <f>VLOOKUP(X76,ОКТМО!M:N,1,0)</f>
        <v>Чериктей</v>
      </c>
      <c r="AA76" t="str">
        <f>VLOOKUP(Y76,ОКТМО!B:J,9,0)</f>
        <v>Чериктейский наслег</v>
      </c>
      <c r="AB76" t="str">
        <f>VLOOKUP(Y76,ОКТМО!B:J,6,0)</f>
        <v>Усть-Алданский муниципальный район</v>
      </c>
      <c r="AK76" s="1">
        <v>74</v>
      </c>
      <c r="AL76" s="1" t="s">
        <v>27</v>
      </c>
      <c r="AM76" s="1" t="s">
        <v>228</v>
      </c>
      <c r="AN76" s="1" t="s">
        <v>228</v>
      </c>
      <c r="AO76" s="73">
        <v>98627440111</v>
      </c>
      <c r="AP76" t="str">
        <f>VLOOKUP(AO76,ОКТМО!B:J,6,0)</f>
        <v>Ленский муниципальный район</v>
      </c>
      <c r="AQ76" t="str">
        <f>VLOOKUP(AO76,ОКТМО!B:J,9,0)</f>
        <v>Толонский наслег</v>
      </c>
    </row>
    <row r="77" spans="6:43">
      <c r="F77" t="s">
        <v>3179</v>
      </c>
      <c r="G77" t="s">
        <v>3181</v>
      </c>
      <c r="H77" s="70">
        <v>98650425101</v>
      </c>
      <c r="I77" t="str">
        <f>VLOOKUP(H77,ОКТМО!B:M,12,0)</f>
        <v>Охотский-Перевоз</v>
      </c>
      <c r="J77" t="str">
        <f>VLOOKUP(H77,ОКТМО!B:M,6,0)</f>
        <v>Томпонский муниципальный район</v>
      </c>
      <c r="U77">
        <v>75</v>
      </c>
      <c r="V77" t="s">
        <v>317</v>
      </c>
      <c r="W77" t="s">
        <v>2811</v>
      </c>
      <c r="X77" t="s">
        <v>2811</v>
      </c>
      <c r="Y77" s="70">
        <f>VLOOKUP(X77,ОКТМО!M:N,2,0)</f>
        <v>98652475101</v>
      </c>
      <c r="Z77" t="str">
        <f>VLOOKUP(X77,ОКТМО!M:N,1,0)</f>
        <v>Кылайы</v>
      </c>
      <c r="AA77" t="str">
        <f>VLOOKUP(Y77,ОКТМО!B:J,9,0)</f>
        <v>Тюляхский наслег</v>
      </c>
      <c r="AB77" t="str">
        <f>VLOOKUP(Y77,ОКТМО!B:J,6,0)</f>
        <v>Усть-Алданский муниципальный район</v>
      </c>
      <c r="AK77" s="1">
        <v>75</v>
      </c>
      <c r="AL77" s="1" t="s">
        <v>45</v>
      </c>
      <c r="AM77" s="1" t="s">
        <v>231</v>
      </c>
      <c r="AN77" s="1" t="s">
        <v>231</v>
      </c>
      <c r="AO77" s="73">
        <v>98627433101</v>
      </c>
      <c r="AP77" t="str">
        <f>VLOOKUP(AO77,ОКТМО!B:J,6,0)</f>
        <v>Ленский муниципальный район</v>
      </c>
      <c r="AQ77" t="str">
        <f>VLOOKUP(AO77,ОКТМО!B:J,9,0)</f>
        <v>Орто-Нахаринский наслег</v>
      </c>
    </row>
    <row r="78" spans="6:43">
      <c r="F78" t="s">
        <v>3179</v>
      </c>
      <c r="G78" t="s">
        <v>2694</v>
      </c>
      <c r="H78" s="70">
        <v>98650433101</v>
      </c>
      <c r="I78" t="str">
        <f>VLOOKUP(H78,ОКТМО!B:M,12,0)</f>
        <v>Теплый Ключ</v>
      </c>
      <c r="J78" t="str">
        <f>VLOOKUP(H78,ОКТМО!B:M,6,0)</f>
        <v>Томпонский муниципальный район</v>
      </c>
      <c r="U78">
        <v>76</v>
      </c>
      <c r="V78" t="s">
        <v>317</v>
      </c>
      <c r="W78" t="s">
        <v>387</v>
      </c>
      <c r="X78" t="s">
        <v>387</v>
      </c>
      <c r="Y78" s="70">
        <f>VLOOKUP(X78,ОКТМО!M:N,2,0)</f>
        <v>98624414106</v>
      </c>
      <c r="Z78" t="str">
        <f>VLOOKUP(X78,ОКТМО!M:N,1,0)</f>
        <v>Батамай</v>
      </c>
      <c r="AA78" t="str">
        <f>VLOOKUP(Y78,ОКТМО!B:J,9,0)</f>
        <v>Кировский эвенский национальный наслег</v>
      </c>
      <c r="AB78" t="str">
        <f>VLOOKUP(Y78,ОКТМО!B:J,6,0)</f>
        <v>Кобяйский муниципальный район</v>
      </c>
      <c r="AK78" s="1">
        <v>76</v>
      </c>
      <c r="AL78" s="1" t="s">
        <v>45</v>
      </c>
      <c r="AM78" s="1" t="s">
        <v>234</v>
      </c>
      <c r="AN78" s="65" t="s">
        <v>1790</v>
      </c>
      <c r="AO78" s="73">
        <v>98627433101</v>
      </c>
      <c r="AP78" t="str">
        <f>VLOOKUP(AO78,ОКТМО!B:J,6,0)</f>
        <v>Ленский муниципальный район</v>
      </c>
      <c r="AQ78" t="str">
        <f>VLOOKUP(AO78,ОКТМО!B:J,9,0)</f>
        <v>Орто-Нахаринский наслег</v>
      </c>
    </row>
    <row r="79" spans="6:43">
      <c r="F79" t="s">
        <v>3179</v>
      </c>
      <c r="G79" t="s">
        <v>369</v>
      </c>
      <c r="H79" s="70">
        <v>98650405101</v>
      </c>
      <c r="I79" t="str">
        <f>VLOOKUP(H79,ОКТМО!B:M,12,0)</f>
        <v>Крест-Хальджай</v>
      </c>
      <c r="J79" t="str">
        <f>VLOOKUP(H79,ОКТМО!B:M,6,0)</f>
        <v>Томпонский муниципальный район</v>
      </c>
      <c r="U79">
        <v>77</v>
      </c>
      <c r="V79" t="s">
        <v>666</v>
      </c>
      <c r="W79" t="s">
        <v>679</v>
      </c>
      <c r="X79" t="s">
        <v>679</v>
      </c>
      <c r="Y79" s="70">
        <f>VLOOKUP(X79,ОКТМО!M:N,2,0)</f>
        <v>98615151051</v>
      </c>
      <c r="Z79" t="str">
        <f>VLOOKUP(X79,ОКТМО!M:N,1,0)</f>
        <v>Зырянка</v>
      </c>
      <c r="AA79" t="str">
        <f>VLOOKUP(Y79,ОКТМО!B:J,9,0)</f>
        <v>поселок Зырянка</v>
      </c>
      <c r="AB79" t="str">
        <f>VLOOKUP(Y79,ОКТМО!B:J,6,0)</f>
        <v>Верхнеколымский муниципальный район</v>
      </c>
      <c r="AK79" s="1">
        <v>77</v>
      </c>
      <c r="AL79" s="1" t="s">
        <v>45</v>
      </c>
      <c r="AM79" s="1" t="s">
        <v>237</v>
      </c>
      <c r="AN79" s="1" t="s">
        <v>237</v>
      </c>
      <c r="AO79" s="73">
        <v>98627405101</v>
      </c>
      <c r="AP79" t="str">
        <f>VLOOKUP(AO79,ОКТМО!B:J,6,0)</f>
        <v>Ленский муниципальный район</v>
      </c>
      <c r="AQ79" t="str">
        <f>VLOOKUP(AO79,ОКТМО!B:J,9,0)</f>
        <v>Беченчинский наслег</v>
      </c>
    </row>
    <row r="80" spans="6:43">
      <c r="F80" t="s">
        <v>3179</v>
      </c>
      <c r="G80" t="s">
        <v>3004</v>
      </c>
      <c r="H80" s="70">
        <v>98658470101</v>
      </c>
      <c r="I80" t="str">
        <f>VLOOKUP(H80,ОКТМО!B:M,12,0)</f>
        <v>Чурапча</v>
      </c>
      <c r="J80" t="str">
        <f>VLOOKUP(H80,ОКТМО!B:M,6,0)</f>
        <v>Чурапчинский муниципальный район</v>
      </c>
      <c r="U80">
        <v>78</v>
      </c>
      <c r="V80" t="s">
        <v>666</v>
      </c>
      <c r="W80" t="s">
        <v>1307</v>
      </c>
      <c r="X80" t="s">
        <v>1307</v>
      </c>
      <c r="Y80" s="70">
        <f>VLOOKUP(X80,ОКТМО!M:N,2,0)</f>
        <v>98615409101</v>
      </c>
      <c r="Z80" t="str">
        <f>VLOOKUP(X80,ОКТМО!M:N,1,0)</f>
        <v>Верхнеколымск</v>
      </c>
      <c r="AA80" t="str">
        <f>VLOOKUP(Y80,ОКТМО!B:J,9,0)</f>
        <v>Верхнеколымский наслег</v>
      </c>
      <c r="AB80" t="str">
        <f>VLOOKUP(Y80,ОКТМО!B:J,6,0)</f>
        <v>Верхнеколымский муниципальный район</v>
      </c>
      <c r="AK80" s="1">
        <v>78</v>
      </c>
      <c r="AL80" s="1" t="s">
        <v>240</v>
      </c>
      <c r="AM80" s="1" t="s">
        <v>241</v>
      </c>
      <c r="AN80" s="1" t="s">
        <v>241</v>
      </c>
      <c r="AO80" s="73">
        <v>25602402106</v>
      </c>
      <c r="AP80" t="str">
        <f>VLOOKUP(AO80,ОКТМО!B:J,6,0)</f>
        <v>Бодайбинский муниципальный район</v>
      </c>
      <c r="AQ80" t="str">
        <f>VLOOKUP(AO80,ОКТМО!B:J,9,0)</f>
        <v>Жуинское</v>
      </c>
    </row>
    <row r="81" spans="6:43">
      <c r="F81" t="s">
        <v>3179</v>
      </c>
      <c r="G81" t="s">
        <v>387</v>
      </c>
      <c r="H81" s="70">
        <v>98624414106</v>
      </c>
      <c r="I81" t="str">
        <f>VLOOKUP(H81,ОКТМО!B:M,12,0)</f>
        <v>Батамай</v>
      </c>
      <c r="J81" t="str">
        <f>VLOOKUP(H81,ОКТМО!B:M,6,0)</f>
        <v>Кобяйский муниципальный район</v>
      </c>
      <c r="U81">
        <v>79</v>
      </c>
      <c r="V81" t="s">
        <v>666</v>
      </c>
      <c r="W81" t="s">
        <v>682</v>
      </c>
      <c r="X81" t="s">
        <v>682</v>
      </c>
      <c r="Y81" s="70">
        <f>VLOOKUP(X81,ОКТМО!M:N,2,0)</f>
        <v>98646101001</v>
      </c>
      <c r="Z81" t="str">
        <f>VLOOKUP(X81,ОКТМО!M:N,1,0)</f>
        <v>Среднеколымск</v>
      </c>
      <c r="AA81" t="str">
        <f>VLOOKUP(Y81,ОКТМО!B:J,9,0)</f>
        <v>город Среднеколымск</v>
      </c>
      <c r="AB81" t="str">
        <f>VLOOKUP(Y81,ОКТМО!B:J,6,0)</f>
        <v>Среднеколымский муниципальный район</v>
      </c>
      <c r="AK81" s="1">
        <v>79</v>
      </c>
      <c r="AL81" s="1" t="s">
        <v>24</v>
      </c>
      <c r="AM81" s="1" t="s">
        <v>244</v>
      </c>
      <c r="AN81" s="1" t="s">
        <v>244</v>
      </c>
      <c r="AO81" s="73">
        <v>81606442101</v>
      </c>
      <c r="AP81" t="str">
        <f>VLOOKUP(AO81,ОКТМО!B:J,6,0)</f>
        <v>Баунтовский эвенкийский муниципальный район</v>
      </c>
      <c r="AQ81" t="str">
        <f>VLOOKUP(AO81,ОКТМО!B:J,9,0)</f>
        <v>Витимское</v>
      </c>
    </row>
    <row r="82" spans="6:43">
      <c r="F82" t="s">
        <v>3179</v>
      </c>
      <c r="G82" s="71" t="s">
        <v>3182</v>
      </c>
      <c r="H82" s="70">
        <v>98624414101</v>
      </c>
      <c r="I82" t="str">
        <f>VLOOKUP(H82,ОКТМО!B:M,12,0)</f>
        <v>Сегян-Кюёль</v>
      </c>
      <c r="J82" t="str">
        <f>VLOOKUP(H82,ОКТМО!B:M,6,0)</f>
        <v>Кобяйский муниципальный район</v>
      </c>
      <c r="U82">
        <v>80</v>
      </c>
      <c r="V82" t="s">
        <v>666</v>
      </c>
      <c r="W82" t="s">
        <v>2494</v>
      </c>
      <c r="X82" t="s">
        <v>2494</v>
      </c>
      <c r="Y82" s="70">
        <f>VLOOKUP(X82,ОКТМО!M:N,2,0)</f>
        <v>98646410101</v>
      </c>
      <c r="Z82" t="str">
        <f>VLOOKUP(X82,ОКТМО!M:N,1,0)</f>
        <v>Налимск</v>
      </c>
      <c r="AA82" t="str">
        <f>VLOOKUP(Y82,ОКТМО!B:J,9,0)</f>
        <v>Байдинский наслег</v>
      </c>
      <c r="AB82" t="str">
        <f>VLOOKUP(Y82,ОКТМО!B:J,6,0)</f>
        <v>Среднеколымский муниципальный район</v>
      </c>
      <c r="AK82" s="1">
        <v>80</v>
      </c>
      <c r="AL82" s="1" t="s">
        <v>24</v>
      </c>
      <c r="AM82" s="1" t="s">
        <v>247</v>
      </c>
      <c r="AN82" s="1" t="s">
        <v>247</v>
      </c>
      <c r="AO82" s="73">
        <v>76515000116</v>
      </c>
      <c r="AP82" t="str">
        <f>VLOOKUP(AO82,ОКТМО!B:J,6,0)</f>
        <v>Каларский муниципальный округ</v>
      </c>
      <c r="AQ82">
        <f>VLOOKUP(AO82,ОКТМО!B:J,9,0)</f>
        <v>0</v>
      </c>
    </row>
    <row r="83" spans="6:43">
      <c r="F83" t="s">
        <v>3183</v>
      </c>
      <c r="G83" s="71" t="s">
        <v>3148</v>
      </c>
      <c r="H83" s="70">
        <v>98633423101</v>
      </c>
      <c r="I83" t="str">
        <f>VLOOKUP(H83,ОКТМО!B:M,12,0)</f>
        <v>Хонуу</v>
      </c>
      <c r="J83" t="str">
        <f>VLOOKUP(H83,ОКТМО!B:M,6,0)</f>
        <v>Момский муниципальный район</v>
      </c>
      <c r="U83">
        <v>81</v>
      </c>
      <c r="V83" t="s">
        <v>666</v>
      </c>
      <c r="W83" t="s">
        <v>2148</v>
      </c>
      <c r="X83" t="s">
        <v>2148</v>
      </c>
      <c r="Y83" s="70">
        <f>VLOOKUP(X83,ОКТМО!M:N,2,0)</f>
        <v>98637437101</v>
      </c>
      <c r="Z83" t="str">
        <f>VLOOKUP(X83,ОКТМО!M:N,1,0)</f>
        <v>Колымское</v>
      </c>
      <c r="AA83" t="str">
        <f>VLOOKUP(Y83,ОКТМО!B:J,9,0)</f>
        <v>Чукотский национальный Халарчинский наслег</v>
      </c>
      <c r="AB83" t="str">
        <f>VLOOKUP(Y83,ОКТМО!B:J,6,0)</f>
        <v>Нижнеколымский муниципальный район</v>
      </c>
      <c r="AK83" s="1">
        <v>81</v>
      </c>
      <c r="AL83" s="1" t="s">
        <v>24</v>
      </c>
      <c r="AM83" s="1" t="s">
        <v>250</v>
      </c>
      <c r="AN83" s="1" t="s">
        <v>250</v>
      </c>
      <c r="AO83" s="73">
        <v>76515000116</v>
      </c>
      <c r="AP83" t="str">
        <f>VLOOKUP(AO83,ОКТМО!B:J,6,0)</f>
        <v>Каларский муниципальный округ</v>
      </c>
      <c r="AQ83">
        <f>VLOOKUP(AO83,ОКТМО!B:J,9,0)</f>
        <v>0</v>
      </c>
    </row>
    <row r="84" spans="6:43">
      <c r="F84" t="s">
        <v>3183</v>
      </c>
      <c r="G84" t="s">
        <v>2873</v>
      </c>
      <c r="H84" s="70">
        <v>98656151051</v>
      </c>
      <c r="I84" t="str">
        <f>VLOOKUP(H84,ОКТМО!B:M,12,0)</f>
        <v>Депутатский</v>
      </c>
      <c r="J84" t="str">
        <f>VLOOKUP(H84,ОКТМО!B:M,6,0)</f>
        <v>Усть-Янский муниципальный район</v>
      </c>
      <c r="U84">
        <v>82</v>
      </c>
      <c r="V84" t="s">
        <v>666</v>
      </c>
      <c r="W84" t="s">
        <v>2120</v>
      </c>
      <c r="X84" t="s">
        <v>2120</v>
      </c>
      <c r="Y84" s="70">
        <f>VLOOKUP(X84,ОКТМО!M:N,2,0)</f>
        <v>98637424101</v>
      </c>
      <c r="Z84" t="str">
        <f>VLOOKUP(X84,ОКТМО!M:N,1,0)</f>
        <v>Походск</v>
      </c>
      <c r="AA84" t="str">
        <f>VLOOKUP(Y84,ОКТМО!B:J,9,0)</f>
        <v>Походский наслег</v>
      </c>
      <c r="AB84" t="str">
        <f>VLOOKUP(Y84,ОКТМО!B:J,6,0)</f>
        <v>Нижнеколымский муниципальный район</v>
      </c>
      <c r="AK84" s="1">
        <v>82</v>
      </c>
      <c r="AL84" s="1" t="s">
        <v>24</v>
      </c>
      <c r="AM84" s="1" t="s">
        <v>253</v>
      </c>
      <c r="AN84" s="1" t="s">
        <v>253</v>
      </c>
      <c r="AO84" s="73">
        <v>25602101001</v>
      </c>
      <c r="AP84" t="str">
        <f>VLOOKUP(AO84,ОКТМО!B:J,6,0)</f>
        <v>Бодайбинский муниципальный район</v>
      </c>
      <c r="AQ84" t="str">
        <f>VLOOKUP(AO84,ОКТМО!B:J,9,0)</f>
        <v>Бодайбинское</v>
      </c>
    </row>
    <row r="85" spans="6:43">
      <c r="F85" t="s">
        <v>3183</v>
      </c>
      <c r="G85" t="s">
        <v>2160</v>
      </c>
      <c r="H85" s="70">
        <v>98639153106</v>
      </c>
      <c r="I85" t="str">
        <f>VLOOKUP(H85,ОКТМО!B:M,12,0)</f>
        <v>Делянкир</v>
      </c>
      <c r="J85" t="str">
        <f>VLOOKUP(H85,ОКТМО!B:M,6,0)</f>
        <v>Оймяконский муниципальный район</v>
      </c>
      <c r="U85">
        <v>83</v>
      </c>
      <c r="V85" t="s">
        <v>458</v>
      </c>
      <c r="W85" t="s">
        <v>1072</v>
      </c>
      <c r="X85" t="s">
        <v>1072</v>
      </c>
      <c r="Y85" s="70">
        <f>VLOOKUP(X85,ОКТМО!M:N,2,0)</f>
        <v>98608405101</v>
      </c>
      <c r="Z85" t="str">
        <f>VLOOKUP(X85,ОКТМО!M:N,1,0)</f>
        <v>Абага</v>
      </c>
      <c r="AA85" t="str">
        <f>VLOOKUP(Y85,ОКТМО!B:J,9,0)</f>
        <v>Абагинский наслег</v>
      </c>
      <c r="AB85" t="str">
        <f>VLOOKUP(Y85,ОКТМО!B:J,6,0)</f>
        <v>Амгинский муниципальный район</v>
      </c>
      <c r="AK85" s="1">
        <v>83</v>
      </c>
      <c r="AL85" s="1" t="s">
        <v>256</v>
      </c>
      <c r="AM85" s="1" t="s">
        <v>257</v>
      </c>
      <c r="AN85" s="11" t="s">
        <v>3087</v>
      </c>
      <c r="AO85" s="73">
        <v>76642701907</v>
      </c>
      <c r="AP85" t="str">
        <f>VLOOKUP(AO85,ОКТМО!B:J,6,0)</f>
        <v>Тунгиро-Олёкминский муниципальный район</v>
      </c>
      <c r="AQ85" t="str">
        <f>VLOOKUP(AO85,ОКТМО!B:J,9,0)</f>
        <v>Межселенная территория Тунгиро-Олёкминского муниципального района, находящаяся вне границ сельских поселений, с расположенными на этой территории с Моклакан, с Средняя Олёкма, с Гуля</v>
      </c>
    </row>
    <row r="86" spans="6:43">
      <c r="F86" t="s">
        <v>3183</v>
      </c>
      <c r="G86" t="s">
        <v>651</v>
      </c>
      <c r="H86" s="70">
        <v>98639410106</v>
      </c>
      <c r="I86" t="str">
        <f>VLOOKUP(H86,ОКТМО!B:M,12,0)</f>
        <v>Агаякан</v>
      </c>
      <c r="J86" t="str">
        <f>VLOOKUP(H86,ОКТМО!B:M,6,0)</f>
        <v>Оймяконский муниципальный район</v>
      </c>
      <c r="U86">
        <v>84</v>
      </c>
      <c r="V86" t="s">
        <v>458</v>
      </c>
      <c r="W86" t="s">
        <v>458</v>
      </c>
      <c r="X86" t="s">
        <v>458</v>
      </c>
      <c r="Y86" s="70">
        <f>VLOOKUP(X86,ОКТМО!M:N,2,0)</f>
        <v>98608432101</v>
      </c>
      <c r="Z86" t="str">
        <f>VLOOKUP(X86,ОКТМО!M:N,1,0)</f>
        <v>Амга</v>
      </c>
      <c r="AA86" t="str">
        <f>VLOOKUP(Y86,ОКТМО!B:J,9,0)</f>
        <v>Амгинский наслег</v>
      </c>
      <c r="AB86" t="str">
        <f>VLOOKUP(Y86,ОКТМО!B:J,6,0)</f>
        <v>Амгинский муниципальный район</v>
      </c>
      <c r="AK86" s="1">
        <v>84</v>
      </c>
      <c r="AL86" s="1" t="s">
        <v>256</v>
      </c>
      <c r="AM86" s="1" t="s">
        <v>260</v>
      </c>
      <c r="AN86" s="1" t="s">
        <v>260</v>
      </c>
      <c r="AO86" s="73">
        <v>98641425101</v>
      </c>
      <c r="AP86" t="str">
        <f>VLOOKUP(AO86,ОКТМО!B:J,6,0)</f>
        <v>Олекминский муниципальный район</v>
      </c>
      <c r="AQ86" t="str">
        <f>VLOOKUP(AO86,ОКТМО!B:J,9,0)</f>
        <v>Киндигирский национальный наслег</v>
      </c>
    </row>
    <row r="87" spans="6:43">
      <c r="F87" t="s">
        <v>3184</v>
      </c>
      <c r="G87" t="s">
        <v>3019</v>
      </c>
      <c r="H87" s="70">
        <v>98659420101</v>
      </c>
      <c r="I87" t="str">
        <f>VLOOKUP(H87,ОКТМО!B:M,12,0)</f>
        <v>Батагай-Алыта</v>
      </c>
      <c r="J87" t="str">
        <f>VLOOKUP(H87,ОКТМО!B:M,6,0)</f>
        <v>Эвено-Бытантайский национальный муниципальный район</v>
      </c>
      <c r="U87">
        <v>85</v>
      </c>
      <c r="V87" t="s">
        <v>458</v>
      </c>
      <c r="W87" t="s">
        <v>1109</v>
      </c>
      <c r="X87" t="s">
        <v>1109</v>
      </c>
      <c r="Y87" s="70">
        <f>VLOOKUP(X87,ОКТМО!M:N,2,0)</f>
        <v>98608455101</v>
      </c>
      <c r="Z87" t="str">
        <f>VLOOKUP(X87,ОКТМО!M:N,1,0)</f>
        <v>Мяндиги</v>
      </c>
      <c r="AA87" t="str">
        <f>VLOOKUP(Y87,ОКТМО!B:J,9,0)</f>
        <v>Мяндигинский наслег</v>
      </c>
      <c r="AB87" t="str">
        <f>VLOOKUP(Y87,ОКТМО!B:J,6,0)</f>
        <v>Амгинский муниципальный район</v>
      </c>
      <c r="AK87" s="1">
        <v>85</v>
      </c>
      <c r="AL87" s="1" t="s">
        <v>256</v>
      </c>
      <c r="AM87" s="1" t="s">
        <v>263</v>
      </c>
      <c r="AN87" s="11" t="s">
        <v>2251</v>
      </c>
      <c r="AO87" s="73">
        <v>98641425101</v>
      </c>
      <c r="AP87" t="str">
        <f>VLOOKUP(AO87,ОКТМО!B:J,6,0)</f>
        <v>Олекминский муниципальный район</v>
      </c>
      <c r="AQ87" t="str">
        <f>VLOOKUP(AO87,ОКТМО!B:J,9,0)</f>
        <v>Киндигирский национальный наслег</v>
      </c>
    </row>
    <row r="88" spans="6:43">
      <c r="F88" t="s">
        <v>3184</v>
      </c>
      <c r="G88" t="s">
        <v>622</v>
      </c>
      <c r="H88" s="70">
        <v>98616151111</v>
      </c>
      <c r="I88" t="str">
        <f>VLOOKUP(H88,ОКТМО!B:M,12,0)</f>
        <v>Усть-Чаркы</v>
      </c>
      <c r="J88" t="str">
        <f>VLOOKUP(H88,ОКТМО!B:M,6,0)</f>
        <v>Верхоянский муниципальный район</v>
      </c>
      <c r="U88">
        <v>86</v>
      </c>
      <c r="V88" t="s">
        <v>458</v>
      </c>
      <c r="W88" t="s">
        <v>1132</v>
      </c>
      <c r="X88" t="s">
        <v>1132</v>
      </c>
      <c r="Y88" s="70">
        <f>VLOOKUP(X88,ОКТМО!M:N,2,0)</f>
        <v>98608472101</v>
      </c>
      <c r="Z88" t="str">
        <f>VLOOKUP(X88,ОКТМО!M:N,1,0)</f>
        <v>Чапчылган</v>
      </c>
      <c r="AA88" t="str">
        <f>VLOOKUP(Y88,ОКТМО!B:J,9,0)</f>
        <v>Чапчылганский наслег</v>
      </c>
      <c r="AB88" t="str">
        <f>VLOOKUP(Y88,ОКТМО!B:J,6,0)</f>
        <v>Амгинский муниципальный район</v>
      </c>
      <c r="AK88" s="1">
        <v>86</v>
      </c>
      <c r="AL88" s="1" t="s">
        <v>256</v>
      </c>
      <c r="AM88" s="1" t="s">
        <v>266</v>
      </c>
      <c r="AN88" s="65" t="s">
        <v>2329</v>
      </c>
      <c r="AO88" s="73">
        <v>98641470101</v>
      </c>
      <c r="AP88" t="str">
        <f>VLOOKUP(AO88,ОКТМО!B:J,6,0)</f>
        <v>Олекминский муниципальный район</v>
      </c>
      <c r="AQ88" t="str">
        <f>VLOOKUP(AO88,ОКТМО!B:J,9,0)</f>
        <v>Троицкий наслег</v>
      </c>
    </row>
    <row r="89" spans="6:43">
      <c r="F89" t="s">
        <v>3185</v>
      </c>
      <c r="G89" t="s">
        <v>582</v>
      </c>
      <c r="H89" s="70">
        <v>98612445101</v>
      </c>
      <c r="I89" t="str">
        <f>VLOOKUP(H89,ОКТМО!B:M,12,0)</f>
        <v>Таймылыр</v>
      </c>
      <c r="J89" t="str">
        <f>VLOOKUP(H89,ОКТМО!B:M,6,0)</f>
        <v>Булунский муниципальный район</v>
      </c>
      <c r="U89">
        <v>87</v>
      </c>
      <c r="V89" t="s">
        <v>458</v>
      </c>
      <c r="W89" t="s">
        <v>1080</v>
      </c>
      <c r="X89" t="s">
        <v>1080</v>
      </c>
      <c r="Y89" s="70">
        <f>VLOOKUP(X89,ОКТМО!M:N,2,0)</f>
        <v>98608429101</v>
      </c>
      <c r="Z89" t="str">
        <f>VLOOKUP(X89,ОКТМО!M:N,1,0)</f>
        <v>Оннёс</v>
      </c>
      <c r="AA89" t="str">
        <f>VLOOKUP(Y89,ОКТМО!B:J,9,0)</f>
        <v>Амгино-Нахаринский наслег</v>
      </c>
      <c r="AB89" t="str">
        <f>VLOOKUP(Y89,ОКТМО!B:J,6,0)</f>
        <v>Амгинский муниципальный район</v>
      </c>
      <c r="AK89" s="1">
        <v>87</v>
      </c>
      <c r="AL89" s="1" t="s">
        <v>269</v>
      </c>
      <c r="AM89" s="1" t="s">
        <v>269</v>
      </c>
      <c r="AN89" s="1" t="s">
        <v>269</v>
      </c>
      <c r="AO89" s="73">
        <v>98641490101</v>
      </c>
      <c r="AP89" t="str">
        <f>VLOOKUP(AO89,ОКТМО!B:J,6,0)</f>
        <v>Олекминский муниципальный район</v>
      </c>
      <c r="AQ89" t="str">
        <f>VLOOKUP(AO89,ОКТМО!B:J,9,0)</f>
        <v>Чаринский национальный наслег</v>
      </c>
    </row>
    <row r="90" spans="6:43">
      <c r="F90" t="s">
        <v>3185</v>
      </c>
      <c r="G90" t="s">
        <v>832</v>
      </c>
      <c r="H90" s="70">
        <v>98642437101</v>
      </c>
      <c r="I90" t="str">
        <f>VLOOKUP(H90,ОКТМО!B:M,12,0)</f>
        <v>Оленек</v>
      </c>
      <c r="J90" t="str">
        <f>VLOOKUP(H90,ОКТМО!B:M,6,0)</f>
        <v>Оленекский эвенкийский национальный муниципальный район</v>
      </c>
      <c r="U90">
        <v>88</v>
      </c>
      <c r="V90" t="s">
        <v>458</v>
      </c>
      <c r="W90" t="s">
        <v>1034</v>
      </c>
      <c r="X90" t="s">
        <v>1034</v>
      </c>
      <c r="Y90" s="70">
        <f>VLOOKUP(X90,ОКТМО!M:N,2,0)</f>
        <v>98604460101</v>
      </c>
      <c r="Z90" t="str">
        <f>VLOOKUP(X90,ОКТМО!M:N,1,0)</f>
        <v>Чымнайи</v>
      </c>
      <c r="AA90" t="str">
        <f>VLOOKUP(Y90,ОКТМО!B:J,9,0)</f>
        <v>Усть-Амгинский наслег</v>
      </c>
      <c r="AB90" t="str">
        <f>VLOOKUP(Y90,ОКТМО!B:J,6,0)</f>
        <v>Таттинский муниципальный район</v>
      </c>
      <c r="AK90" s="1">
        <v>88</v>
      </c>
      <c r="AL90" s="1" t="s">
        <v>269</v>
      </c>
      <c r="AM90" s="1" t="s">
        <v>272</v>
      </c>
      <c r="AN90" s="65" t="s">
        <v>1518</v>
      </c>
      <c r="AO90" s="73">
        <v>98641490101</v>
      </c>
      <c r="AP90" t="str">
        <f>VLOOKUP(AO90,ОКТМО!B:J,6,0)</f>
        <v>Олекминский муниципальный район</v>
      </c>
      <c r="AQ90" t="str">
        <f>VLOOKUP(AO90,ОКТМО!B:J,9,0)</f>
        <v>Чаринский национальный наслег</v>
      </c>
    </row>
    <row r="91" spans="6:43">
      <c r="F91" t="s">
        <v>3186</v>
      </c>
      <c r="G91" t="s">
        <v>567</v>
      </c>
      <c r="H91" s="70">
        <v>98610411101</v>
      </c>
      <c r="I91" t="str">
        <f>VLOOKUP(H91,ОКТМО!B:M,12,0)</f>
        <v>Саскылах</v>
      </c>
      <c r="J91" t="str">
        <f>VLOOKUP(H91,ОКТМО!B:M,6,0)</f>
        <v>Анабарский национальный (долгано-эвенкийский) муниципальный район</v>
      </c>
      <c r="U91">
        <v>89</v>
      </c>
      <c r="V91" t="s">
        <v>458</v>
      </c>
      <c r="W91" t="s">
        <v>3187</v>
      </c>
      <c r="X91" s="71" t="s">
        <v>991</v>
      </c>
      <c r="Y91" s="70">
        <f>VLOOKUP(X91,ОКТМО!M:N,2,0)</f>
        <v>98604418101</v>
      </c>
      <c r="Z91" t="str">
        <f>VLOOKUP(X91,ОКТМО!M:N,1,0)</f>
        <v>Дайа-Амгата</v>
      </c>
      <c r="AA91" t="str">
        <f>VLOOKUP(Y91,ОКТМО!B:J,9,0)</f>
        <v>Дайа-Амгинский наслег</v>
      </c>
      <c r="AB91" t="str">
        <f>VLOOKUP(Y91,ОКТМО!B:J,6,0)</f>
        <v>Таттинский муниципальный район</v>
      </c>
      <c r="AK91" s="1">
        <v>89</v>
      </c>
      <c r="AL91" s="1" t="s">
        <v>269</v>
      </c>
      <c r="AM91" s="1" t="s">
        <v>275</v>
      </c>
      <c r="AN91" s="1" t="s">
        <v>275</v>
      </c>
      <c r="AO91" s="73">
        <v>98641420101</v>
      </c>
      <c r="AP91" t="str">
        <f>VLOOKUP(AO91,ОКТМО!B:J,6,0)</f>
        <v>Олекминский муниципальный район</v>
      </c>
      <c r="AQ91" t="str">
        <f>VLOOKUP(AO91,ОКТМО!B:J,9,0)</f>
        <v>Жарханский национальный наслег</v>
      </c>
    </row>
    <row r="92" spans="6:43">
      <c r="F92" t="s">
        <v>3156</v>
      </c>
      <c r="G92" s="71" t="s">
        <v>3188</v>
      </c>
      <c r="H92" s="70">
        <v>98642450101</v>
      </c>
      <c r="I92" t="str">
        <f>VLOOKUP(H92,ОКТМО!B:M,12,0)</f>
        <v>Эйик</v>
      </c>
      <c r="J92" t="str">
        <f>VLOOKUP(H92,ОКТМО!B:M,6,0)</f>
        <v>Оленекский эвенкийский национальный муниципальный район</v>
      </c>
      <c r="U92">
        <v>90</v>
      </c>
      <c r="V92" t="s">
        <v>458</v>
      </c>
      <c r="W92" t="s">
        <v>1018</v>
      </c>
      <c r="X92" t="s">
        <v>1018</v>
      </c>
      <c r="Y92" s="70">
        <f>VLOOKUP(X92,ОКТМО!M:N,2,0)</f>
        <v>98604440101</v>
      </c>
      <c r="Z92" t="str">
        <f>VLOOKUP(X92,ОКТМО!M:N,1,0)</f>
        <v>Харбалах</v>
      </c>
      <c r="AA92" t="str">
        <f>VLOOKUP(Y92,ОКТМО!B:J,9,0)</f>
        <v>Средне-Амгинский наслег</v>
      </c>
      <c r="AB92" t="str">
        <f>VLOOKUP(Y92,ОКТМО!B:J,6,0)</f>
        <v>Таттинский муниципальный район</v>
      </c>
      <c r="AK92" s="1">
        <v>90</v>
      </c>
      <c r="AL92" s="1" t="s">
        <v>278</v>
      </c>
      <c r="AM92" s="1" t="s">
        <v>279</v>
      </c>
      <c r="AN92" s="1" t="s">
        <v>279</v>
      </c>
      <c r="AO92" s="73">
        <v>98641475101</v>
      </c>
      <c r="AP92" t="str">
        <f>VLOOKUP(AO92,ОКТМО!B:J,6,0)</f>
        <v>Олекминский муниципальный район</v>
      </c>
      <c r="AQ92" t="str">
        <f>VLOOKUP(AO92,ОКТМО!B:J,9,0)</f>
        <v>Тянский национальный наслег</v>
      </c>
    </row>
    <row r="93" spans="6:43">
      <c r="F93" t="s">
        <v>3156</v>
      </c>
      <c r="G93" t="s">
        <v>516</v>
      </c>
      <c r="H93" s="70">
        <v>98624405111</v>
      </c>
      <c r="I93" t="str">
        <f>VLOOKUP(H93,ОКТМО!B:M,12,0)</f>
        <v>Хатырык-Хомо</v>
      </c>
      <c r="J93" t="str">
        <f>VLOOKUP(H93,ОКТМО!B:M,6,0)</f>
        <v>Кобяйский муниципальный район</v>
      </c>
      <c r="U93">
        <v>91</v>
      </c>
      <c r="V93" t="s">
        <v>458</v>
      </c>
      <c r="W93" t="s">
        <v>2954</v>
      </c>
      <c r="X93" t="s">
        <v>2954</v>
      </c>
      <c r="Y93" s="70">
        <f>VLOOKUP(X93,ОКТМО!M:N,2,0)</f>
        <v>98658435101</v>
      </c>
      <c r="Z93" t="str">
        <f>VLOOKUP(X93,ОКТМО!M:N,1,0)</f>
        <v>Мырыла</v>
      </c>
      <c r="AA93" t="str">
        <f>VLOOKUP(Y93,ОКТМО!B:J,9,0)</f>
        <v>Соловьевский наслег</v>
      </c>
      <c r="AB93" t="str">
        <f>VLOOKUP(Y93,ОКТМО!B:J,6,0)</f>
        <v>Чурапчинский муниципальный район</v>
      </c>
      <c r="AK93" s="1">
        <v>91</v>
      </c>
      <c r="AL93" s="1" t="s">
        <v>282</v>
      </c>
      <c r="AM93" s="1" t="s">
        <v>282</v>
      </c>
      <c r="AN93" s="1" t="s">
        <v>282</v>
      </c>
      <c r="AO93" s="73">
        <v>98644423101</v>
      </c>
      <c r="AP93" t="str">
        <f>VLOOKUP(AO93,ОКТМО!B:J,6,0)</f>
        <v>Хангаласский муниципальный район</v>
      </c>
      <c r="AQ93" t="str">
        <f>VLOOKUP(AO93,ОКТМО!B:J,9,0)</f>
        <v>Мальжагарский 1-й наслег</v>
      </c>
    </row>
    <row r="94" spans="6:43">
      <c r="F94" t="s">
        <v>3156</v>
      </c>
      <c r="G94" t="s">
        <v>1963</v>
      </c>
      <c r="H94" s="70">
        <v>98631152051</v>
      </c>
      <c r="I94" t="str">
        <f>VLOOKUP(H94,ОКТМО!B:M,12,0)</f>
        <v>Айхал</v>
      </c>
      <c r="J94" t="str">
        <f>VLOOKUP(H94,ОКТМО!B:M,6,0)</f>
        <v>Мирнинский муниципальный район</v>
      </c>
      <c r="U94">
        <v>92</v>
      </c>
      <c r="V94" t="s">
        <v>458</v>
      </c>
      <c r="W94" t="s">
        <v>2927</v>
      </c>
      <c r="X94" t="s">
        <v>2927</v>
      </c>
      <c r="Y94" s="70">
        <f>VLOOKUP(X94,ОКТМО!M:N,2,0)</f>
        <v>98658415101</v>
      </c>
      <c r="Z94" t="str">
        <f>VLOOKUP(X94,ОКТМО!M:N,1,0)</f>
        <v>Мындагай</v>
      </c>
      <c r="AA94" t="str">
        <f>VLOOKUP(Y94,ОКТМО!B:J,9,0)</f>
        <v>Болугурский наслег</v>
      </c>
      <c r="AB94" t="str">
        <f>VLOOKUP(Y94,ОКТМО!B:J,6,0)</f>
        <v>Чурапчинский муниципальный район</v>
      </c>
      <c r="AK94" s="1">
        <v>92</v>
      </c>
      <c r="AL94" s="1" t="s">
        <v>285</v>
      </c>
      <c r="AM94" s="1" t="s">
        <v>286</v>
      </c>
      <c r="AN94" s="1" t="s">
        <v>129</v>
      </c>
      <c r="AO94" s="73">
        <v>98701000001</v>
      </c>
      <c r="AP94" t="str">
        <f>VLOOKUP(AO94,ОКТМО!B:J,6,0)</f>
        <v>Городской округ Город Якутск</v>
      </c>
      <c r="AQ94" t="str">
        <f>VLOOKUP(AO94,ОКТМО!B:J,9,0)</f>
        <v>город Якутск</v>
      </c>
    </row>
    <row r="95" spans="6:43">
      <c r="F95" t="s">
        <v>3156</v>
      </c>
      <c r="G95" t="s">
        <v>498</v>
      </c>
      <c r="H95" s="70">
        <v>98648430101</v>
      </c>
      <c r="I95" t="str">
        <f>VLOOKUP(H95,ОКТМО!B:M,12,0)</f>
        <v>Крестях</v>
      </c>
      <c r="J95" t="str">
        <f>VLOOKUP(H95,ОКТМО!B:M,6,0)</f>
        <v>Сунтарский муниципальный район</v>
      </c>
      <c r="U95">
        <v>93</v>
      </c>
      <c r="V95" t="s">
        <v>513</v>
      </c>
      <c r="W95" t="s">
        <v>513</v>
      </c>
      <c r="X95" t="s">
        <v>513</v>
      </c>
      <c r="Y95" s="70">
        <f>VLOOKUP(X95,ОКТМО!M:N,2,0)</f>
        <v>98618101001</v>
      </c>
      <c r="Z95" t="str">
        <f>VLOOKUP(X95,ОКТМО!M:N,1,0)</f>
        <v>Вилюйск</v>
      </c>
      <c r="AA95" t="str">
        <f>VLOOKUP(Y95,ОКТМО!B:J,9,0)</f>
        <v>город Вилюйск</v>
      </c>
      <c r="AB95" t="str">
        <f>VLOOKUP(Y95,ОКТМО!B:J,6,0)</f>
        <v>Вилюйский муниципальный район</v>
      </c>
      <c r="AK95" s="1">
        <v>93</v>
      </c>
      <c r="AL95" s="1" t="s">
        <v>289</v>
      </c>
      <c r="AM95" s="1" t="s">
        <v>290</v>
      </c>
      <c r="AN95" s="65" t="s">
        <v>1555</v>
      </c>
      <c r="AO95" s="73">
        <v>98620449101</v>
      </c>
      <c r="AP95" t="str">
        <f>VLOOKUP(AO95,ОКТМО!B:J,6,0)</f>
        <v>Горный муниципальный район</v>
      </c>
      <c r="AQ95" t="str">
        <f>VLOOKUP(AO95,ОКТМО!B:J,9,0)</f>
        <v>Одунунский наслег</v>
      </c>
    </row>
    <row r="96" spans="6:43">
      <c r="F96" t="s">
        <v>3179</v>
      </c>
      <c r="G96" s="71" t="s">
        <v>3189</v>
      </c>
      <c r="H96" s="70">
        <v>98654166051</v>
      </c>
      <c r="I96" t="str">
        <f>VLOOKUP(H96,ОКТМО!B:M,12,0)</f>
        <v>Югоренок</v>
      </c>
      <c r="J96" t="str">
        <f>VLOOKUP(H96,ОКТМО!B:M,6,0)</f>
        <v>Усть-Майский муниципальный район</v>
      </c>
      <c r="U96">
        <v>94</v>
      </c>
      <c r="V96" t="s">
        <v>513</v>
      </c>
      <c r="W96" t="s">
        <v>504</v>
      </c>
      <c r="X96" t="s">
        <v>504</v>
      </c>
      <c r="Y96" s="70">
        <f>VLOOKUP(X96,ОКТМО!M:N,2,0)</f>
        <v>98626101001</v>
      </c>
      <c r="Z96" t="str">
        <f>VLOOKUP(X96,ОКТМО!M:N,1,0)</f>
        <v>Нюрба</v>
      </c>
      <c r="AA96" t="str">
        <f>VLOOKUP(Y96,ОКТМО!B:J,9,0)</f>
        <v>город Нюрба</v>
      </c>
      <c r="AB96" t="str">
        <f>VLOOKUP(Y96,ОКТМО!B:J,6,0)</f>
        <v>Нюрбинский муниципальный район</v>
      </c>
      <c r="AK96" s="1">
        <v>94</v>
      </c>
      <c r="AL96" s="1" t="s">
        <v>293</v>
      </c>
      <c r="AM96" s="1" t="s">
        <v>294</v>
      </c>
      <c r="AN96" s="65" t="s">
        <v>1522</v>
      </c>
      <c r="AO96" s="73">
        <v>98620410101</v>
      </c>
      <c r="AP96" t="str">
        <f>VLOOKUP(AO96,ОКТМО!B:J,6,0)</f>
        <v>Горный муниципальный район</v>
      </c>
      <c r="AQ96" t="str">
        <f>VLOOKUP(AO96,ОКТМО!B:J,9,0)</f>
        <v>Бердигестяхский наслег</v>
      </c>
    </row>
    <row r="97" spans="6:43">
      <c r="U97">
        <v>95</v>
      </c>
      <c r="V97" t="s">
        <v>513</v>
      </c>
      <c r="W97" t="s">
        <v>3190</v>
      </c>
      <c r="X97" s="71" t="s">
        <v>1689</v>
      </c>
      <c r="Y97" s="70">
        <f>VLOOKUP(X97,ОКТМО!M:N,2,0)</f>
        <v>98626415101</v>
      </c>
      <c r="Z97" t="str">
        <f>VLOOKUP(X97,ОКТМО!M:N,1,0)</f>
        <v>Жархан</v>
      </c>
      <c r="AA97" t="str">
        <f>VLOOKUP(Y97,ОКТМО!B:J,9,0)</f>
        <v>Жарханский наслег</v>
      </c>
      <c r="AB97" t="str">
        <f>VLOOKUP(Y97,ОКТМО!B:J,6,0)</f>
        <v>Нюрбинский муниципальный район</v>
      </c>
      <c r="AC97" t="s">
        <v>3191</v>
      </c>
      <c r="AK97" s="1">
        <v>95</v>
      </c>
      <c r="AL97" s="1" t="s">
        <v>297</v>
      </c>
      <c r="AM97" s="1" t="s">
        <v>272</v>
      </c>
      <c r="AN97" s="65" t="s">
        <v>1518</v>
      </c>
      <c r="AO97" s="73">
        <v>98641490101</v>
      </c>
      <c r="AP97" t="str">
        <f>VLOOKUP(AO97,ОКТМО!B:J,6,0)</f>
        <v>Олекминский муниципальный район</v>
      </c>
      <c r="AQ97" t="str">
        <f>VLOOKUP(AO97,ОКТМО!B:J,9,0)</f>
        <v>Чаринский национальный наслег</v>
      </c>
    </row>
    <row r="98" spans="6:43">
      <c r="U98">
        <v>96</v>
      </c>
      <c r="V98" t="s">
        <v>588</v>
      </c>
      <c r="W98" t="s">
        <v>2899</v>
      </c>
      <c r="X98" t="s">
        <v>2899</v>
      </c>
      <c r="Y98" s="70">
        <f>VLOOKUP(X98,ОКТМО!M:N,2,0)</f>
        <v>98656425101</v>
      </c>
      <c r="Z98" t="str">
        <f>VLOOKUP(X98,ОКТМО!M:N,1,0)</f>
        <v>Усть-Янск</v>
      </c>
      <c r="AA98" t="str">
        <f>VLOOKUP(Y98,ОКТМО!B:J,9,0)</f>
        <v>Усть-Янский национальный наслег</v>
      </c>
      <c r="AB98" t="str">
        <f>VLOOKUP(Y98,ОКТМО!B:J,6,0)</f>
        <v>Усть-Янский муниципальный район</v>
      </c>
      <c r="AK98" s="1">
        <v>96</v>
      </c>
      <c r="AL98" s="1" t="s">
        <v>300</v>
      </c>
      <c r="AM98" s="1" t="s">
        <v>301</v>
      </c>
      <c r="AN98" s="65" t="s">
        <v>1567</v>
      </c>
      <c r="AO98" s="73">
        <v>98620465101</v>
      </c>
      <c r="AP98" t="str">
        <f>VLOOKUP(AO98,ОКТМО!B:J,6,0)</f>
        <v>Горный муниципальный район</v>
      </c>
      <c r="AQ98" t="str">
        <f>VLOOKUP(AO98,ОКТМО!B:J,9,0)</f>
        <v>Шологонский наслег</v>
      </c>
    </row>
    <row r="99" spans="6:43">
      <c r="F99" t="s">
        <v>3192</v>
      </c>
      <c r="U99">
        <v>97</v>
      </c>
      <c r="V99" t="s">
        <v>588</v>
      </c>
      <c r="W99" t="s">
        <v>592</v>
      </c>
      <c r="X99" t="s">
        <v>592</v>
      </c>
      <c r="Y99" s="70">
        <f>VLOOKUP(X99,ОКТМО!M:N,2,0)</f>
        <v>98616151051</v>
      </c>
      <c r="Z99" t="str">
        <f>VLOOKUP(X99,ОКТМО!M:N,1,0)</f>
        <v>Батагай</v>
      </c>
      <c r="AA99" t="str">
        <f>VLOOKUP(Y99,ОКТМО!B:J,9,0)</f>
        <v>поселок Батагай</v>
      </c>
      <c r="AB99" t="str">
        <f>VLOOKUP(Y99,ОКТМО!B:J,6,0)</f>
        <v>Верхоянский муниципальный район</v>
      </c>
      <c r="AK99" s="1">
        <v>97</v>
      </c>
      <c r="AL99" s="1" t="s">
        <v>304</v>
      </c>
      <c r="AM99" s="1" t="s">
        <v>305</v>
      </c>
      <c r="AN99" s="65" t="s">
        <v>1076</v>
      </c>
      <c r="AO99" s="73">
        <v>98608414101</v>
      </c>
      <c r="AP99" t="str">
        <f>VLOOKUP(AO99,ОКТМО!B:J,6,0)</f>
        <v>Амгинский муниципальный район</v>
      </c>
      <c r="AQ99" t="str">
        <f>VLOOKUP(AO99,ОКТМО!B:J,9,0)</f>
        <v>Алтанский наслег</v>
      </c>
    </row>
    <row r="100" spans="6:43">
      <c r="F100" t="s">
        <v>3175</v>
      </c>
      <c r="G100" t="s">
        <v>3193</v>
      </c>
      <c r="H100" s="76">
        <v>98622405101</v>
      </c>
      <c r="I100" t="str">
        <f>VLOOKUP(H100,ОКТМО!B:M,12,0)</f>
        <v>Бестях</v>
      </c>
      <c r="J100" t="str">
        <f>VLOOKUP(H100,ОКТМО!B:M,6,0)</f>
        <v>Жиганский национальный эвенкийский муниципальный район</v>
      </c>
      <c r="U100">
        <v>98</v>
      </c>
      <c r="V100" t="s">
        <v>588</v>
      </c>
      <c r="W100" t="s">
        <v>2884</v>
      </c>
      <c r="X100" t="s">
        <v>2884</v>
      </c>
      <c r="Y100" s="70">
        <f>VLOOKUP(X100,ОКТМО!M:N,2,0)</f>
        <v>98656405101</v>
      </c>
      <c r="Z100" t="str">
        <f>VLOOKUP(X100,ОКТМО!M:N,1,0)</f>
        <v>Казачье</v>
      </c>
      <c r="AA100" t="str">
        <f>VLOOKUP(Y100,ОКТМО!B:J,9,0)</f>
        <v>Казачинский национальный наслег</v>
      </c>
      <c r="AB100" t="str">
        <f>VLOOKUP(Y100,ОКТМО!B:J,6,0)</f>
        <v>Усть-Янский муниципальный район</v>
      </c>
      <c r="AK100" s="1">
        <v>98</v>
      </c>
      <c r="AL100" s="1" t="s">
        <v>304</v>
      </c>
      <c r="AM100" s="1" t="s">
        <v>308</v>
      </c>
      <c r="AN100" s="65" t="s">
        <v>1113</v>
      </c>
      <c r="AO100" s="73">
        <v>98608458101</v>
      </c>
      <c r="AP100" t="str">
        <f>VLOOKUP(AO100,ОКТМО!B:J,6,0)</f>
        <v>Амгинский муниципальный район</v>
      </c>
      <c r="AQ100" t="str">
        <f>VLOOKUP(AO100,ОКТМО!B:J,9,0)</f>
        <v>Сатагайский наслег</v>
      </c>
    </row>
    <row r="101" spans="6:43">
      <c r="F101" t="s">
        <v>3175</v>
      </c>
      <c r="G101" t="s">
        <v>219</v>
      </c>
      <c r="H101" s="76">
        <v>98622410101</v>
      </c>
      <c r="I101" t="str">
        <f>VLOOKUP(H101,ОКТМО!B:M,12,0)</f>
        <v>Жиганск</v>
      </c>
      <c r="J101" t="str">
        <f>VLOOKUP(H101,ОКТМО!B:M,6,0)</f>
        <v>Жиганский национальный эвенкийский муниципальный район</v>
      </c>
      <c r="U101">
        <v>99</v>
      </c>
      <c r="V101" t="s">
        <v>588</v>
      </c>
      <c r="W101" t="s">
        <v>3194</v>
      </c>
      <c r="X101" t="s">
        <v>3194</v>
      </c>
      <c r="Y101" s="70" t="e">
        <f>VLOOKUP(X101,ОКТМО!M:N,2,0)</f>
        <v>#N/A</v>
      </c>
      <c r="Z101" t="e">
        <f>VLOOKUP(X101,ОКТМО!M:N,1,0)</f>
        <v>#N/A</v>
      </c>
      <c r="AA101" t="e">
        <f>VLOOKUP(Y101,ОКТМО!B:J,9,0)</f>
        <v>#N/A</v>
      </c>
      <c r="AB101" t="e">
        <f>VLOOKUP(Y101,ОКТМО!B:J,6,0)</f>
        <v>#N/A</v>
      </c>
      <c r="AK101" s="1">
        <v>99</v>
      </c>
      <c r="AL101" s="1" t="s">
        <v>304</v>
      </c>
      <c r="AM101" s="1" t="s">
        <v>311</v>
      </c>
      <c r="AN101" s="65" t="s">
        <v>304</v>
      </c>
      <c r="AO101" s="73">
        <v>98629429101</v>
      </c>
      <c r="AP101" t="str">
        <f>VLOOKUP(AO101,ОКТМО!B:J,6,0)</f>
        <v>Мегино-Кангаласский муниципальный район</v>
      </c>
      <c r="AQ101" t="str">
        <f>VLOOKUP(AO101,ОКТМО!B:J,9,0)</f>
        <v>Мельжехсинский наслег</v>
      </c>
    </row>
    <row r="102" spans="6:43">
      <c r="F102" t="s">
        <v>3175</v>
      </c>
      <c r="G102" t="s">
        <v>231</v>
      </c>
      <c r="H102" s="76">
        <v>98627433101</v>
      </c>
      <c r="I102" t="str">
        <f>VLOOKUP(H102,ОКТМО!B:M,12,0)</f>
        <v>Орто-Нахара</v>
      </c>
      <c r="J102" t="str">
        <f>VLOOKUP(H102,ОКТМО!B:M,6,0)</f>
        <v>Ленский муниципальный район</v>
      </c>
      <c r="U102">
        <v>100</v>
      </c>
      <c r="V102" t="s">
        <v>566</v>
      </c>
      <c r="W102" t="s">
        <v>567</v>
      </c>
      <c r="X102" t="s">
        <v>567</v>
      </c>
      <c r="Y102" s="70">
        <f>VLOOKUP(X102,ОКТМО!M:N,2,0)</f>
        <v>98610411101</v>
      </c>
      <c r="Z102" t="str">
        <f>VLOOKUP(X102,ОКТМО!M:N,1,0)</f>
        <v>Саскылах</v>
      </c>
      <c r="AA102" t="str">
        <f>VLOOKUP(Y102,ОКТМО!B:J,9,0)</f>
        <v>Саскылахский национальный (эвенкийский) наслег</v>
      </c>
      <c r="AB102" t="str">
        <f>VLOOKUP(Y102,ОКТМО!B:J,6,0)</f>
        <v>Анабарский национальный (долгано-эвенкийский) муниципальный район</v>
      </c>
      <c r="AK102" s="1">
        <v>100</v>
      </c>
      <c r="AL102" s="1" t="s">
        <v>212</v>
      </c>
      <c r="AM102" s="1" t="s">
        <v>314</v>
      </c>
      <c r="AN102" s="65" t="s">
        <v>971</v>
      </c>
      <c r="AO102" s="73">
        <v>98624445101</v>
      </c>
      <c r="AP102" t="str">
        <f>VLOOKUP(AO102,ОКТМО!B:J,6,0)</f>
        <v>Кобяйский муниципальный район</v>
      </c>
      <c r="AQ102" t="str">
        <f>VLOOKUP(AO102,ОКТМО!B:J,9,0)</f>
        <v>Нижилинский наслег</v>
      </c>
    </row>
    <row r="103" spans="6:43">
      <c r="F103" t="s">
        <v>3175</v>
      </c>
      <c r="G103" t="s">
        <v>1776</v>
      </c>
      <c r="H103" s="76">
        <v>98627420106</v>
      </c>
      <c r="I103" t="str">
        <f>VLOOKUP(H103,ОКТМО!B:M,12,0)</f>
        <v>Дорожный</v>
      </c>
      <c r="J103" t="str">
        <f>VLOOKUP(H103,ОКТМО!B:M,6,0)</f>
        <v>Ленский муниципальный район</v>
      </c>
      <c r="U103">
        <v>101</v>
      </c>
      <c r="V103" t="s">
        <v>566</v>
      </c>
      <c r="W103" t="s">
        <v>1152</v>
      </c>
      <c r="X103" t="s">
        <v>1152</v>
      </c>
      <c r="Y103" s="70">
        <f>VLOOKUP(X103,ОКТМО!M:N,2,0)</f>
        <v>98610424101</v>
      </c>
      <c r="Z103" t="str">
        <f>VLOOKUP(X103,ОКТМО!M:N,1,0)</f>
        <v>Юрюнг-Хая</v>
      </c>
      <c r="AA103" t="str">
        <f>VLOOKUP(Y103,ОКТМО!B:J,9,0)</f>
        <v>Юрюнг-Хаинский национальный (долганский) наслег</v>
      </c>
      <c r="AB103" t="str">
        <f>VLOOKUP(Y103,ОКТМО!B:J,6,0)</f>
        <v>Анабарский национальный (долгано-эвенкийский) муниципальный район</v>
      </c>
      <c r="AK103" s="1">
        <v>101</v>
      </c>
      <c r="AL103" s="1" t="s">
        <v>317</v>
      </c>
      <c r="AM103" s="1" t="s">
        <v>318</v>
      </c>
      <c r="AN103" s="1" t="s">
        <v>318</v>
      </c>
      <c r="AO103" s="73">
        <v>98633423106</v>
      </c>
      <c r="AP103" t="str">
        <f>VLOOKUP(AO103,ОКТМО!B:J,6,0)</f>
        <v>Момский муниципальный район</v>
      </c>
      <c r="AQ103" t="str">
        <f>VLOOKUP(AO103,ОКТМО!B:J,9,0)</f>
        <v>Момский национальный наслег</v>
      </c>
    </row>
    <row r="104" spans="6:43">
      <c r="F104" t="s">
        <v>3175</v>
      </c>
      <c r="G104" t="s">
        <v>3195</v>
      </c>
      <c r="H104" s="76">
        <v>98641434106</v>
      </c>
      <c r="I104" t="str">
        <f>VLOOKUP(H104,ОКТМО!B:M,12,0)</f>
        <v>Килиер</v>
      </c>
      <c r="J104" t="str">
        <f>VLOOKUP(H104,ОКТМО!B:M,6,0)</f>
        <v>Олекминский муниципальный район</v>
      </c>
      <c r="U104">
        <v>102</v>
      </c>
      <c r="V104" t="s">
        <v>632</v>
      </c>
      <c r="W104" t="s">
        <v>2014</v>
      </c>
      <c r="X104" t="s">
        <v>2014</v>
      </c>
      <c r="Y104" s="70">
        <f>VLOOKUP(X104,ОКТМО!M:N,2,0)</f>
        <v>98633428101</v>
      </c>
      <c r="Z104" t="str">
        <f>VLOOKUP(X104,ОКТМО!M:N,1,0)</f>
        <v>Соболох</v>
      </c>
      <c r="AA104" t="str">
        <f>VLOOKUP(Y104,ОКТМО!B:J,9,0)</f>
        <v>Соболохский национальный наслег</v>
      </c>
      <c r="AB104" t="str">
        <f>VLOOKUP(Y104,ОКТМО!B:J,6,0)</f>
        <v>Момский муниципальный район</v>
      </c>
      <c r="AK104" s="1">
        <v>102</v>
      </c>
      <c r="AL104" s="1" t="s">
        <v>317</v>
      </c>
      <c r="AM104" s="1" t="s">
        <v>321</v>
      </c>
      <c r="AN104" s="65" t="s">
        <v>962</v>
      </c>
      <c r="AO104" s="73">
        <v>98603407101</v>
      </c>
      <c r="AP104" t="str">
        <f>VLOOKUP(AO104,ОКТМО!B:J,6,0)</f>
        <v>Алданский муниципальный район</v>
      </c>
      <c r="AQ104" t="str">
        <f>VLOOKUP(AO104,ОКТМО!B:J,9,0)</f>
        <v>Беллетский эвенкийский национальный наслег</v>
      </c>
    </row>
    <row r="105" spans="6:43">
      <c r="F105" t="s">
        <v>3179</v>
      </c>
      <c r="G105" t="s">
        <v>330</v>
      </c>
      <c r="H105" s="76">
        <v>98603460101</v>
      </c>
      <c r="I105" t="str">
        <f>VLOOKUP(H105,ОКТМО!B:M,12,0)</f>
        <v>Чагда</v>
      </c>
      <c r="J105" t="str">
        <f>VLOOKUP(H105,ОКТМО!B:M,6,0)</f>
        <v>Алданский муниципальный район</v>
      </c>
      <c r="U105">
        <v>103</v>
      </c>
      <c r="V105" t="s">
        <v>810</v>
      </c>
      <c r="W105" t="s">
        <v>810</v>
      </c>
      <c r="X105" t="s">
        <v>810</v>
      </c>
      <c r="Y105" s="70">
        <f>VLOOKUP(X105,ОКТМО!M:N,2,0)</f>
        <v>98631101106</v>
      </c>
      <c r="Z105" t="str">
        <f>VLOOKUP(X105,ОКТМО!M:N,1,0)</f>
        <v>Березовка</v>
      </c>
      <c r="AA105" t="str">
        <f>VLOOKUP(Y105,ОКТМО!B:J,9,0)</f>
        <v>город Мирный</v>
      </c>
      <c r="AB105" t="str">
        <f>VLOOKUP(Y105,ОКТМО!B:J,6,0)</f>
        <v>Мирнинский муниципальный район</v>
      </c>
      <c r="AK105" s="1">
        <v>103</v>
      </c>
      <c r="AL105" s="1" t="s">
        <v>317</v>
      </c>
      <c r="AM105" s="1" t="s">
        <v>324</v>
      </c>
      <c r="AN105" s="1" t="s">
        <v>324</v>
      </c>
      <c r="AO105" s="73">
        <v>98603105001</v>
      </c>
      <c r="AP105" t="str">
        <f>VLOOKUP(AO105,ОКТМО!B:J,6,0)</f>
        <v>Алданский муниципальный район</v>
      </c>
      <c r="AQ105" t="str">
        <f>VLOOKUP(AO105,ОКТМО!B:J,9,0)</f>
        <v>город Томмот</v>
      </c>
    </row>
    <row r="106" spans="6:43">
      <c r="F106" t="s">
        <v>3179</v>
      </c>
      <c r="G106" t="s">
        <v>401</v>
      </c>
      <c r="H106" s="76">
        <v>98603105106</v>
      </c>
      <c r="I106" t="str">
        <f>VLOOKUP(H106,ОКТМО!B:M,12,0)</f>
        <v>Ыллымах</v>
      </c>
      <c r="J106" t="str">
        <f>VLOOKUP(H106,ОКТМО!B:M,6,0)</f>
        <v>Алданский муниципальный район</v>
      </c>
      <c r="U106">
        <v>104</v>
      </c>
      <c r="V106" t="s">
        <v>45</v>
      </c>
      <c r="W106" t="s">
        <v>1790</v>
      </c>
      <c r="X106" t="s">
        <v>1790</v>
      </c>
      <c r="Y106" s="70">
        <f>VLOOKUP(X106,ОКТМО!M:N,2,0)</f>
        <v>98627433101</v>
      </c>
      <c r="Z106" t="str">
        <f>VLOOKUP(X106,ОКТМО!M:N,1,0)</f>
        <v>Орто-Нахара</v>
      </c>
      <c r="AA106" t="str">
        <f>VLOOKUP(Y106,ОКТМО!B:J,9,0)</f>
        <v>Орто-Нахаринский наслег</v>
      </c>
      <c r="AB106" t="str">
        <f>VLOOKUP(Y106,ОКТМО!B:J,6,0)</f>
        <v>Ленский муниципальный район</v>
      </c>
      <c r="AK106" s="1">
        <v>104</v>
      </c>
      <c r="AL106" s="1" t="s">
        <v>317</v>
      </c>
      <c r="AM106" s="1" t="s">
        <v>327</v>
      </c>
      <c r="AN106" s="1" t="s">
        <v>327</v>
      </c>
      <c r="AO106" s="73">
        <v>98603105001</v>
      </c>
      <c r="AP106" t="str">
        <f>VLOOKUP(AO106,ОКТМО!B:J,6,0)</f>
        <v>Алданский муниципальный район</v>
      </c>
      <c r="AQ106" t="str">
        <f>VLOOKUP(AO106,ОКТМО!B:J,9,0)</f>
        <v>город Томмот</v>
      </c>
    </row>
    <row r="107" spans="6:43">
      <c r="F107" t="s">
        <v>3179</v>
      </c>
      <c r="G107" t="s">
        <v>3196</v>
      </c>
      <c r="H107" s="76">
        <v>98603101111</v>
      </c>
      <c r="I107" t="str">
        <f>VLOOKUP(H107,ОКТМО!B:M,12,0)</f>
        <v>Большой Нимныр</v>
      </c>
      <c r="J107" t="str">
        <f>VLOOKUP(H107,ОКТМО!B:M,6,0)</f>
        <v>Алданский муниципальный район</v>
      </c>
      <c r="U107">
        <v>105</v>
      </c>
      <c r="V107" t="s">
        <v>279</v>
      </c>
      <c r="W107" t="s">
        <v>279</v>
      </c>
      <c r="X107" t="s">
        <v>279</v>
      </c>
      <c r="Y107" s="70">
        <f>VLOOKUP(X107,ОКТМО!M:N,2,0)</f>
        <v>98641475101</v>
      </c>
      <c r="Z107" t="str">
        <f>VLOOKUP(X107,ОКТМО!M:N,1,0)</f>
        <v>Тяня</v>
      </c>
      <c r="AA107" t="str">
        <f>VLOOKUP(Y107,ОКТМО!B:J,9,0)</f>
        <v>Тянский национальный наслег</v>
      </c>
      <c r="AB107" t="str">
        <f>VLOOKUP(Y107,ОКТМО!B:J,6,0)</f>
        <v>Олекминский муниципальный район</v>
      </c>
      <c r="AK107" s="1">
        <v>105</v>
      </c>
      <c r="AL107" s="1" t="s">
        <v>317</v>
      </c>
      <c r="AM107" s="1" t="s">
        <v>330</v>
      </c>
      <c r="AN107" s="11" t="s">
        <v>971</v>
      </c>
      <c r="AO107" s="73">
        <v>98603460101</v>
      </c>
      <c r="AP107" t="str">
        <f>VLOOKUP(AO107,ОКТМО!B:J,6,0)</f>
        <v>Алданский муниципальный район</v>
      </c>
      <c r="AQ107" t="str">
        <f>VLOOKUP(AO107,ОКТМО!B:J,9,0)</f>
        <v>Чагдинский наслег</v>
      </c>
    </row>
    <row r="108" spans="6:43">
      <c r="F108" t="s">
        <v>3179</v>
      </c>
      <c r="G108" t="s">
        <v>327</v>
      </c>
      <c r="H108" s="76">
        <v>98603105001</v>
      </c>
      <c r="I108" t="str">
        <f>VLOOKUP(H108,ОКТМО!B:M,12,0)</f>
        <v>Томмот</v>
      </c>
      <c r="J108" t="str">
        <f>VLOOKUP(H108,ОКТМО!B:M,6,0)</f>
        <v>Алданский муниципальный район</v>
      </c>
      <c r="U108">
        <v>106</v>
      </c>
      <c r="V108" t="s">
        <v>3197</v>
      </c>
      <c r="W108" t="s">
        <v>2329</v>
      </c>
      <c r="X108" t="s">
        <v>2329</v>
      </c>
      <c r="Y108" s="70">
        <f>VLOOKUP(X108,ОКТМО!M:N,2,0)</f>
        <v>98641470101</v>
      </c>
      <c r="Z108" t="str">
        <f>VLOOKUP(X108,ОКТМО!M:N,1,0)</f>
        <v>Троицк</v>
      </c>
      <c r="AA108" t="str">
        <f>VLOOKUP(Y108,ОКТМО!B:J,9,0)</f>
        <v>Троицкий наслег</v>
      </c>
      <c r="AB108" t="str">
        <f>VLOOKUP(Y108,ОКТМО!B:J,6,0)</f>
        <v>Олекминский муниципальный район</v>
      </c>
      <c r="AK108" s="1">
        <v>106</v>
      </c>
      <c r="AL108" s="1" t="s">
        <v>317</v>
      </c>
      <c r="AM108" s="1" t="s">
        <v>333</v>
      </c>
      <c r="AN108" s="1" t="s">
        <v>333</v>
      </c>
      <c r="AO108" s="73">
        <v>98654405101</v>
      </c>
      <c r="AP108" t="str">
        <f>VLOOKUP(AO108,ОКТМО!B:J,6,0)</f>
        <v>Усть-Майский муниципальный район</v>
      </c>
      <c r="AQ108" t="str">
        <f>VLOOKUP(AO108,ОКТМО!B:J,9,0)</f>
        <v>село Белькачи</v>
      </c>
    </row>
    <row r="109" spans="6:43">
      <c r="F109" t="s">
        <v>3179</v>
      </c>
      <c r="G109" t="s">
        <v>428</v>
      </c>
      <c r="H109" s="76">
        <v>98603460101</v>
      </c>
      <c r="I109" t="str">
        <f>VLOOKUP(H109,ОКТМО!B:M,12,0)</f>
        <v>Чагда</v>
      </c>
      <c r="J109" t="str">
        <f>VLOOKUP(H109,ОКТМО!B:M,6,0)</f>
        <v>Алданский муниципальный район</v>
      </c>
      <c r="U109">
        <v>107</v>
      </c>
      <c r="V109" t="s">
        <v>448</v>
      </c>
      <c r="W109" t="s">
        <v>1022</v>
      </c>
      <c r="X109" t="s">
        <v>1022</v>
      </c>
      <c r="Y109" s="70">
        <f>VLOOKUP(X109,ОКТМО!M:N,2,0)</f>
        <v>98604445101</v>
      </c>
      <c r="Z109" t="str">
        <f>VLOOKUP(X109,ОКТМО!M:N,1,0)</f>
        <v>Ытык-Кюёль</v>
      </c>
      <c r="AA109" t="str">
        <f>VLOOKUP(Y109,ОКТМО!B:J,9,0)</f>
        <v>Таттинский наслег</v>
      </c>
      <c r="AB109" t="str">
        <f>VLOOKUP(Y109,ОКТМО!B:J,6,0)</f>
        <v>Таттинский муниципальный район</v>
      </c>
      <c r="AK109" s="1">
        <v>107</v>
      </c>
      <c r="AL109" s="1" t="s">
        <v>317</v>
      </c>
      <c r="AM109" s="1" t="s">
        <v>336</v>
      </c>
      <c r="AN109" s="1" t="s">
        <v>336</v>
      </c>
      <c r="AO109" s="73">
        <v>98654415101</v>
      </c>
      <c r="AP109" t="str">
        <f>VLOOKUP(AO109,ОКТМО!B:J,6,0)</f>
        <v>Усть-Майский муниципальный район</v>
      </c>
      <c r="AQ109" t="str">
        <f>VLOOKUP(AO109,ОКТМО!B:J,9,0)</f>
        <v>село Усть-Миль</v>
      </c>
    </row>
    <row r="110" spans="6:43">
      <c r="F110" t="s">
        <v>3179</v>
      </c>
      <c r="G110" t="s">
        <v>2703</v>
      </c>
      <c r="H110" s="76">
        <v>98650435101</v>
      </c>
      <c r="I110" t="str">
        <f>VLOOKUP(H110,ОКТМО!B:M,12,0)</f>
        <v>Тополиное</v>
      </c>
      <c r="J110" t="str">
        <f>VLOOKUP(H110,ОКТМО!B:M,6,0)</f>
        <v>Томпонский муниципальный район</v>
      </c>
      <c r="U110">
        <v>108</v>
      </c>
      <c r="V110" t="s">
        <v>448</v>
      </c>
      <c r="W110" t="s">
        <v>1014</v>
      </c>
      <c r="X110" t="s">
        <v>1014</v>
      </c>
      <c r="Y110" s="70">
        <f>VLOOKUP(X110,ОКТМО!M:N,2,0)</f>
        <v>98604435101</v>
      </c>
      <c r="Z110" t="str">
        <f>VLOOKUP(X110,ОКТМО!M:N,1,0)</f>
        <v>Черкёх</v>
      </c>
      <c r="AA110" t="str">
        <f>VLOOKUP(Y110,ОКТМО!B:J,9,0)</f>
        <v>Октябрьский наслег</v>
      </c>
      <c r="AB110" t="str">
        <f>VLOOKUP(Y110,ОКТМО!B:J,6,0)</f>
        <v>Таттинский муниципальный район</v>
      </c>
      <c r="AK110" s="1">
        <v>108</v>
      </c>
      <c r="AL110" s="1" t="s">
        <v>317</v>
      </c>
      <c r="AM110" s="1" t="s">
        <v>339</v>
      </c>
      <c r="AN110" s="11" t="s">
        <v>2861</v>
      </c>
      <c r="AO110" s="73">
        <v>98654420101</v>
      </c>
      <c r="AP110" t="str">
        <f>VLOOKUP(AO110,ОКТМО!B:J,6,0)</f>
        <v>Усть-Майский муниципальный район</v>
      </c>
      <c r="AQ110" t="str">
        <f>VLOOKUP(AO110,ОКТМО!B:J,9,0)</f>
        <v>Петропавловский национальный наслег</v>
      </c>
    </row>
    <row r="111" spans="6:43">
      <c r="F111" t="s">
        <v>3156</v>
      </c>
      <c r="G111" t="s">
        <v>523</v>
      </c>
      <c r="H111" s="76">
        <v>98631162051</v>
      </c>
      <c r="I111" t="str">
        <f>VLOOKUP(H111,ОКТМО!B:M,12,0)</f>
        <v>Чернышевский</v>
      </c>
      <c r="J111" t="str">
        <f>VLOOKUP(H111,ОКТМО!B:M,6,0)</f>
        <v>Мирнинский муниципальный район</v>
      </c>
      <c r="U111">
        <v>109</v>
      </c>
      <c r="V111" t="s">
        <v>448</v>
      </c>
      <c r="W111" t="s">
        <v>996</v>
      </c>
      <c r="X111" t="s">
        <v>996</v>
      </c>
      <c r="Y111" s="70">
        <f>VLOOKUP(X111,ОКТМО!M:N,2,0)</f>
        <v>98604420101</v>
      </c>
      <c r="Z111" t="str">
        <f>VLOOKUP(X111,ОКТМО!M:N,1,0)</f>
        <v>Боробул</v>
      </c>
      <c r="AA111" t="str">
        <f>VLOOKUP(Y111,ОКТМО!B:J,9,0)</f>
        <v>Жохсогонский наслег</v>
      </c>
      <c r="AB111" t="str">
        <f>VLOOKUP(Y111,ОКТМО!B:J,6,0)</f>
        <v>Таттинский муниципальный район</v>
      </c>
      <c r="AK111" s="1"/>
      <c r="AL111" s="1" t="s">
        <v>317</v>
      </c>
      <c r="AM111" s="1" t="s">
        <v>3151</v>
      </c>
      <c r="AN111" s="11" t="s">
        <v>2861</v>
      </c>
      <c r="AO111" s="73">
        <v>98654420101</v>
      </c>
      <c r="AP111" t="str">
        <f>VLOOKUP(AO111,ОКТМО!B:J,6,0)</f>
        <v>Усть-Майский муниципальный район</v>
      </c>
      <c r="AQ111" t="str">
        <f>VLOOKUP(AO111,ОКТМО!B:J,9,0)</f>
        <v>Петропавловский национальный наслег</v>
      </c>
    </row>
    <row r="112" spans="6:43">
      <c r="F112" t="s">
        <v>3156</v>
      </c>
      <c r="G112" t="s">
        <v>530</v>
      </c>
      <c r="H112" s="76">
        <v>98631162051</v>
      </c>
      <c r="I112" t="str">
        <f>VLOOKUP(H112,ОКТМО!B:M,12,0)</f>
        <v>Чернышевский</v>
      </c>
      <c r="J112" t="str">
        <f>VLOOKUP(H112,ОКТМО!B:M,6,0)</f>
        <v>Мирнинский муниципальный район</v>
      </c>
      <c r="U112">
        <v>110</v>
      </c>
      <c r="V112" t="s">
        <v>448</v>
      </c>
      <c r="W112" t="s">
        <v>2944</v>
      </c>
      <c r="X112" t="s">
        <v>2944</v>
      </c>
      <c r="Y112" s="70">
        <f>VLOOKUP(X112,ОКТМО!M:N,2,0)</f>
        <v>98658430101</v>
      </c>
      <c r="Z112" t="str">
        <f>VLOOKUP(X112,ОКТМО!M:N,1,0)</f>
        <v>Дябыла</v>
      </c>
      <c r="AA112" t="str">
        <f>VLOOKUP(Y112,ОКТМО!B:J,9,0)</f>
        <v>Ожулунский наслег</v>
      </c>
      <c r="AB112" t="str">
        <f>VLOOKUP(Y112,ОКТМО!B:J,6,0)</f>
        <v>Чурапчинский муниципальный район</v>
      </c>
      <c r="AK112" s="1">
        <v>109</v>
      </c>
      <c r="AL112" s="1" t="s">
        <v>317</v>
      </c>
      <c r="AM112" s="1" t="s">
        <v>342</v>
      </c>
      <c r="AN112" s="65" t="s">
        <v>2867</v>
      </c>
      <c r="AO112" s="73">
        <v>98654425101</v>
      </c>
      <c r="AP112" t="str">
        <f>VLOOKUP(AO112,ОКТМО!B:J,6,0)</f>
        <v>Усть-Майский муниципальный район</v>
      </c>
      <c r="AQ112" t="str">
        <f>VLOOKUP(AO112,ОКТМО!B:J,9,0)</f>
        <v>Эжанский национальный наслег</v>
      </c>
    </row>
    <row r="113" spans="6:43">
      <c r="F113" t="s">
        <v>3156</v>
      </c>
      <c r="G113" t="s">
        <v>3198</v>
      </c>
      <c r="H113" s="76">
        <v>98631162051</v>
      </c>
      <c r="I113" t="str">
        <f>VLOOKUP(H113,ОКТМО!B:M,12,0)</f>
        <v>Чернышевский</v>
      </c>
      <c r="J113" t="str">
        <f>VLOOKUP(H113,ОКТМО!B:M,6,0)</f>
        <v>Мирнинский муниципальный район</v>
      </c>
      <c r="U113">
        <v>111</v>
      </c>
      <c r="V113" t="s">
        <v>448</v>
      </c>
      <c r="W113" t="s">
        <v>2921</v>
      </c>
      <c r="X113" t="s">
        <v>2921</v>
      </c>
      <c r="Y113" s="70">
        <f>VLOOKUP(X113,ОКТМО!M:N,2,0)</f>
        <v>98658410101</v>
      </c>
      <c r="Z113" t="str">
        <f>VLOOKUP(X113,ОКТМО!M:N,1,0)</f>
        <v>Харбала 2-я</v>
      </c>
      <c r="AA113" t="str">
        <f>VLOOKUP(Y113,ОКТМО!B:J,9,0)</f>
        <v>Болтогинский наслег</v>
      </c>
      <c r="AB113" t="str">
        <f>VLOOKUP(Y113,ОКТМО!B:J,6,0)</f>
        <v>Чурапчинский муниципальный район</v>
      </c>
      <c r="AK113" s="1">
        <v>110</v>
      </c>
      <c r="AL113" s="1" t="s">
        <v>317</v>
      </c>
      <c r="AM113" s="1" t="s">
        <v>345</v>
      </c>
      <c r="AN113" s="1" t="s">
        <v>345</v>
      </c>
      <c r="AO113" s="73">
        <v>98654164051</v>
      </c>
      <c r="AP113" t="str">
        <f>VLOOKUP(AO113,ОКТМО!B:J,6,0)</f>
        <v>Усть-Майский муниципальный район</v>
      </c>
      <c r="AQ113" t="str">
        <f>VLOOKUP(AO113,ОКТМО!B:J,9,0)</f>
        <v>поселок Эльдикан</v>
      </c>
    </row>
    <row r="114" spans="6:43">
      <c r="F114" t="s">
        <v>3156</v>
      </c>
      <c r="G114" t="s">
        <v>559</v>
      </c>
      <c r="H114" s="76">
        <v>98642437101</v>
      </c>
      <c r="I114" t="str">
        <f>VLOOKUP(H114,ОКТМО!B:M,12,0)</f>
        <v>Оленек</v>
      </c>
      <c r="J114" t="str">
        <f>VLOOKUP(H114,ОКТМО!B:M,6,0)</f>
        <v>Оленекский эвенкийский национальный муниципальный район</v>
      </c>
      <c r="U114">
        <v>112</v>
      </c>
      <c r="V114" t="s">
        <v>610</v>
      </c>
      <c r="W114" t="s">
        <v>614</v>
      </c>
      <c r="X114" t="s">
        <v>614</v>
      </c>
      <c r="Y114" s="70">
        <f>VLOOKUP(X114,ОКТМО!M:N,2,0)</f>
        <v>98616409101</v>
      </c>
      <c r="Z114" t="str">
        <f>VLOOKUP(X114,ОКТМО!M:N,1,0)</f>
        <v>Бала</v>
      </c>
      <c r="AA114" t="str">
        <f>VLOOKUP(Y114,ОКТМО!B:J,9,0)</f>
        <v>Арылахский наслег</v>
      </c>
      <c r="AB114" t="str">
        <f>VLOOKUP(Y114,ОКТМО!B:J,6,0)</f>
        <v>Верхоянский муниципальный район</v>
      </c>
      <c r="AK114" s="1">
        <v>111</v>
      </c>
      <c r="AL114" s="1" t="s">
        <v>317</v>
      </c>
      <c r="AM114" s="1" t="s">
        <v>348</v>
      </c>
      <c r="AN114" s="65" t="s">
        <v>2853</v>
      </c>
      <c r="AO114" s="73">
        <v>98654410101</v>
      </c>
      <c r="AP114" t="str">
        <f>VLOOKUP(AO114,ОКТМО!B:J,6,0)</f>
        <v>Усть-Майский муниципальный район</v>
      </c>
      <c r="AQ114" t="str">
        <f>VLOOKUP(AO114,ОКТМО!B:J,9,0)</f>
        <v>Кюпский эвенкийский национальный наслег</v>
      </c>
    </row>
    <row r="115" spans="6:43">
      <c r="F115" t="s">
        <v>3156</v>
      </c>
      <c r="G115" t="s">
        <v>549</v>
      </c>
      <c r="H115" s="76">
        <v>98642450101</v>
      </c>
      <c r="I115" t="str">
        <f>VLOOKUP(H115,ОКТМО!B:M,12,0)</f>
        <v>Эйик</v>
      </c>
      <c r="J115" t="str">
        <f>VLOOKUP(H115,ОКТМО!B:M,6,0)</f>
        <v>Оленекский эвенкийский национальный муниципальный район</v>
      </c>
      <c r="U115">
        <v>113</v>
      </c>
      <c r="V115" t="s">
        <v>3199</v>
      </c>
      <c r="W115" t="s">
        <v>867</v>
      </c>
      <c r="X115" t="s">
        <v>867</v>
      </c>
      <c r="Y115" s="70">
        <f>VLOOKUP(X115,ОКТМО!M:N,2,0)</f>
        <v>98601422101</v>
      </c>
      <c r="Z115" t="str">
        <f>VLOOKUP(X115,ОКТМО!M:N,1,0)</f>
        <v>Кенг-Кюёль</v>
      </c>
      <c r="AA115" t="str">
        <f>VLOOKUP(Y115,ОКТМО!B:J,9,0)</f>
        <v>Уолбутский наслег</v>
      </c>
      <c r="AB115" t="str">
        <f>VLOOKUP(Y115,ОКТМО!B:J,6,0)</f>
        <v>Абыйский муниципальный район</v>
      </c>
      <c r="AK115" s="1">
        <v>112</v>
      </c>
      <c r="AL115" s="1" t="s">
        <v>317</v>
      </c>
      <c r="AM115" s="1" t="s">
        <v>351</v>
      </c>
      <c r="AN115" s="11" t="s">
        <v>2686</v>
      </c>
      <c r="AO115" s="73">
        <v>98650425101</v>
      </c>
      <c r="AP115" t="str">
        <f>VLOOKUP(AO115,ОКТМО!B:J,6,0)</f>
        <v>Томпонский муниципальный район</v>
      </c>
      <c r="AQ115" t="str">
        <f>VLOOKUP(AO115,ОКТМО!B:J,9,0)</f>
        <v>Охот-Перевозовский наслег</v>
      </c>
    </row>
    <row r="116" spans="6:43">
      <c r="F116" t="s">
        <v>3156</v>
      </c>
      <c r="G116" t="s">
        <v>552</v>
      </c>
      <c r="H116" s="76">
        <v>98626410101</v>
      </c>
      <c r="I116" t="str">
        <f>VLOOKUP(H116,ОКТМО!B:M,12,0)</f>
        <v>Малыкай</v>
      </c>
      <c r="J116" t="str">
        <f>VLOOKUP(H116,ОКТМО!B:M,6,0)</f>
        <v>Нюрбинский муниципальный район</v>
      </c>
      <c r="U116">
        <v>114</v>
      </c>
      <c r="V116" t="s">
        <v>3200</v>
      </c>
      <c r="W116" t="s">
        <v>859</v>
      </c>
      <c r="X116" t="s">
        <v>859</v>
      </c>
      <c r="Y116" s="70">
        <f>VLOOKUP(X116,ОКТМО!M:N,2,0)</f>
        <v>98601417101</v>
      </c>
      <c r="Z116" t="str">
        <f>VLOOKUP(X116,ОКТМО!M:N,1,0)</f>
        <v>Сыаганнах</v>
      </c>
      <c r="AA116" t="str">
        <f>VLOOKUP(Y116,ОКТМО!B:J,9,0)</f>
        <v>Мугурдахский наслег</v>
      </c>
      <c r="AB116" t="str">
        <f>VLOOKUP(Y116,ОКТМО!B:J,6,0)</f>
        <v>Абыйский муниципальный район</v>
      </c>
      <c r="AK116" s="1">
        <v>113</v>
      </c>
      <c r="AL116" s="1" t="s">
        <v>317</v>
      </c>
      <c r="AM116" s="1" t="s">
        <v>354</v>
      </c>
      <c r="AN116" s="65" t="s">
        <v>2668</v>
      </c>
      <c r="AO116" s="73">
        <v>98650152051</v>
      </c>
      <c r="AP116" t="str">
        <f>VLOOKUP(AO116,ОКТМО!B:J,6,0)</f>
        <v>Томпонский муниципальный район</v>
      </c>
      <c r="AQ116" t="str">
        <f>VLOOKUP(AO116,ОКТМО!B:J,9,0)</f>
        <v>поселок Джебарики-Хая</v>
      </c>
    </row>
    <row r="117" spans="6:43">
      <c r="F117" t="s">
        <v>3186</v>
      </c>
      <c r="G117" t="s">
        <v>563</v>
      </c>
      <c r="H117" s="76">
        <v>98642437101</v>
      </c>
      <c r="I117" t="str">
        <f>VLOOKUP(H117,ОКТМО!B:M,12,0)</f>
        <v>Оленек</v>
      </c>
      <c r="J117" t="str">
        <f>VLOOKUP(H117,ОКТМО!B:M,6,0)</f>
        <v>Оленекский эвенкийский национальный муниципальный район</v>
      </c>
      <c r="U117">
        <v>115</v>
      </c>
      <c r="V117" t="s">
        <v>3201</v>
      </c>
      <c r="W117" t="s">
        <v>1567</v>
      </c>
      <c r="X117" t="s">
        <v>1567</v>
      </c>
      <c r="Y117" s="70">
        <f>VLOOKUP(X117,ОКТМО!M:N,2,0)</f>
        <v>98620465101</v>
      </c>
      <c r="Z117" t="str">
        <f>VLOOKUP(X117,ОКТМО!M:N,1,0)</f>
        <v>Ерт</v>
      </c>
      <c r="AA117" t="str">
        <f>VLOOKUP(Y117,ОКТМО!B:J,9,0)</f>
        <v>Шологонский наслег</v>
      </c>
      <c r="AB117" t="str">
        <f>VLOOKUP(Y117,ОКТМО!B:J,6,0)</f>
        <v>Горный муниципальный район</v>
      </c>
      <c r="AK117" s="1">
        <v>114</v>
      </c>
      <c r="AL117" s="1" t="s">
        <v>317</v>
      </c>
      <c r="AM117" s="1" t="s">
        <v>357</v>
      </c>
      <c r="AN117" s="65" t="s">
        <v>1972</v>
      </c>
      <c r="AO117" s="73">
        <v>98631155111</v>
      </c>
      <c r="AP117" t="str">
        <f>VLOOKUP(AO117,ОКТМО!B:J,6,0)</f>
        <v>Мирнинский муниципальный район</v>
      </c>
      <c r="AQ117" t="str">
        <f>VLOOKUP(AO117,ОКТМО!B:J,9,0)</f>
        <v>поселок Алмазный</v>
      </c>
    </row>
    <row r="118" spans="6:43">
      <c r="F118" t="s">
        <v>3185</v>
      </c>
      <c r="G118" t="s">
        <v>571</v>
      </c>
      <c r="H118" s="76">
        <v>98642437101</v>
      </c>
      <c r="I118" t="str">
        <f>VLOOKUP(H118,ОКТМО!B:M,12,0)</f>
        <v>Оленек</v>
      </c>
      <c r="J118" t="str">
        <f>VLOOKUP(H118,ОКТМО!B:M,6,0)</f>
        <v>Оленекский эвенкийский национальный муниципальный район</v>
      </c>
      <c r="U118">
        <v>116</v>
      </c>
      <c r="V118" t="s">
        <v>3202</v>
      </c>
      <c r="W118" t="s">
        <v>971</v>
      </c>
      <c r="X118" s="74" t="s">
        <v>971</v>
      </c>
      <c r="Y118" s="75">
        <v>98624445101</v>
      </c>
      <c r="Z118" t="str">
        <f>VLOOKUP(X118,ОКТМО!M:N,1,0)</f>
        <v>Чагда</v>
      </c>
      <c r="AA118" t="str">
        <f>VLOOKUP(Y118,ОКТМО!B:J,9,0)</f>
        <v>Нижилинский наслег</v>
      </c>
      <c r="AB118" t="str">
        <f>VLOOKUP(Y118,ОКТМО!B:J,6,0)</f>
        <v>Кобяйский муниципальный район</v>
      </c>
      <c r="AK118" s="1">
        <v>115</v>
      </c>
      <c r="AL118" s="1" t="s">
        <v>317</v>
      </c>
      <c r="AM118" s="1" t="s">
        <v>360</v>
      </c>
      <c r="AN118" s="1" t="s">
        <v>360</v>
      </c>
      <c r="AO118" s="73">
        <v>98650151051</v>
      </c>
      <c r="AP118" t="str">
        <f>VLOOKUP(AO118,ОКТМО!B:J,6,0)</f>
        <v>Томпонский муниципальный район</v>
      </c>
      <c r="AQ118" t="str">
        <f>VLOOKUP(AO118,ОКТМО!B:J,9,0)</f>
        <v>поселок Хандыга</v>
      </c>
    </row>
    <row r="119" spans="6:43">
      <c r="F119" t="s">
        <v>3185</v>
      </c>
      <c r="G119" t="s">
        <v>576</v>
      </c>
      <c r="H119" s="76">
        <v>98642437101</v>
      </c>
      <c r="I119" t="str">
        <f>VLOOKUP(H119,ОКТМО!B:M,12,0)</f>
        <v>Оленек</v>
      </c>
      <c r="J119" t="str">
        <f>VLOOKUP(H119,ОКТМО!B:M,6,0)</f>
        <v>Оленекский эвенкийский национальный муниципальный район</v>
      </c>
      <c r="U119">
        <v>117</v>
      </c>
      <c r="V119" t="s">
        <v>289</v>
      </c>
      <c r="W119" t="s">
        <v>1555</v>
      </c>
      <c r="X119" t="s">
        <v>1555</v>
      </c>
      <c r="Y119" s="70">
        <f>VLOOKUP(X119,ОКТМО!M:N,2,0)</f>
        <v>98620449101</v>
      </c>
      <c r="Z119" t="str">
        <f>VLOOKUP(X119,ОКТМО!M:N,1,0)</f>
        <v>Магарас</v>
      </c>
      <c r="AA119" t="str">
        <f>VLOOKUP(Y119,ОКТМО!B:J,9,0)</f>
        <v>Одунунский наслег</v>
      </c>
      <c r="AB119" t="str">
        <f>VLOOKUP(Y119,ОКТМО!B:J,6,0)</f>
        <v>Горный муниципальный район</v>
      </c>
      <c r="AK119" s="1">
        <v>116</v>
      </c>
      <c r="AL119" s="1" t="s">
        <v>317</v>
      </c>
      <c r="AM119" s="1" t="s">
        <v>363</v>
      </c>
      <c r="AN119" s="77" t="s">
        <v>2690</v>
      </c>
      <c r="AO119" s="73">
        <v>98650430101</v>
      </c>
      <c r="AP119" t="str">
        <f>VLOOKUP(AO119,ОКТМО!B:J,6,0)</f>
        <v>Томпонский муниципальный район</v>
      </c>
      <c r="AQ119" t="str">
        <f>VLOOKUP(AO119,ОКТМО!B:J,9,0)</f>
        <v>Сасыльский наслег</v>
      </c>
    </row>
    <row r="120" spans="6:43">
      <c r="F120" t="s">
        <v>3185</v>
      </c>
      <c r="G120" t="s">
        <v>3203</v>
      </c>
      <c r="H120" s="76">
        <v>98612445106</v>
      </c>
      <c r="I120" t="str">
        <f>VLOOKUP(H120,ОКТМО!B:M,12,0)</f>
        <v>Склад</v>
      </c>
      <c r="J120" t="str">
        <f>VLOOKUP(H120,ОКТМО!B:M,6,0)</f>
        <v>Булунский муниципальный район</v>
      </c>
      <c r="U120">
        <v>118</v>
      </c>
      <c r="V120" t="s">
        <v>3204</v>
      </c>
      <c r="W120" t="s">
        <v>1518</v>
      </c>
      <c r="X120" t="s">
        <v>1518</v>
      </c>
      <c r="Y120" s="70">
        <f>VLOOKUP(X120,ОКТМО!M:N,2,0)</f>
        <v>98620405101</v>
      </c>
      <c r="Z120" t="str">
        <f>VLOOKUP(X120,ОКТМО!M:N,1,0)</f>
        <v>Бясь-Кюель</v>
      </c>
      <c r="AA120" t="str">
        <f>VLOOKUP(Y120,ОКТМО!B:J,9,0)</f>
        <v>Атамайский наслег</v>
      </c>
      <c r="AB120" t="str">
        <f>VLOOKUP(Y120,ОКТМО!B:J,6,0)</f>
        <v>Горный муниципальный район</v>
      </c>
      <c r="AK120" s="1">
        <v>117</v>
      </c>
      <c r="AL120" s="1" t="s">
        <v>317</v>
      </c>
      <c r="AM120" s="1" t="s">
        <v>366</v>
      </c>
      <c r="AN120" s="65" t="s">
        <v>2682</v>
      </c>
      <c r="AO120" s="73">
        <v>98650415101</v>
      </c>
      <c r="AP120" t="str">
        <f>VLOOKUP(AO120,ОКТМО!B:J,6,0)</f>
        <v>Томпонский муниципальный район</v>
      </c>
      <c r="AQ120" t="str">
        <f>VLOOKUP(AO120,ОКТМО!B:J,9,0)</f>
        <v>Мегино-Алданский наслег</v>
      </c>
    </row>
    <row r="121" spans="6:43">
      <c r="F121" t="s">
        <v>3184</v>
      </c>
      <c r="G121" t="s">
        <v>3205</v>
      </c>
      <c r="H121" s="76">
        <v>98650435101</v>
      </c>
      <c r="I121" t="str">
        <f>VLOOKUP(H121,ОКТМО!B:M,12,0)</f>
        <v>Тополиное</v>
      </c>
      <c r="J121" t="str">
        <f>VLOOKUP(H121,ОКТМО!B:M,6,0)</f>
        <v>Томпонский муниципальный район</v>
      </c>
      <c r="U121">
        <v>119</v>
      </c>
      <c r="V121" t="s">
        <v>293</v>
      </c>
      <c r="W121" t="s">
        <v>1522</v>
      </c>
      <c r="X121" t="s">
        <v>1522</v>
      </c>
      <c r="Y121" s="70">
        <f>VLOOKUP(X121,ОКТМО!M:N,2,0)</f>
        <v>98620410101</v>
      </c>
      <c r="Z121" t="str">
        <f>VLOOKUP(X121,ОКТМО!M:N,1,0)</f>
        <v>Бердигестях</v>
      </c>
      <c r="AA121" t="str">
        <f>VLOOKUP(Y121,ОКТМО!B:J,9,0)</f>
        <v>Бердигестяхский наслег</v>
      </c>
      <c r="AB121" t="str">
        <f>VLOOKUP(Y121,ОКТМО!B:J,6,0)</f>
        <v>Горный муниципальный район</v>
      </c>
      <c r="AK121" s="1">
        <v>118</v>
      </c>
      <c r="AL121" s="1" t="s">
        <v>317</v>
      </c>
      <c r="AM121" s="1" t="s">
        <v>369</v>
      </c>
      <c r="AN121" s="1" t="s">
        <v>369</v>
      </c>
      <c r="AO121" s="73">
        <v>98650405101</v>
      </c>
      <c r="AP121" t="str">
        <f>VLOOKUP(AO121,ОКТМО!B:J,6,0)</f>
        <v>Томпонский муниципальный район</v>
      </c>
      <c r="AQ121" t="str">
        <f>VLOOKUP(AO121,ОКТМО!B:J,9,0)</f>
        <v>Баягантайский наслег</v>
      </c>
    </row>
    <row r="122" spans="6:43">
      <c r="F122" t="s">
        <v>3184</v>
      </c>
      <c r="G122" t="s">
        <v>3206</v>
      </c>
      <c r="H122" s="76">
        <v>98616448101</v>
      </c>
      <c r="I122" t="str">
        <f>VLOOKUP(H122,ОКТМО!B:M,12,0)</f>
        <v>Суордах</v>
      </c>
      <c r="J122" t="str">
        <f>VLOOKUP(H122,ОКТМО!B:M,6,0)</f>
        <v>Верхоянский муниципальный район</v>
      </c>
      <c r="U122">
        <v>120</v>
      </c>
      <c r="V122" t="s">
        <v>3207</v>
      </c>
      <c r="W122" t="s">
        <v>3004</v>
      </c>
      <c r="X122" t="s">
        <v>3004</v>
      </c>
      <c r="Y122" s="70">
        <f>VLOOKUP(X122,ОКТМО!M:N,2,0)</f>
        <v>98658470101</v>
      </c>
      <c r="Z122" t="str">
        <f>VLOOKUP(X122,ОКТМО!M:N,1,0)</f>
        <v>Чурапча</v>
      </c>
      <c r="AA122" t="str">
        <f>VLOOKUP(Y122,ОКТМО!B:J,9,0)</f>
        <v>Чурапчинский наслег</v>
      </c>
      <c r="AB122" t="str">
        <f>VLOOKUP(Y122,ОКТМО!B:J,6,0)</f>
        <v>Чурапчинский муниципальный район</v>
      </c>
      <c r="AK122" s="1">
        <v>119</v>
      </c>
      <c r="AL122" s="1" t="s">
        <v>317</v>
      </c>
      <c r="AM122" s="1" t="s">
        <v>372</v>
      </c>
      <c r="AN122" s="65" t="s">
        <v>1038</v>
      </c>
      <c r="AO122" s="73">
        <v>98604465101</v>
      </c>
      <c r="AP122" t="str">
        <f>VLOOKUP(AO122,ОКТМО!B:J,6,0)</f>
        <v>Таттинский муниципальный район</v>
      </c>
      <c r="AQ122" t="str">
        <f>VLOOKUP(AO122,ОКТМО!B:J,9,0)</f>
        <v>Хара-Алданский наслег</v>
      </c>
    </row>
    <row r="123" spans="6:43">
      <c r="F123" t="s">
        <v>3184</v>
      </c>
      <c r="G123" t="s">
        <v>601</v>
      </c>
      <c r="H123" s="76">
        <v>98656405101</v>
      </c>
      <c r="I123" t="str">
        <f>VLOOKUP(H123,ОКТМО!B:M,12,0)</f>
        <v>Казачье</v>
      </c>
      <c r="J123" t="str">
        <f>VLOOKUP(H123,ОКТМО!B:M,6,0)</f>
        <v>Усть-Янский муниципальный район</v>
      </c>
      <c r="U123">
        <v>121</v>
      </c>
      <c r="V123" t="s">
        <v>304</v>
      </c>
      <c r="W123" t="s">
        <v>1113</v>
      </c>
      <c r="X123" t="s">
        <v>1113</v>
      </c>
      <c r="Y123" s="70">
        <f>VLOOKUP(X123,ОКТМО!M:N,2,0)</f>
        <v>98608458101</v>
      </c>
      <c r="Z123" t="str">
        <f>VLOOKUP(X123,ОКТМО!M:N,1,0)</f>
        <v>Сатагай</v>
      </c>
      <c r="AA123" t="str">
        <f>VLOOKUP(Y123,ОКТМО!B:J,9,0)</f>
        <v>Сатагайский наслег</v>
      </c>
      <c r="AB123" t="str">
        <f>VLOOKUP(Y123,ОКТМО!B:J,6,0)</f>
        <v>Амгинский муниципальный район</v>
      </c>
      <c r="AK123" s="1">
        <v>120</v>
      </c>
      <c r="AL123" s="1" t="s">
        <v>317</v>
      </c>
      <c r="AM123" s="1" t="s">
        <v>375</v>
      </c>
      <c r="AN123" s="1" t="s">
        <v>2811</v>
      </c>
      <c r="AO123" s="73">
        <v>98652475101</v>
      </c>
      <c r="AP123" t="str">
        <f>VLOOKUP(AO123,ОКТМО!B:J,6,0)</f>
        <v>Усть-Алданский муниципальный район</v>
      </c>
      <c r="AQ123" t="str">
        <f>VLOOKUP(AO123,ОКТМО!B:J,9,0)</f>
        <v>Тюляхский наслег</v>
      </c>
    </row>
    <row r="124" spans="6:43">
      <c r="F124" t="s">
        <v>3208</v>
      </c>
      <c r="G124" t="s">
        <v>633</v>
      </c>
      <c r="H124" s="76">
        <v>98639432101</v>
      </c>
      <c r="I124" t="str">
        <f>VLOOKUP(H124,ОКТМО!B:M,12,0)</f>
        <v>Терют</v>
      </c>
      <c r="J124" t="str">
        <f>VLOOKUP(H124,ОКТМО!B:M,6,0)</f>
        <v>Оймяконский муниципальный район</v>
      </c>
      <c r="U124">
        <v>122</v>
      </c>
      <c r="V124" t="s">
        <v>304</v>
      </c>
      <c r="W124" t="s">
        <v>3209</v>
      </c>
      <c r="X124" s="74" t="s">
        <v>304</v>
      </c>
      <c r="Y124" s="75">
        <v>98629436101</v>
      </c>
      <c r="Z124" t="str">
        <f>VLOOKUP(X124,ОКТМО!M:N,1,0)</f>
        <v>Суола</v>
      </c>
      <c r="AA124" t="str">
        <f>VLOOKUP(Y124,ОКТМО!B:J,9,0)</f>
        <v>Морукский наслег</v>
      </c>
      <c r="AB124" t="str">
        <f>VLOOKUP(Y124,ОКТМО!B:J,6,0)</f>
        <v>Мегино-Кангаласский муниципальный район</v>
      </c>
      <c r="AC124" t="s">
        <v>3210</v>
      </c>
      <c r="AK124" s="1">
        <v>121</v>
      </c>
      <c r="AL124" s="1" t="s">
        <v>317</v>
      </c>
      <c r="AM124" s="1" t="s">
        <v>378</v>
      </c>
      <c r="AN124" s="65" t="s">
        <v>2811</v>
      </c>
      <c r="AO124" s="73">
        <v>98652475101</v>
      </c>
      <c r="AP124" t="str">
        <f>VLOOKUP(AO124,ОКТМО!B:J,6,0)</f>
        <v>Усть-Алданский муниципальный район</v>
      </c>
      <c r="AQ124" t="str">
        <f>VLOOKUP(AO124,ОКТМО!B:J,9,0)</f>
        <v>Тюляхский наслег</v>
      </c>
    </row>
    <row r="125" spans="6:43">
      <c r="F125" t="s">
        <v>3179</v>
      </c>
      <c r="G125" t="s">
        <v>485</v>
      </c>
      <c r="H125" s="76">
        <v>98650435101</v>
      </c>
      <c r="I125" t="str">
        <f>VLOOKUP(H125,ОКТМО!B:M,12,0)</f>
        <v>Тополиное</v>
      </c>
      <c r="J125" t="str">
        <f>VLOOKUP(H125,ОКТМО!B:M,6,0)</f>
        <v>Томпонский муниципальный район</v>
      </c>
      <c r="U125">
        <v>123</v>
      </c>
      <c r="V125" t="s">
        <v>304</v>
      </c>
      <c r="W125" t="s">
        <v>3211</v>
      </c>
      <c r="X125" s="71" t="s">
        <v>1836</v>
      </c>
      <c r="Y125" s="70">
        <f>VLOOKUP(X125,ОКТМО!M:N,2,0)</f>
        <v>98629406101</v>
      </c>
      <c r="Z125" t="str">
        <f>VLOOKUP(X125,ОКТМО!M:N,1,0)</f>
        <v>Бедемё</v>
      </c>
      <c r="AA125" t="str">
        <f>VLOOKUP(Y125,ОКТМО!B:J,9,0)</f>
        <v>Батаринский 1-й наслег</v>
      </c>
      <c r="AB125" t="str">
        <f>VLOOKUP(Y125,ОКТМО!B:J,6,0)</f>
        <v>Мегино-Кангаласский муниципальный район</v>
      </c>
      <c r="AK125" s="1">
        <v>122</v>
      </c>
      <c r="AL125" s="1" t="s">
        <v>317</v>
      </c>
      <c r="AM125" s="1" t="s">
        <v>381</v>
      </c>
      <c r="AN125" s="65" t="s">
        <v>2817</v>
      </c>
      <c r="AO125" s="73">
        <v>98652485101</v>
      </c>
      <c r="AP125" t="str">
        <f>VLOOKUP(AO125,ОКТМО!B:J,6,0)</f>
        <v>Усть-Алданский муниципальный район</v>
      </c>
      <c r="AQ125" t="str">
        <f>VLOOKUP(AO125,ОКТМО!B:J,9,0)</f>
        <v>Чериктейский наслег</v>
      </c>
    </row>
    <row r="126" spans="6:43">
      <c r="F126" t="s">
        <v>3179</v>
      </c>
      <c r="G126" t="s">
        <v>3212</v>
      </c>
      <c r="H126" s="76">
        <v>98652475101</v>
      </c>
      <c r="I126" t="str">
        <f>VLOOKUP(H126,ОКТМО!B:M,12,0)</f>
        <v>Кылайы</v>
      </c>
      <c r="J126" t="str">
        <f>VLOOKUP(H126,ОКТМО!B:M,6,0)</f>
        <v>Усть-Алданский муниципальный район</v>
      </c>
      <c r="U126">
        <v>124</v>
      </c>
      <c r="V126" t="s">
        <v>304</v>
      </c>
      <c r="W126" t="s">
        <v>3213</v>
      </c>
      <c r="X126" s="71" t="s">
        <v>1885</v>
      </c>
      <c r="Y126" s="70">
        <f>VLOOKUP(X126,ОКТМО!M:N,2,0)</f>
        <v>98629430101</v>
      </c>
      <c r="Z126" t="str">
        <f>VLOOKUP(X126,ОКТМО!M:N,1,0)</f>
        <v>Хоробут</v>
      </c>
      <c r="AA126" t="str">
        <f>VLOOKUP(Y126,ОКТМО!B:J,9,0)</f>
        <v>Хоробутский наслег</v>
      </c>
      <c r="AB126" t="str">
        <f>VLOOKUP(Y126,ОКТМО!B:J,6,0)</f>
        <v>Мегино-Кангаласский муниципальный район</v>
      </c>
      <c r="AK126" s="1">
        <v>123</v>
      </c>
      <c r="AL126" s="1" t="s">
        <v>317</v>
      </c>
      <c r="AM126" s="1" t="s">
        <v>384</v>
      </c>
      <c r="AN126" s="65" t="s">
        <v>2787</v>
      </c>
      <c r="AO126" s="73">
        <v>98652465101</v>
      </c>
      <c r="AP126" t="str">
        <f>VLOOKUP(AO126,ОКТМО!B:J,6,0)</f>
        <v>Усть-Алданский муниципальный район</v>
      </c>
      <c r="AQ126" t="str">
        <f>VLOOKUP(AO126,ОКТМО!B:J,9,0)</f>
        <v>Оспехский наслег</v>
      </c>
    </row>
    <row r="127" spans="6:43">
      <c r="U127">
        <v>125</v>
      </c>
      <c r="V127" t="s">
        <v>3214</v>
      </c>
      <c r="W127" t="s">
        <v>1895</v>
      </c>
      <c r="X127" t="s">
        <v>1895</v>
      </c>
      <c r="Y127" s="70">
        <f>VLOOKUP(X127,ОКТМО!M:N,2,0)</f>
        <v>98629440101</v>
      </c>
      <c r="Z127" t="str">
        <f>VLOOKUP(X127,ОКТМО!M:N,1,0)</f>
        <v>Хочо</v>
      </c>
      <c r="AA127" t="str">
        <f>VLOOKUP(Y127,ОКТМО!B:J,9,0)</f>
        <v>Нахаринский 2-й наслег</v>
      </c>
      <c r="AB127" t="str">
        <f>VLOOKUP(Y127,ОКТМО!B:J,6,0)</f>
        <v>Мегино-Кангаласский муниципальный район</v>
      </c>
      <c r="AK127" s="1">
        <v>124</v>
      </c>
      <c r="AL127" s="1" t="s">
        <v>317</v>
      </c>
      <c r="AM127" s="1" t="s">
        <v>387</v>
      </c>
      <c r="AN127" s="1" t="s">
        <v>387</v>
      </c>
      <c r="AO127" s="73">
        <v>98624414106</v>
      </c>
      <c r="AP127" t="str">
        <f>VLOOKUP(AO127,ОКТМО!B:J,6,0)</f>
        <v>Кобяйский муниципальный район</v>
      </c>
      <c r="AQ127" t="str">
        <f>VLOOKUP(AO127,ОКТМО!B:J,9,0)</f>
        <v>Кировский эвенский национальный наслег</v>
      </c>
    </row>
    <row r="128" spans="6:43">
      <c r="U128">
        <v>126</v>
      </c>
      <c r="V128" t="s">
        <v>1867</v>
      </c>
      <c r="W128" t="s">
        <v>1938</v>
      </c>
      <c r="X128" t="s">
        <v>1938</v>
      </c>
      <c r="Y128" s="70">
        <f>VLOOKUP(X128,ОКТМО!M:N,2,0)</f>
        <v>98629463101</v>
      </c>
      <c r="Z128" t="str">
        <f>VLOOKUP(X128,ОКТМО!M:N,1,0)</f>
        <v>Чюйя</v>
      </c>
      <c r="AA128" t="str">
        <f>VLOOKUP(Y128,ОКТМО!B:J,9,0)</f>
        <v>Ходоринский наслег</v>
      </c>
      <c r="AB128" t="str">
        <f>VLOOKUP(Y128,ОКТМО!B:J,6,0)</f>
        <v>Мегино-Кангаласский муниципальный район</v>
      </c>
      <c r="AK128" s="1">
        <v>125</v>
      </c>
      <c r="AL128" s="1" t="s">
        <v>390</v>
      </c>
      <c r="AM128" s="1" t="s">
        <v>390</v>
      </c>
      <c r="AN128" s="1" t="s">
        <v>752</v>
      </c>
      <c r="AO128" s="73">
        <v>98603101111</v>
      </c>
      <c r="AP128" t="str">
        <f>VLOOKUP(AO128,ОКТМО!B:J,6,0)</f>
        <v>Алданский муниципальный район</v>
      </c>
      <c r="AQ128" t="str">
        <f>VLOOKUP(AO128,ОКТМО!B:J,9,0)</f>
        <v>город Алдан</v>
      </c>
    </row>
    <row r="129" spans="21:43">
      <c r="U129">
        <v>127</v>
      </c>
      <c r="V129" t="s">
        <v>3215</v>
      </c>
      <c r="W129" t="s">
        <v>3216</v>
      </c>
      <c r="X129" s="74" t="s">
        <v>1005</v>
      </c>
      <c r="Y129" s="75">
        <v>98604425101</v>
      </c>
      <c r="Z129" t="str">
        <f>VLOOKUP(X129,ОКТМО!M:N,1,0)</f>
        <v>Туора-Кюёль</v>
      </c>
      <c r="AA129" t="str">
        <f>VLOOKUP(Y129,ОКТМО!B:J,9,0)</f>
        <v>Жулейский наслег</v>
      </c>
      <c r="AB129" t="str">
        <f>VLOOKUP(Y129,ОКТМО!B:J,6,0)</f>
        <v>Таттинский муниципальный район</v>
      </c>
      <c r="AK129" s="1">
        <v>126</v>
      </c>
      <c r="AL129" s="1" t="s">
        <v>393</v>
      </c>
      <c r="AM129" s="1" t="s">
        <v>393</v>
      </c>
      <c r="AN129" s="1" t="s">
        <v>393</v>
      </c>
      <c r="AO129" s="73">
        <v>98603170111</v>
      </c>
      <c r="AP129" t="str">
        <f>VLOOKUP(AO129,ОКТМО!B:J,6,0)</f>
        <v>Алданский муниципальный район</v>
      </c>
      <c r="AQ129" t="str">
        <f>VLOOKUP(AO129,ОКТМО!B:J,9,0)</f>
        <v>поселок Нижний Куранах</v>
      </c>
    </row>
    <row r="130" spans="21:43">
      <c r="U130">
        <v>128</v>
      </c>
      <c r="W130" t="s">
        <v>3217</v>
      </c>
      <c r="X130" s="71" t="s">
        <v>2059</v>
      </c>
      <c r="Y130" s="70">
        <f>VLOOKUP(X130,ОКТМО!M:N,2,0)</f>
        <v>98635440101</v>
      </c>
      <c r="Z130" t="str">
        <f>VLOOKUP(X130,ОКТМО!M:N,1,0)</f>
        <v>Хонгор-Бие</v>
      </c>
      <c r="AA130" t="str">
        <f>VLOOKUP(Y130,ОКТМО!B:J,9,0)</f>
        <v>Салбанский наслег</v>
      </c>
      <c r="AB130" t="str">
        <f>VLOOKUP(Y130,ОКТМО!B:J,6,0)</f>
        <v>Намский муниципальный район</v>
      </c>
      <c r="AK130" s="1">
        <v>127</v>
      </c>
      <c r="AL130" s="1" t="s">
        <v>396</v>
      </c>
      <c r="AM130" s="1" t="s">
        <v>397</v>
      </c>
      <c r="AN130" s="78" t="s">
        <v>397</v>
      </c>
      <c r="AO130" s="73">
        <v>98603105001</v>
      </c>
      <c r="AP130" t="str">
        <f>VLOOKUP(AO130,ОКТМО!B:J,6,0)</f>
        <v>Алданский муниципальный район</v>
      </c>
      <c r="AQ130" t="str">
        <f>VLOOKUP(AO130,ОКТМО!B:J,9,0)</f>
        <v>город Томмот</v>
      </c>
    </row>
    <row r="131" spans="21:43">
      <c r="U131">
        <v>129</v>
      </c>
      <c r="V131" t="s">
        <v>3215</v>
      </c>
      <c r="W131" t="s">
        <v>3216</v>
      </c>
      <c r="X131" s="74" t="s">
        <v>1005</v>
      </c>
      <c r="Y131" s="75">
        <v>98604425101</v>
      </c>
      <c r="Z131" t="str">
        <f>VLOOKUP(X131,ОКТМО!M:N,1,0)</f>
        <v>Туора-Кюёль</v>
      </c>
      <c r="AA131" t="str">
        <f>VLOOKUP(Y131,ОКТМО!B:J,9,0)</f>
        <v>Жулейский наслег</v>
      </c>
      <c r="AB131" t="str">
        <f>VLOOKUP(Y131,ОКТМО!B:J,6,0)</f>
        <v>Таттинский муниципальный район</v>
      </c>
      <c r="AK131" s="1">
        <v>128</v>
      </c>
      <c r="AL131" s="1" t="s">
        <v>400</v>
      </c>
      <c r="AM131" s="1" t="s">
        <v>401</v>
      </c>
      <c r="AN131" s="1" t="s">
        <v>401</v>
      </c>
      <c r="AO131" s="73">
        <v>98603105106</v>
      </c>
      <c r="AP131" t="str">
        <f>VLOOKUP(AO131,ОКТМО!B:J,6,0)</f>
        <v>Алданский муниципальный район</v>
      </c>
      <c r="AQ131" t="str">
        <f>VLOOKUP(AO131,ОКТМО!B:J,9,0)</f>
        <v>город Томмот</v>
      </c>
    </row>
    <row r="132" spans="21:43">
      <c r="U132">
        <v>130</v>
      </c>
      <c r="V132" t="s">
        <v>448</v>
      </c>
      <c r="W132" t="s">
        <v>1022</v>
      </c>
      <c r="X132" t="s">
        <v>1022</v>
      </c>
      <c r="Y132" s="70">
        <f>VLOOKUP(X132,ОКТМО!M:N,2,0)</f>
        <v>98604445101</v>
      </c>
      <c r="Z132" t="str">
        <f>VLOOKUP(X132,ОКТМО!M:N,1,0)</f>
        <v>Ытык-Кюёль</v>
      </c>
      <c r="AA132" t="str">
        <f>VLOOKUP(Y132,ОКТМО!B:J,9,0)</f>
        <v>Таттинский наслег</v>
      </c>
      <c r="AB132" t="str">
        <f>VLOOKUP(Y132,ОКТМО!B:J,6,0)</f>
        <v>Таттинский муниципальный район</v>
      </c>
      <c r="AK132" s="1">
        <v>129</v>
      </c>
      <c r="AL132" s="1" t="s">
        <v>400</v>
      </c>
      <c r="AM132" s="1" t="s">
        <v>404</v>
      </c>
      <c r="AN132" s="1" t="s">
        <v>404</v>
      </c>
      <c r="AO132" s="73">
        <v>98603105106</v>
      </c>
      <c r="AP132" t="str">
        <f>VLOOKUP(AO132,ОКТМО!B:J,6,0)</f>
        <v>Алданский муниципальный район</v>
      </c>
      <c r="AQ132" t="str">
        <f>VLOOKUP(AO132,ОКТМО!B:J,9,0)</f>
        <v>город Томмот</v>
      </c>
    </row>
    <row r="133" spans="21:43">
      <c r="U133">
        <v>131</v>
      </c>
      <c r="V133" t="s">
        <v>3218</v>
      </c>
      <c r="W133" t="s">
        <v>3218</v>
      </c>
      <c r="X133" s="74" t="s">
        <v>618</v>
      </c>
      <c r="Y133" s="75">
        <v>98604415101</v>
      </c>
      <c r="Z133" t="str">
        <f>VLOOKUP(X133,ОКТМО!M:N,1,0)</f>
        <v>Томтор</v>
      </c>
      <c r="AA133" t="str">
        <f>VLOOKUP(Y133,ОКТМО!B:J,9,0)</f>
        <v>Баягинский наслег</v>
      </c>
      <c r="AB133" t="str">
        <f>VLOOKUP(Y133,ОКТМО!B:J,6,0)</f>
        <v>Таттинский муниципальный район</v>
      </c>
      <c r="AK133" s="1">
        <v>130</v>
      </c>
      <c r="AL133" s="1" t="s">
        <v>400</v>
      </c>
      <c r="AM133" s="1" t="s">
        <v>407</v>
      </c>
      <c r="AN133" s="1" t="s">
        <v>407</v>
      </c>
      <c r="AO133" s="73">
        <v>98603105106</v>
      </c>
      <c r="AP133" t="str">
        <f>VLOOKUP(AO133,ОКТМО!B:J,6,0)</f>
        <v>Алданский муниципальный район</v>
      </c>
      <c r="AQ133" t="str">
        <f>VLOOKUP(AO133,ОКТМО!B:J,9,0)</f>
        <v>город Томмот</v>
      </c>
    </row>
    <row r="134" spans="21:43">
      <c r="U134">
        <v>132</v>
      </c>
      <c r="V134" t="s">
        <v>617</v>
      </c>
      <c r="W134" t="s">
        <v>1379</v>
      </c>
      <c r="X134" t="s">
        <v>1379</v>
      </c>
      <c r="Y134" s="70">
        <f>VLOOKUP(X134,ОКТМО!M:N,2,0)</f>
        <v>98616448101</v>
      </c>
      <c r="Z134" t="str">
        <f>VLOOKUP(X134,ОКТМО!M:N,1,0)</f>
        <v>Суордах</v>
      </c>
      <c r="AA134" t="str">
        <f>VLOOKUP(Y134,ОКТМО!B:J,9,0)</f>
        <v>Суордахский наслег</v>
      </c>
      <c r="AB134" t="str">
        <f>VLOOKUP(Y134,ОКТМО!B:J,6,0)</f>
        <v>Верхоянский муниципальный район</v>
      </c>
      <c r="AK134" s="1">
        <v>131</v>
      </c>
      <c r="AL134" s="1" t="s">
        <v>410</v>
      </c>
      <c r="AM134" s="1" t="s">
        <v>411</v>
      </c>
      <c r="AN134" s="1" t="s">
        <v>411</v>
      </c>
      <c r="AO134" s="73">
        <v>98660154051</v>
      </c>
      <c r="AP134" t="str">
        <f>VLOOKUP(AO134,ОКТМО!B:J,6,0)</f>
        <v>Нерюнгринский муниципальный район</v>
      </c>
      <c r="AQ134" t="str">
        <f>VLOOKUP(AO134,ОКТМО!B:J,9,0)</f>
        <v>поселок Золотинка</v>
      </c>
    </row>
    <row r="135" spans="21:43">
      <c r="U135">
        <v>133</v>
      </c>
      <c r="V135" t="s">
        <v>617</v>
      </c>
      <c r="W135" t="s">
        <v>3219</v>
      </c>
      <c r="X135" s="74" t="s">
        <v>618</v>
      </c>
      <c r="Y135" s="75">
        <v>98616414101</v>
      </c>
      <c r="Z135" t="str">
        <f>VLOOKUP(X135,ОКТМО!M:N,1,0)</f>
        <v>Томтор</v>
      </c>
      <c r="AA135" t="str">
        <f>VLOOKUP(Y135,ОКТМО!B:J,9,0)</f>
        <v>Борулахский наслег</v>
      </c>
      <c r="AB135" t="str">
        <f>VLOOKUP(Y135,ОКТМО!B:J,6,0)</f>
        <v>Верхоянский муниципальный район</v>
      </c>
      <c r="AC135" t="s">
        <v>3220</v>
      </c>
      <c r="AK135" s="1">
        <v>132</v>
      </c>
      <c r="AL135" s="1" t="s">
        <v>414</v>
      </c>
      <c r="AM135" s="1" t="s">
        <v>414</v>
      </c>
      <c r="AN135" s="1" t="s">
        <v>414</v>
      </c>
      <c r="AO135" s="73">
        <v>98660165051</v>
      </c>
      <c r="AP135" t="str">
        <f>VLOOKUP(AO135,ОКТМО!B:J,6,0)</f>
        <v>Нерюнгринский муниципальный район</v>
      </c>
      <c r="AQ135" t="str">
        <f>VLOOKUP(AO135,ОКТМО!B:J,9,0)</f>
        <v>поселок Чульман</v>
      </c>
    </row>
    <row r="136" spans="21:43">
      <c r="U136">
        <v>134</v>
      </c>
      <c r="V136" t="s">
        <v>3220</v>
      </c>
      <c r="W136" t="s">
        <v>1362</v>
      </c>
      <c r="X136" t="s">
        <v>1362</v>
      </c>
      <c r="Y136" s="70">
        <f>VLOOKUP(X136,ОКТМО!M:N,2,0)</f>
        <v>98616414106</v>
      </c>
      <c r="Z136" t="str">
        <f>VLOOKUP(X136,ОКТМО!M:N,1,0)</f>
        <v>Токума</v>
      </c>
      <c r="AA136" t="str">
        <f>VLOOKUP(Y136,ОКТМО!B:J,9,0)</f>
        <v>Борулахский наслег</v>
      </c>
      <c r="AB136" t="str">
        <f>VLOOKUP(Y136,ОКТМО!B:J,6,0)</f>
        <v>Верхоянский муниципальный район</v>
      </c>
      <c r="AK136" s="1">
        <v>133</v>
      </c>
      <c r="AL136" s="1" t="s">
        <v>417</v>
      </c>
      <c r="AM136" s="1" t="s">
        <v>418</v>
      </c>
      <c r="AN136" s="1" t="s">
        <v>418</v>
      </c>
      <c r="AO136" s="73">
        <v>98660101001</v>
      </c>
      <c r="AP136" t="str">
        <f>VLOOKUP(AO136,ОКТМО!B:J,6,0)</f>
        <v>Нерюнгринский муниципальный район</v>
      </c>
      <c r="AQ136" t="str">
        <f>VLOOKUP(AO136,ОКТМО!B:J,9,0)</f>
        <v>город Нерюнгри</v>
      </c>
    </row>
    <row r="137" spans="21:43">
      <c r="U137">
        <v>135</v>
      </c>
      <c r="V137" t="s">
        <v>610</v>
      </c>
      <c r="W137" t="s">
        <v>611</v>
      </c>
      <c r="X137" t="s">
        <v>611</v>
      </c>
      <c r="Y137" s="70">
        <f>VLOOKUP(X137,ОКТМО!M:N,2,0)</f>
        <v>98616442101</v>
      </c>
      <c r="Z137" t="str">
        <f>VLOOKUP(X137,ОКТМО!M:N,1,0)</f>
        <v>Юнкюр</v>
      </c>
      <c r="AA137" t="str">
        <f>VLOOKUP(Y137,ОКТМО!B:J,9,0)</f>
        <v>Сартанский наслег</v>
      </c>
      <c r="AB137" t="str">
        <f>VLOOKUP(Y137,ОКТМО!B:J,6,0)</f>
        <v>Верхоянский муниципальный район</v>
      </c>
      <c r="AK137" s="1">
        <v>134</v>
      </c>
      <c r="AL137" s="1" t="s">
        <v>421</v>
      </c>
      <c r="AM137" s="1" t="s">
        <v>421</v>
      </c>
      <c r="AN137" s="11" t="s">
        <v>3044</v>
      </c>
      <c r="AO137" s="73">
        <v>98660165106</v>
      </c>
      <c r="AP137" t="str">
        <f>VLOOKUP(AO137,ОКТМО!B:J,6,0)</f>
        <v>Нерюнгринский муниципальный район</v>
      </c>
      <c r="AQ137" t="str">
        <f>VLOOKUP(AO137,ОКТМО!B:J,9,0)</f>
        <v>поселок Чульман</v>
      </c>
    </row>
    <row r="138" spans="21:43">
      <c r="U138">
        <v>136</v>
      </c>
      <c r="V138" t="s">
        <v>621</v>
      </c>
      <c r="W138" t="s">
        <v>1341</v>
      </c>
      <c r="X138" t="s">
        <v>1341</v>
      </c>
      <c r="Y138" s="70">
        <f>VLOOKUP(X138,ОКТМО!M:N,2,0)</f>
        <v>98616404101</v>
      </c>
      <c r="Z138" t="str">
        <f>VLOOKUP(X138,ОКТМО!M:N,1,0)</f>
        <v>Бетенкёс</v>
      </c>
      <c r="AA138" t="str">
        <f>VLOOKUP(Y138,ОКТМО!B:J,9,0)</f>
        <v>Адычинский наслег</v>
      </c>
      <c r="AB138" t="str">
        <f>VLOOKUP(Y138,ОКТМО!B:J,6,0)</f>
        <v>Верхоянский муниципальный район</v>
      </c>
      <c r="AK138" s="1">
        <v>135</v>
      </c>
      <c r="AL138" s="1" t="s">
        <v>424</v>
      </c>
      <c r="AM138" s="1" t="s">
        <v>425</v>
      </c>
      <c r="AN138" s="1" t="s">
        <v>425</v>
      </c>
      <c r="AO138" s="73">
        <v>98603105106</v>
      </c>
      <c r="AP138" t="str">
        <f>VLOOKUP(AO138,ОКТМО!B:J,6,0)</f>
        <v>Алданский муниципальный район</v>
      </c>
      <c r="AQ138" t="str">
        <f>VLOOKUP(AO138,ОКТМО!B:J,9,0)</f>
        <v>город Томмот</v>
      </c>
    </row>
    <row r="139" spans="21:43">
      <c r="U139">
        <v>137</v>
      </c>
      <c r="V139" t="s">
        <v>588</v>
      </c>
      <c r="W139" t="s">
        <v>1406</v>
      </c>
      <c r="X139" t="s">
        <v>1406</v>
      </c>
      <c r="Y139" s="70">
        <f>VLOOKUP(X139,ОКТМО!M:N,2,0)</f>
        <v>98616477101</v>
      </c>
      <c r="Z139" t="str">
        <f>VLOOKUP(X139,ОКТМО!M:N,1,0)</f>
        <v>Боронук</v>
      </c>
      <c r="AA139" t="str">
        <f>VLOOKUP(Y139,ОКТМО!B:J,9,0)</f>
        <v>Бабушкинский наслег</v>
      </c>
      <c r="AB139" t="str">
        <f>VLOOKUP(Y139,ОКТМО!B:J,6,0)</f>
        <v>Верхоянский муниципальный район</v>
      </c>
      <c r="AK139" s="1">
        <v>136</v>
      </c>
      <c r="AL139" s="1" t="s">
        <v>330</v>
      </c>
      <c r="AM139" s="1" t="s">
        <v>428</v>
      </c>
      <c r="AN139" s="1" t="s">
        <v>428</v>
      </c>
      <c r="AO139" s="73">
        <v>98603460101</v>
      </c>
      <c r="AP139" t="str">
        <f>VLOOKUP(AO139,ОКТМО!B:J,6,0)</f>
        <v>Алданский муниципальный район</v>
      </c>
      <c r="AQ139" t="str">
        <f>VLOOKUP(AO139,ОКТМО!B:J,9,0)</f>
        <v>Чагдинский наслег</v>
      </c>
    </row>
    <row r="140" spans="21:43">
      <c r="U140">
        <v>138</v>
      </c>
      <c r="V140" t="s">
        <v>588</v>
      </c>
      <c r="W140" t="s">
        <v>589</v>
      </c>
      <c r="X140" t="s">
        <v>589</v>
      </c>
      <c r="Y140" s="70">
        <f>VLOOKUP(X140,ОКТМО!M:N,2,0)</f>
        <v>98616103001</v>
      </c>
      <c r="Z140" t="str">
        <f>VLOOKUP(X140,ОКТМО!M:N,1,0)</f>
        <v>Верхоянск</v>
      </c>
      <c r="AA140" t="str">
        <f>VLOOKUP(Y140,ОКТМО!B:J,9,0)</f>
        <v>город Верхоянск</v>
      </c>
      <c r="AB140" t="str">
        <f>VLOOKUP(Y140,ОКТМО!B:J,6,0)</f>
        <v>Верхоянский муниципальный район</v>
      </c>
      <c r="AK140" s="1">
        <v>137</v>
      </c>
      <c r="AL140" s="1" t="s">
        <v>431</v>
      </c>
      <c r="AM140" s="1" t="s">
        <v>432</v>
      </c>
      <c r="AN140" s="1" t="s">
        <v>432</v>
      </c>
      <c r="AO140" s="73">
        <v>8606416101</v>
      </c>
      <c r="AP140" t="str">
        <f>VLOOKUP(AO140,ОКТМО!B:J,6,0)</f>
        <v>Аяно-Майский муниципальный район</v>
      </c>
      <c r="AQ140" t="str">
        <f>VLOOKUP(AO140,ОКТМО!B:J,9,0)</f>
        <v>Нельканское</v>
      </c>
    </row>
    <row r="141" spans="21:43">
      <c r="U141">
        <v>139</v>
      </c>
      <c r="V141" t="s">
        <v>588</v>
      </c>
      <c r="W141" t="s">
        <v>1400</v>
      </c>
      <c r="X141" t="s">
        <v>1400</v>
      </c>
      <c r="Y141" s="70">
        <f>VLOOKUP(X141,ОКТМО!M:N,2,0)</f>
        <v>98616470101</v>
      </c>
      <c r="Z141" t="str">
        <f>VLOOKUP(X141,ОКТМО!M:N,1,0)</f>
        <v>Хайысардах</v>
      </c>
      <c r="AA141" t="str">
        <f>VLOOKUP(Y141,ОКТМО!B:J,9,0)</f>
        <v>Эльгесский наслег</v>
      </c>
      <c r="AB141" t="str">
        <f>VLOOKUP(Y141,ОКТМО!B:J,6,0)</f>
        <v>Верхоянский муниципальный район</v>
      </c>
      <c r="AK141" s="1">
        <v>138</v>
      </c>
      <c r="AL141" s="1" t="s">
        <v>431</v>
      </c>
      <c r="AM141" s="1" t="s">
        <v>435</v>
      </c>
      <c r="AN141" s="1" t="s">
        <v>435</v>
      </c>
      <c r="AO141" s="73">
        <v>8606402101</v>
      </c>
      <c r="AP141" t="str">
        <f>VLOOKUP(AO141,ОКТМО!B:J,6,0)</f>
        <v>Аяно-Майский муниципальный район</v>
      </c>
      <c r="AQ141" t="str">
        <f>VLOOKUP(AO141,ОКТМО!B:J,9,0)</f>
        <v>Аимское</v>
      </c>
    </row>
    <row r="142" spans="21:43">
      <c r="U142">
        <v>140</v>
      </c>
      <c r="V142" t="s">
        <v>617</v>
      </c>
      <c r="W142" t="s">
        <v>3221</v>
      </c>
      <c r="X142" s="74" t="s">
        <v>618</v>
      </c>
      <c r="Y142" s="75">
        <v>98616425101</v>
      </c>
      <c r="Z142" t="str">
        <f>VLOOKUP(X142,ОКТМО!M:N,1,0)</f>
        <v>Томтор</v>
      </c>
      <c r="AA142" t="str">
        <f>VLOOKUP(Y142,ОКТМО!B:J,9,0)</f>
        <v>Дулгалахский наслег</v>
      </c>
      <c r="AB142" t="str">
        <f>VLOOKUP(Y142,ОКТМО!B:J,6,0)</f>
        <v>Верхоянский муниципальный район</v>
      </c>
      <c r="AC142" t="s">
        <v>617</v>
      </c>
      <c r="AK142" s="1">
        <v>139</v>
      </c>
      <c r="AL142" s="1" t="s">
        <v>431</v>
      </c>
      <c r="AM142" s="1" t="s">
        <v>438</v>
      </c>
      <c r="AN142" s="1" t="s">
        <v>438</v>
      </c>
      <c r="AO142" s="73">
        <v>98654151106</v>
      </c>
      <c r="AP142" t="str">
        <f>VLOOKUP(AO142,ОКТМО!B:J,6,0)</f>
        <v>Усть-Майский муниципальный район</v>
      </c>
      <c r="AQ142" t="str">
        <f>VLOOKUP(AO142,ОКТМО!B:J,9,0)</f>
        <v>поселок Усть-Мая</v>
      </c>
    </row>
    <row r="143" spans="21:43">
      <c r="U143">
        <v>141</v>
      </c>
      <c r="V143" t="s">
        <v>610</v>
      </c>
      <c r="W143" t="s">
        <v>1371</v>
      </c>
      <c r="X143" t="s">
        <v>1371</v>
      </c>
      <c r="Y143" s="70">
        <f>VLOOKUP(X143,ОКТМО!M:N,2,0)</f>
        <v>98616442106</v>
      </c>
      <c r="Z143" t="str">
        <f>VLOOKUP(X143,ОКТМО!M:N,1,0)</f>
        <v>Сысы-Мейите</v>
      </c>
      <c r="AA143" t="str">
        <f>VLOOKUP(Y143,ОКТМО!B:J,9,0)</f>
        <v>Сартанский наслег</v>
      </c>
      <c r="AB143" t="str">
        <f>VLOOKUP(Y143,ОКТМО!B:J,6,0)</f>
        <v>Верхоянский муниципальный район</v>
      </c>
      <c r="AK143" s="1">
        <v>140</v>
      </c>
      <c r="AL143" s="1" t="s">
        <v>431</v>
      </c>
      <c r="AM143" s="1" t="s">
        <v>441</v>
      </c>
      <c r="AN143" s="1" t="s">
        <v>441</v>
      </c>
      <c r="AO143" s="73">
        <v>98654151106</v>
      </c>
      <c r="AP143" t="str">
        <f>VLOOKUP(AO143,ОКТМО!B:J,6,0)</f>
        <v>Усть-Майский муниципальный район</v>
      </c>
      <c r="AQ143" t="str">
        <f>VLOOKUP(AO143,ОКТМО!B:J,9,0)</f>
        <v>поселок Усть-Мая</v>
      </c>
    </row>
    <row r="144" spans="21:43">
      <c r="U144">
        <v>142</v>
      </c>
      <c r="V144" t="s">
        <v>3222</v>
      </c>
      <c r="W144" t="s">
        <v>859</v>
      </c>
      <c r="X144" t="s">
        <v>859</v>
      </c>
      <c r="Y144" s="70">
        <f>VLOOKUP(X144,ОКТМО!M:N,2,0)</f>
        <v>98601417101</v>
      </c>
      <c r="Z144" t="str">
        <f>VLOOKUP(X144,ОКТМО!M:N,1,0)</f>
        <v>Сыаганнах</v>
      </c>
      <c r="AA144" t="str">
        <f>VLOOKUP(Y144,ОКТМО!B:J,9,0)</f>
        <v>Мугурдахский наслег</v>
      </c>
      <c r="AB144" t="str">
        <f>VLOOKUP(Y144,ОКТМО!B:J,6,0)</f>
        <v>Абыйский муниципальный район</v>
      </c>
      <c r="AK144" s="1">
        <v>141</v>
      </c>
      <c r="AL144" s="1" t="s">
        <v>444</v>
      </c>
      <c r="AM144" s="1" t="s">
        <v>445</v>
      </c>
      <c r="AN144" s="1" t="s">
        <v>445</v>
      </c>
      <c r="AO144" s="73">
        <v>98654156051</v>
      </c>
      <c r="AP144" t="str">
        <f>VLOOKUP(AO144,ОКТМО!B:J,6,0)</f>
        <v>Усть-Майский муниципальный район</v>
      </c>
      <c r="AQ144" t="str">
        <f>VLOOKUP(AO144,ОКТМО!B:J,9,0)</f>
        <v>поселок Звездочка</v>
      </c>
    </row>
    <row r="145" spans="21:43">
      <c r="U145">
        <v>143</v>
      </c>
      <c r="V145" t="s">
        <v>632</v>
      </c>
      <c r="W145" t="s">
        <v>850</v>
      </c>
      <c r="X145" t="s">
        <v>850</v>
      </c>
      <c r="Y145" s="70">
        <f>VLOOKUP(X145,ОКТМО!M:N,2,0)</f>
        <v>98601409101</v>
      </c>
      <c r="Z145" t="str">
        <f>VLOOKUP(X145,ОКТМО!M:N,1,0)</f>
        <v>Куберганя</v>
      </c>
      <c r="AA145" t="str">
        <f>VLOOKUP(Y145,ОКТМО!B:J,9,0)</f>
        <v>Майорский национальный наслег</v>
      </c>
      <c r="AB145" t="str">
        <f>VLOOKUP(Y145,ОКТМО!B:J,6,0)</f>
        <v>Абыйский муниципальный район</v>
      </c>
      <c r="AK145" s="1">
        <v>142</v>
      </c>
      <c r="AL145" s="1" t="s">
        <v>448</v>
      </c>
      <c r="AM145" s="1" t="s">
        <v>449</v>
      </c>
      <c r="AN145" s="11" t="s">
        <v>2921</v>
      </c>
      <c r="AO145" s="73">
        <v>98658410101</v>
      </c>
      <c r="AP145" t="str">
        <f>VLOOKUP(AO145,ОКТМО!B:J,6,0)</f>
        <v>Чурапчинский муниципальный район</v>
      </c>
      <c r="AQ145" t="str">
        <f>VLOOKUP(AO145,ОКТМО!B:J,9,0)</f>
        <v>Болтогинский наслег</v>
      </c>
    </row>
    <row r="146" spans="21:43">
      <c r="U146">
        <v>144</v>
      </c>
      <c r="V146" t="s">
        <v>632</v>
      </c>
      <c r="W146" t="s">
        <v>876</v>
      </c>
      <c r="X146" t="s">
        <v>876</v>
      </c>
      <c r="Y146" s="70">
        <f>VLOOKUP(X146,ОКТМО!M:N,2,0)</f>
        <v>98601433101</v>
      </c>
      <c r="Z146" t="str">
        <f>VLOOKUP(X146,ОКТМО!M:N,1,0)</f>
        <v>Сутуруоха</v>
      </c>
      <c r="AA146" t="str">
        <f>VLOOKUP(Y146,ОКТМО!B:J,9,0)</f>
        <v>Урасалахский наслег</v>
      </c>
      <c r="AB146" t="str">
        <f>VLOOKUP(Y146,ОКТМО!B:J,6,0)</f>
        <v>Абыйский муниципальный район</v>
      </c>
      <c r="AK146" s="1">
        <v>143</v>
      </c>
      <c r="AL146" s="1" t="s">
        <v>448</v>
      </c>
      <c r="AM146" s="1" t="s">
        <v>452</v>
      </c>
      <c r="AN146" s="77" t="s">
        <v>1014</v>
      </c>
      <c r="AO146" s="73">
        <v>98604435101</v>
      </c>
      <c r="AP146" t="str">
        <f>VLOOKUP(AO146,ОКТМО!B:J,6,0)</f>
        <v>Таттинский муниципальный район</v>
      </c>
      <c r="AQ146" t="str">
        <f>VLOOKUP(AO146,ОКТМО!B:J,9,0)</f>
        <v>Октябрьский наслег</v>
      </c>
    </row>
    <row r="147" spans="21:43">
      <c r="U147">
        <v>145</v>
      </c>
      <c r="V147" t="s">
        <v>632</v>
      </c>
      <c r="W147" t="s">
        <v>642</v>
      </c>
      <c r="X147" t="s">
        <v>642</v>
      </c>
      <c r="Y147" s="70">
        <f>VLOOKUP(X147,ОКТМО!M:N,2,0)</f>
        <v>98601151051</v>
      </c>
      <c r="Z147" t="str">
        <f>VLOOKUP(X147,ОКТМО!M:N,1,0)</f>
        <v>Белая Гора</v>
      </c>
      <c r="AA147" t="str">
        <f>VLOOKUP(Y147,ОКТМО!B:J,9,0)</f>
        <v>поселок Белая Гора</v>
      </c>
      <c r="AB147" t="str">
        <f>VLOOKUP(Y147,ОКТМО!B:J,6,0)</f>
        <v>Абыйский муниципальный район</v>
      </c>
      <c r="AK147" s="1">
        <v>144</v>
      </c>
      <c r="AL147" s="1" t="s">
        <v>448</v>
      </c>
      <c r="AM147" s="1" t="s">
        <v>455</v>
      </c>
      <c r="AN147" s="65" t="s">
        <v>996</v>
      </c>
      <c r="AO147" s="73">
        <v>98604420101</v>
      </c>
      <c r="AP147" t="str">
        <f>VLOOKUP(AO147,ОКТМО!B:J,6,0)</f>
        <v>Таттинский муниципальный район</v>
      </c>
      <c r="AQ147" t="str">
        <f>VLOOKUP(AO147,ОКТМО!B:J,9,0)</f>
        <v>Жохсогонский наслег</v>
      </c>
    </row>
    <row r="148" spans="21:43">
      <c r="U148">
        <v>146</v>
      </c>
      <c r="V148" t="s">
        <v>666</v>
      </c>
      <c r="W148" t="s">
        <v>679</v>
      </c>
      <c r="X148" t="s">
        <v>679</v>
      </c>
      <c r="Y148" s="70">
        <f>VLOOKUP(X148,ОКТМО!M:N,2,0)</f>
        <v>98615151051</v>
      </c>
      <c r="Z148" t="str">
        <f>VLOOKUP(X148,ОКТМО!M:N,1,0)</f>
        <v>Зырянка</v>
      </c>
      <c r="AA148" t="str">
        <f>VLOOKUP(Y148,ОКТМО!B:J,9,0)</f>
        <v>поселок Зырянка</v>
      </c>
      <c r="AB148" t="str">
        <f>VLOOKUP(Y148,ОКТМО!B:J,6,0)</f>
        <v>Верхнеколымский муниципальный район</v>
      </c>
      <c r="AK148" s="1">
        <v>145</v>
      </c>
      <c r="AL148" s="1" t="s">
        <v>458</v>
      </c>
      <c r="AM148" s="1" t="s">
        <v>459</v>
      </c>
      <c r="AN148" s="11" t="s">
        <v>918</v>
      </c>
      <c r="AO148" s="73">
        <v>98603105111</v>
      </c>
      <c r="AP148" t="str">
        <f>VLOOKUP(AO148,ОКТМО!B:J,6,0)</f>
        <v>Алданский муниципальный район</v>
      </c>
      <c r="AQ148" t="str">
        <f>VLOOKUP(AO148,ОКТМО!B:J,9,0)</f>
        <v>город Томмот</v>
      </c>
    </row>
    <row r="149" spans="21:43">
      <c r="U149">
        <v>147</v>
      </c>
      <c r="V149" t="s">
        <v>666</v>
      </c>
      <c r="W149" t="s">
        <v>682</v>
      </c>
      <c r="X149" t="s">
        <v>682</v>
      </c>
      <c r="Y149" s="70">
        <f>VLOOKUP(X149,ОКТМО!M:N,2,0)</f>
        <v>98646101001</v>
      </c>
      <c r="Z149" t="str">
        <f>VLOOKUP(X149,ОКТМО!M:N,1,0)</f>
        <v>Среднеколымск</v>
      </c>
      <c r="AA149" t="str">
        <f>VLOOKUP(Y149,ОКТМО!B:J,9,0)</f>
        <v>город Среднеколымск</v>
      </c>
      <c r="AB149" t="str">
        <f>VLOOKUP(Y149,ОКТМО!B:J,6,0)</f>
        <v>Среднеколымский муниципальный район</v>
      </c>
      <c r="AK149" s="1">
        <v>146</v>
      </c>
      <c r="AL149" s="1" t="s">
        <v>458</v>
      </c>
      <c r="AM149" s="1" t="s">
        <v>458</v>
      </c>
      <c r="AN149" s="1" t="s">
        <v>458</v>
      </c>
      <c r="AO149" s="73">
        <v>98608432101</v>
      </c>
      <c r="AP149" t="str">
        <f>VLOOKUP(AO149,ОКТМО!B:J,6,0)</f>
        <v>Амгинский муниципальный район</v>
      </c>
      <c r="AQ149" t="str">
        <f>VLOOKUP(AO149,ОКТМО!B:J,9,0)</f>
        <v>Амгинский наслег</v>
      </c>
    </row>
    <row r="150" spans="21:43">
      <c r="U150">
        <v>148</v>
      </c>
      <c r="V150" t="s">
        <v>707</v>
      </c>
      <c r="W150" t="s">
        <v>708</v>
      </c>
      <c r="X150" t="s">
        <v>708</v>
      </c>
      <c r="Y150" s="70">
        <f>VLOOKUP(X150,ОКТМО!M:N,2,0)</f>
        <v>98646436101</v>
      </c>
      <c r="Z150" t="str">
        <f>VLOOKUP(X150,ОКТМО!M:N,1,0)</f>
        <v>Сватай</v>
      </c>
      <c r="AA150" t="str">
        <f>VLOOKUP(Y150,ОКТМО!B:J,9,0)</f>
        <v>Мятисский 2-й наслег</v>
      </c>
      <c r="AB150" t="str">
        <f>VLOOKUP(Y150,ОКТМО!B:J,6,0)</f>
        <v>Среднеколымский муниципальный район</v>
      </c>
      <c r="AK150" s="1">
        <v>147</v>
      </c>
      <c r="AL150" s="1" t="s">
        <v>458</v>
      </c>
      <c r="AM150" s="1" t="s">
        <v>464</v>
      </c>
      <c r="AN150" s="65" t="s">
        <v>1072</v>
      </c>
      <c r="AO150" s="73">
        <v>98608405101</v>
      </c>
      <c r="AP150" t="str">
        <f>VLOOKUP(AO150,ОКТМО!B:J,6,0)</f>
        <v>Амгинский муниципальный район</v>
      </c>
      <c r="AQ150" t="str">
        <f>VLOOKUP(AO150,ОКТМО!B:J,9,0)</f>
        <v>Абагинский наслег</v>
      </c>
    </row>
    <row r="151" spans="21:43">
      <c r="U151">
        <v>149</v>
      </c>
      <c r="V151" t="s">
        <v>707</v>
      </c>
      <c r="W151" t="s">
        <v>711</v>
      </c>
      <c r="X151" t="s">
        <v>711</v>
      </c>
      <c r="Y151" s="70">
        <f>VLOOKUP(X151,ОКТМО!M:N,2,0)</f>
        <v>98646405101</v>
      </c>
      <c r="Z151" t="str">
        <f>VLOOKUP(X151,ОКТМО!M:N,1,0)</f>
        <v>Аргахтах</v>
      </c>
      <c r="AA151" t="str">
        <f>VLOOKUP(Y151,ОКТМО!B:J,9,0)</f>
        <v>Алазейский наслег</v>
      </c>
      <c r="AB151" t="str">
        <f>VLOOKUP(Y151,ОКТМО!B:J,6,0)</f>
        <v>Среднеколымский муниципальный район</v>
      </c>
      <c r="AK151" s="1">
        <v>148</v>
      </c>
      <c r="AL151" s="1" t="s">
        <v>458</v>
      </c>
      <c r="AM151" s="1" t="s">
        <v>467</v>
      </c>
      <c r="AN151" s="65" t="s">
        <v>1109</v>
      </c>
      <c r="AO151" s="73">
        <v>98608455101</v>
      </c>
      <c r="AP151" t="str">
        <f>VLOOKUP(AO151,ОКТМО!B:J,6,0)</f>
        <v>Амгинский муниципальный район</v>
      </c>
      <c r="AQ151" t="str">
        <f>VLOOKUP(AO151,ОКТМО!B:J,9,0)</f>
        <v>Мяндигинский наслег</v>
      </c>
    </row>
    <row r="152" spans="21:43">
      <c r="U152">
        <v>150</v>
      </c>
      <c r="V152" t="s">
        <v>3223</v>
      </c>
      <c r="W152" t="s">
        <v>2494</v>
      </c>
      <c r="X152" t="s">
        <v>2494</v>
      </c>
      <c r="Y152" s="70">
        <f>VLOOKUP(X152,ОКТМО!M:N,2,0)</f>
        <v>98646410101</v>
      </c>
      <c r="Z152" t="str">
        <f>VLOOKUP(X152,ОКТМО!M:N,1,0)</f>
        <v>Налимск</v>
      </c>
      <c r="AA152" t="str">
        <f>VLOOKUP(Y152,ОКТМО!B:J,9,0)</f>
        <v>Байдинский наслег</v>
      </c>
      <c r="AB152" t="str">
        <f>VLOOKUP(Y152,ОКТМО!B:J,6,0)</f>
        <v>Среднеколымский муниципальный район</v>
      </c>
      <c r="AK152" s="1">
        <v>149</v>
      </c>
      <c r="AL152" s="1" t="s">
        <v>458</v>
      </c>
      <c r="AM152" s="1" t="s">
        <v>470</v>
      </c>
      <c r="AN152" s="65" t="s">
        <v>2927</v>
      </c>
      <c r="AO152" s="73">
        <v>98658415101</v>
      </c>
      <c r="AP152" t="str">
        <f>VLOOKUP(AO152,ОКТМО!B:J,6,0)</f>
        <v>Чурапчинский муниципальный район</v>
      </c>
      <c r="AQ152" t="str">
        <f>VLOOKUP(AO152,ОКТМО!B:J,9,0)</f>
        <v>Болугурский наслег</v>
      </c>
    </row>
    <row r="153" spans="21:43">
      <c r="U153">
        <v>151</v>
      </c>
      <c r="V153" t="s">
        <v>632</v>
      </c>
      <c r="W153" t="s">
        <v>2008</v>
      </c>
      <c r="X153" t="s">
        <v>2008</v>
      </c>
      <c r="Y153" s="70">
        <f>VLOOKUP(X153,ОКТМО!M:N,2,0)</f>
        <v>98633423101</v>
      </c>
      <c r="Z153" t="str">
        <f>VLOOKUP(X153,ОКТМО!M:N,1,0)</f>
        <v>Хонуу</v>
      </c>
      <c r="AA153" t="str">
        <f>VLOOKUP(Y153,ОКТМО!B:J,9,0)</f>
        <v>Момский национальный наслег</v>
      </c>
      <c r="AB153" t="str">
        <f>VLOOKUP(Y153,ОКТМО!B:J,6,0)</f>
        <v>Момский муниципальный район</v>
      </c>
      <c r="AK153" s="1">
        <v>150</v>
      </c>
      <c r="AL153" s="1" t="s">
        <v>458</v>
      </c>
      <c r="AM153" s="1" t="s">
        <v>473</v>
      </c>
      <c r="AN153" s="65" t="s">
        <v>2954</v>
      </c>
      <c r="AO153" s="73">
        <v>98658435101</v>
      </c>
      <c r="AP153" t="str">
        <f>VLOOKUP(AO153,ОКТМО!B:J,6,0)</f>
        <v>Чурапчинский муниципальный район</v>
      </c>
      <c r="AQ153" t="str">
        <f>VLOOKUP(AO153,ОКТМО!B:J,9,0)</f>
        <v>Соловьевский наслег</v>
      </c>
    </row>
    <row r="154" spans="21:43">
      <c r="U154">
        <v>152</v>
      </c>
      <c r="V154" t="s">
        <v>632</v>
      </c>
      <c r="W154" t="s">
        <v>2000</v>
      </c>
      <c r="X154" t="s">
        <v>2000</v>
      </c>
      <c r="Y154" s="70">
        <f>VLOOKUP(X154,ОКТМО!M:N,2,0)</f>
        <v>98633405101</v>
      </c>
      <c r="Z154" t="str">
        <f>VLOOKUP(X154,ОКТМО!M:N,1,0)</f>
        <v>Кулун-Елбют</v>
      </c>
      <c r="AA154" t="str">
        <f>VLOOKUP(Y154,ОКТМО!B:J,9,0)</f>
        <v>Чыбагалахский национальный наслег</v>
      </c>
      <c r="AB154" t="str">
        <f>VLOOKUP(Y154,ОКТМО!B:J,6,0)</f>
        <v>Момский муниципальный район</v>
      </c>
      <c r="AK154" s="1">
        <v>151</v>
      </c>
      <c r="AL154" s="1" t="s">
        <v>458</v>
      </c>
      <c r="AM154" s="1" t="s">
        <v>476</v>
      </c>
      <c r="AN154" s="65" t="s">
        <v>991</v>
      </c>
      <c r="AO154" s="73">
        <v>98604418101</v>
      </c>
      <c r="AP154" t="str">
        <f>VLOOKUP(AO154,ОКТМО!B:J,6,0)</f>
        <v>Таттинский муниципальный район</v>
      </c>
      <c r="AQ154" t="str">
        <f>VLOOKUP(AO154,ОКТМО!B:J,9,0)</f>
        <v>Дайа-Амгинский наслег</v>
      </c>
    </row>
    <row r="155" spans="21:43">
      <c r="U155">
        <v>153</v>
      </c>
      <c r="V155" t="s">
        <v>632</v>
      </c>
      <c r="W155" t="s">
        <v>2004</v>
      </c>
      <c r="X155" t="s">
        <v>2004</v>
      </c>
      <c r="Y155" s="70">
        <f>VLOOKUP(X155,ОКТМО!M:N,2,0)</f>
        <v>98633414101</v>
      </c>
      <c r="Z155" t="str">
        <f>VLOOKUP(X155,ОКТМО!M:N,1,0)</f>
        <v>Буор-Сысы</v>
      </c>
      <c r="AA155" t="str">
        <f>VLOOKUP(Y155,ОКТМО!B:J,9,0)</f>
        <v>Индигирский национальный наслег</v>
      </c>
      <c r="AB155" t="str">
        <f>VLOOKUP(Y155,ОКТМО!B:J,6,0)</f>
        <v>Момский муниципальный район</v>
      </c>
      <c r="AK155" s="1">
        <v>152</v>
      </c>
      <c r="AL155" s="1" t="s">
        <v>458</v>
      </c>
      <c r="AM155" s="1" t="s">
        <v>479</v>
      </c>
      <c r="AN155" s="1" t="s">
        <v>1018</v>
      </c>
      <c r="AO155" s="73">
        <v>98604440101</v>
      </c>
      <c r="AP155" t="str">
        <f>VLOOKUP(AO155,ОКТМО!B:J,6,0)</f>
        <v>Таттинский муниципальный район</v>
      </c>
      <c r="AQ155" t="str">
        <f>VLOOKUP(AO155,ОКТМО!B:J,9,0)</f>
        <v>Средне-Амгинский наслег</v>
      </c>
    </row>
    <row r="156" spans="21:43">
      <c r="U156">
        <v>154</v>
      </c>
      <c r="V156" t="s">
        <v>448</v>
      </c>
      <c r="W156" t="s">
        <v>2944</v>
      </c>
      <c r="X156" t="s">
        <v>2944</v>
      </c>
      <c r="Y156" s="70">
        <f>VLOOKUP(X156,ОКТМО!M:N,2,0)</f>
        <v>98658430101</v>
      </c>
      <c r="Z156" t="str">
        <f>VLOOKUP(X156,ОКТМО!M:N,1,0)</f>
        <v>Дябыла</v>
      </c>
      <c r="AA156" t="str">
        <f>VLOOKUP(Y156,ОКТМО!B:J,9,0)</f>
        <v>Ожулунский наслег</v>
      </c>
      <c r="AB156" t="str">
        <f>VLOOKUP(Y156,ОКТМО!B:J,6,0)</f>
        <v>Чурапчинский муниципальный район</v>
      </c>
      <c r="AK156" s="1"/>
      <c r="AL156" s="1" t="s">
        <v>458</v>
      </c>
      <c r="AM156" s="1" t="s">
        <v>3157</v>
      </c>
      <c r="AN156" s="1" t="s">
        <v>1018</v>
      </c>
      <c r="AO156" s="73">
        <v>98604440101</v>
      </c>
      <c r="AP156" t="str">
        <f>VLOOKUP(AO156,ОКТМО!B:J,6,0)</f>
        <v>Таттинский муниципальный район</v>
      </c>
      <c r="AQ156" t="str">
        <f>VLOOKUP(AO156,ОКТМО!B:J,9,0)</f>
        <v>Средне-Амгинский наслег</v>
      </c>
    </row>
    <row r="157" spans="21:43">
      <c r="U157">
        <v>155</v>
      </c>
      <c r="V157" t="s">
        <v>3224</v>
      </c>
      <c r="W157" t="s">
        <v>2153</v>
      </c>
      <c r="X157" t="s">
        <v>2153</v>
      </c>
      <c r="Y157" s="70">
        <f>VLOOKUP(X157,ОКТМО!M:N,2,0)</f>
        <v>98639151051</v>
      </c>
      <c r="Z157" t="str">
        <f>VLOOKUP(X157,ОКТМО!M:N,1,0)</f>
        <v>Усть-Нера</v>
      </c>
      <c r="AA157" t="str">
        <f>VLOOKUP(Y157,ОКТМО!B:J,9,0)</f>
        <v>поселок Усть-Нера</v>
      </c>
      <c r="AB157" t="str">
        <f>VLOOKUP(Y157,ОКТМО!B:J,6,0)</f>
        <v>Оймяконский муниципальный район</v>
      </c>
      <c r="AK157" s="1">
        <v>153</v>
      </c>
      <c r="AL157" s="1" t="s">
        <v>458</v>
      </c>
      <c r="AM157" s="1" t="s">
        <v>482</v>
      </c>
      <c r="AN157" s="65" t="s">
        <v>1034</v>
      </c>
      <c r="AO157" s="73">
        <v>98604460101</v>
      </c>
      <c r="AP157" t="str">
        <f>VLOOKUP(AO157,ОКТМО!B:J,6,0)</f>
        <v>Таттинский муниципальный район</v>
      </c>
      <c r="AQ157" t="str">
        <f>VLOOKUP(AO157,ОКТМО!B:J,9,0)</f>
        <v>Усть-Амгинский наслег</v>
      </c>
    </row>
    <row r="158" spans="21:43">
      <c r="U158">
        <v>156</v>
      </c>
      <c r="V158" t="s">
        <v>632</v>
      </c>
      <c r="W158" t="s">
        <v>2165</v>
      </c>
      <c r="X158" t="s">
        <v>2165</v>
      </c>
      <c r="Y158" s="70">
        <f>VLOOKUP(X158,ОКТМО!M:N,2,0)</f>
        <v>98639405101</v>
      </c>
      <c r="Z158" t="str">
        <f>VLOOKUP(X158,ОКТМО!M:N,1,0)</f>
        <v>Оймякон</v>
      </c>
      <c r="AA158" t="str">
        <f>VLOOKUP(Y158,ОКТМО!B:J,9,0)</f>
        <v>Оймякон Полюс Холода</v>
      </c>
      <c r="AB158" t="str">
        <f>VLOOKUP(Y158,ОКТМО!B:J,6,0)</f>
        <v>Оймяконский муниципальный район</v>
      </c>
      <c r="AK158" s="1">
        <v>154</v>
      </c>
      <c r="AL158" s="1" t="s">
        <v>485</v>
      </c>
      <c r="AM158" s="1" t="s">
        <v>485</v>
      </c>
      <c r="AN158" s="1" t="s">
        <v>485</v>
      </c>
      <c r="AO158" s="73">
        <v>98650435101</v>
      </c>
      <c r="AP158" t="str">
        <f>VLOOKUP(AO158,ОКТМО!B:J,6,0)</f>
        <v>Томпонский муниципальный район</v>
      </c>
      <c r="AQ158" t="str">
        <f>VLOOKUP(AO158,ОКТМО!B:J,9,0)</f>
        <v>Томпонский национальный (эвенский) наслег</v>
      </c>
    </row>
    <row r="159" spans="21:43">
      <c r="U159">
        <v>157</v>
      </c>
      <c r="V159" t="s">
        <v>2182</v>
      </c>
      <c r="W159" t="s">
        <v>2182</v>
      </c>
      <c r="X159" t="s">
        <v>2182</v>
      </c>
      <c r="Y159" s="70">
        <f>VLOOKUP(X159,ОКТМО!M:N,2,0)</f>
        <v>98639410116</v>
      </c>
      <c r="Z159" t="str">
        <f>VLOOKUP(X159,ОКТМО!M:N,1,0)</f>
        <v>Куйдусун</v>
      </c>
      <c r="AA159" t="str">
        <f>VLOOKUP(Y159,ОКТМО!B:J,9,0)</f>
        <v>Борогонский 2-й наслег</v>
      </c>
      <c r="AB159" t="str">
        <f>VLOOKUP(Y159,ОКТМО!B:J,6,0)</f>
        <v>Оймяконский муниципальный район</v>
      </c>
      <c r="AK159" s="1">
        <v>155</v>
      </c>
      <c r="AL159" s="1" t="s">
        <v>488</v>
      </c>
      <c r="AM159" s="1" t="s">
        <v>489</v>
      </c>
      <c r="AN159" s="1" t="s">
        <v>489</v>
      </c>
      <c r="AO159" s="73">
        <v>98631162051</v>
      </c>
      <c r="AP159" t="str">
        <f>VLOOKUP(AO159,ОКТМО!B:J,6,0)</f>
        <v>Мирнинский муниципальный район</v>
      </c>
      <c r="AQ159" t="str">
        <f>VLOOKUP(AO159,ОКТМО!B:J,9,0)</f>
        <v>поселок Чернышевский</v>
      </c>
    </row>
    <row r="160" spans="21:43">
      <c r="U160">
        <v>158</v>
      </c>
      <c r="V160" t="s">
        <v>632</v>
      </c>
      <c r="W160" t="s">
        <v>2168</v>
      </c>
      <c r="X160" t="s">
        <v>2168</v>
      </c>
      <c r="Y160" s="70">
        <f>VLOOKUP(X160,ОКТМО!M:N,2,0)</f>
        <v>98639405106</v>
      </c>
      <c r="Z160" t="str">
        <f>VLOOKUP(X160,ОКТМО!M:N,1,0)</f>
        <v>Берег-Юрдя</v>
      </c>
      <c r="AA160" t="str">
        <f>VLOOKUP(Y160,ОКТМО!B:J,9,0)</f>
        <v>Оймякон Полюс Холода</v>
      </c>
      <c r="AB160" t="str">
        <f>VLOOKUP(Y160,ОКТМО!B:J,6,0)</f>
        <v>Оймяконский муниципальный район</v>
      </c>
      <c r="AK160" s="1">
        <v>156</v>
      </c>
      <c r="AL160" s="1" t="s">
        <v>488</v>
      </c>
      <c r="AM160" s="1" t="s">
        <v>492</v>
      </c>
      <c r="AN160" s="11" t="s">
        <v>1980</v>
      </c>
      <c r="AO160" s="73">
        <v>98631162051</v>
      </c>
      <c r="AP160" t="str">
        <f>VLOOKUP(AO160,ОКТМО!B:J,6,0)</f>
        <v>Мирнинский муниципальный район</v>
      </c>
      <c r="AQ160" t="str">
        <f>VLOOKUP(AO160,ОКТМО!B:J,9,0)</f>
        <v>поселок Чернышевский</v>
      </c>
    </row>
    <row r="161" spans="21:43">
      <c r="U161">
        <v>159</v>
      </c>
      <c r="V161" t="s">
        <v>632</v>
      </c>
      <c r="W161" t="s">
        <v>2171</v>
      </c>
      <c r="X161" t="s">
        <v>2171</v>
      </c>
      <c r="Y161" s="70">
        <f>VLOOKUP(X161,ОКТМО!M:N,2,0)</f>
        <v>98639405111</v>
      </c>
      <c r="Z161" t="str">
        <f>VLOOKUP(X161,ОКТМО!M:N,1,0)</f>
        <v>Хара-Тумул</v>
      </c>
      <c r="AA161" t="str">
        <f>VLOOKUP(Y161,ОКТМО!B:J,9,0)</f>
        <v>Оймякон Полюс Холода</v>
      </c>
      <c r="AB161" t="str">
        <f>VLOOKUP(Y161,ОКТМО!B:J,6,0)</f>
        <v>Оймяконский муниципальный район</v>
      </c>
      <c r="AK161" s="1">
        <v>157</v>
      </c>
      <c r="AL161" s="1" t="s">
        <v>488</v>
      </c>
      <c r="AM161" s="1" t="s">
        <v>495</v>
      </c>
      <c r="AN161" s="1" t="s">
        <v>495</v>
      </c>
      <c r="AO161" s="73">
        <v>98631428101</v>
      </c>
      <c r="AP161" t="str">
        <f>VLOOKUP(AO161,ОКТМО!B:J,6,0)</f>
        <v>Мирнинский муниципальный район</v>
      </c>
      <c r="AQ161" t="str">
        <f>VLOOKUP(AO161,ОКТМО!B:J,9,0)</f>
        <v>Садынский национальный эвенкийский наслег</v>
      </c>
    </row>
    <row r="162" spans="21:43">
      <c r="U162">
        <v>160</v>
      </c>
      <c r="V162" t="s">
        <v>632</v>
      </c>
      <c r="W162" t="s">
        <v>2186</v>
      </c>
      <c r="X162" t="s">
        <v>2186</v>
      </c>
      <c r="Y162" s="70">
        <f>VLOOKUP(X162,ОКТМО!M:N,2,0)</f>
        <v>98639427101</v>
      </c>
      <c r="Z162" t="str">
        <f>VLOOKUP(X162,ОКТМО!M:N,1,0)</f>
        <v>Орто-Балаган</v>
      </c>
      <c r="AA162" t="str">
        <f>VLOOKUP(Y162,ОКТМО!B:J,9,0)</f>
        <v>Сордоннохский национальный наслег</v>
      </c>
      <c r="AB162" t="str">
        <f>VLOOKUP(Y162,ОКТМО!B:J,6,0)</f>
        <v>Оймяконский муниципальный район</v>
      </c>
      <c r="AK162" s="1">
        <v>158</v>
      </c>
      <c r="AL162" s="1" t="s">
        <v>488</v>
      </c>
      <c r="AM162" s="1" t="s">
        <v>498</v>
      </c>
      <c r="AN162" s="1" t="s">
        <v>498</v>
      </c>
      <c r="AO162" s="73">
        <v>98648430101</v>
      </c>
      <c r="AP162" t="str">
        <f>VLOOKUP(AO162,ОКТМО!B:J,6,0)</f>
        <v>Сунтарский муниципальный район</v>
      </c>
      <c r="AQ162" t="str">
        <f>VLOOKUP(AO162,ОКТМО!B:J,9,0)</f>
        <v>Крестяхский наслег</v>
      </c>
    </row>
    <row r="163" spans="21:43">
      <c r="U163">
        <v>161</v>
      </c>
      <c r="V163" t="s">
        <v>269</v>
      </c>
      <c r="W163" t="s">
        <v>275</v>
      </c>
      <c r="X163" t="s">
        <v>275</v>
      </c>
      <c r="Y163" s="70">
        <f>VLOOKUP(X163,ОКТМО!M:N,2,0)</f>
        <v>98641420101</v>
      </c>
      <c r="Z163" t="str">
        <f>VLOOKUP(X163,ОКТМО!M:N,1,0)</f>
        <v>Токко</v>
      </c>
      <c r="AA163" t="str">
        <f>VLOOKUP(Y163,ОКТМО!B:J,9,0)</f>
        <v>Жарханский национальный наслег</v>
      </c>
      <c r="AB163" t="str">
        <f>VLOOKUP(Y163,ОКТМО!B:J,6,0)</f>
        <v>Олекминский муниципальный район</v>
      </c>
      <c r="AK163" s="1">
        <v>159</v>
      </c>
      <c r="AL163" s="1" t="s">
        <v>488</v>
      </c>
      <c r="AM163" s="1" t="s">
        <v>501</v>
      </c>
      <c r="AN163" s="1" t="s">
        <v>501</v>
      </c>
      <c r="AO163" s="73">
        <v>98648455101</v>
      </c>
      <c r="AP163" t="str">
        <f>VLOOKUP(AO163,ОКТМО!B:J,6,0)</f>
        <v>Сунтарский муниципальный район</v>
      </c>
      <c r="AQ163" t="str">
        <f>VLOOKUP(AO163,ОКТМО!B:J,9,0)</f>
        <v>Сунтарский наслег</v>
      </c>
    </row>
    <row r="164" spans="21:43">
      <c r="U164">
        <v>162</v>
      </c>
      <c r="V164" t="s">
        <v>269</v>
      </c>
      <c r="W164" t="s">
        <v>1518</v>
      </c>
      <c r="X164" t="s">
        <v>1518</v>
      </c>
      <c r="Y164" s="70">
        <f>VLOOKUP(X164,ОКТМО!M:N,2,0)</f>
        <v>98620405101</v>
      </c>
      <c r="Z164" t="str">
        <f>VLOOKUP(X164,ОКТМО!M:N,1,0)</f>
        <v>Бясь-Кюель</v>
      </c>
      <c r="AA164" t="str">
        <f>VLOOKUP(Y164,ОКТМО!B:J,9,0)</f>
        <v>Атамайский наслег</v>
      </c>
      <c r="AB164" t="str">
        <f>VLOOKUP(Y164,ОКТМО!B:J,6,0)</f>
        <v>Горный муниципальный район</v>
      </c>
      <c r="AK164" s="1">
        <v>160</v>
      </c>
      <c r="AL164" s="1" t="s">
        <v>488</v>
      </c>
      <c r="AM164" s="1" t="s">
        <v>504</v>
      </c>
      <c r="AN164" s="1" t="s">
        <v>504</v>
      </c>
      <c r="AO164" s="73">
        <v>98626101001</v>
      </c>
      <c r="AP164" t="str">
        <f>VLOOKUP(AO164,ОКТМО!B:J,6,0)</f>
        <v>Нюрбинский муниципальный район</v>
      </c>
      <c r="AQ164" t="str">
        <f>VLOOKUP(AO164,ОКТМО!B:J,9,0)</f>
        <v>город Нюрба</v>
      </c>
    </row>
    <row r="165" spans="21:43">
      <c r="U165">
        <v>163</v>
      </c>
      <c r="V165" t="s">
        <v>3225</v>
      </c>
      <c r="W165" t="s">
        <v>1633</v>
      </c>
      <c r="X165" t="s">
        <v>1633</v>
      </c>
      <c r="Y165" s="70">
        <f>VLOOKUP(X165,ОКТМО!M:N,2,0)</f>
        <v>98624429101</v>
      </c>
      <c r="Z165" t="str">
        <f>VLOOKUP(X165,ОКТМО!M:N,1,0)</f>
        <v>Себян-Кюёль</v>
      </c>
      <c r="AA165" t="str">
        <f>VLOOKUP(Y165,ОКТМО!B:J,9,0)</f>
        <v>Ламынхинский эвенский национальный наслег</v>
      </c>
      <c r="AB165" t="str">
        <f>VLOOKUP(Y165,ОКТМО!B:J,6,0)</f>
        <v>Кобяйский муниципальный район</v>
      </c>
      <c r="AK165" s="1">
        <v>161</v>
      </c>
      <c r="AL165" s="1" t="s">
        <v>488</v>
      </c>
      <c r="AM165" s="1" t="s">
        <v>507</v>
      </c>
      <c r="AN165" s="1" t="s">
        <v>1294</v>
      </c>
      <c r="AO165" s="73">
        <v>98614486101</v>
      </c>
      <c r="AP165" t="str">
        <f>VLOOKUP(AO165,ОКТМО!B:J,6,0)</f>
        <v>Верхневилюйский муниципальный район</v>
      </c>
      <c r="AQ165" t="str">
        <f>VLOOKUP(AO165,ОКТМО!B:J,9,0)</f>
        <v>Хоринский наслег</v>
      </c>
    </row>
    <row r="166" spans="21:43">
      <c r="U166">
        <v>164</v>
      </c>
      <c r="V166" t="s">
        <v>3226</v>
      </c>
      <c r="W166" t="s">
        <v>888</v>
      </c>
      <c r="X166" t="s">
        <v>888</v>
      </c>
      <c r="Y166" s="70">
        <f>VLOOKUP(X166,ОКТМО!M:N,2,0)</f>
        <v>98654166051</v>
      </c>
      <c r="Z166" t="str">
        <f>VLOOKUP(X166,ОКТМО!M:N,1,0)</f>
        <v>Югоренок</v>
      </c>
      <c r="AA166" t="str">
        <f>VLOOKUP(Y166,ОКТМО!B:J,9,0)</f>
        <v>поселок Югоренок</v>
      </c>
      <c r="AB166" t="str">
        <f>VLOOKUP(Y166,ОКТМО!B:J,6,0)</f>
        <v>Усть-Майский муниципальный район</v>
      </c>
      <c r="AK166" s="1">
        <v>162</v>
      </c>
      <c r="AL166" s="1" t="s">
        <v>488</v>
      </c>
      <c r="AM166" s="1" t="s">
        <v>510</v>
      </c>
      <c r="AN166" s="1" t="s">
        <v>510</v>
      </c>
      <c r="AO166" s="73">
        <v>98614412101</v>
      </c>
      <c r="AP166" t="str">
        <f>VLOOKUP(AO166,ОКТМО!B:J,6,0)</f>
        <v>Верхневилюйский муниципальный район</v>
      </c>
      <c r="AQ166" t="str">
        <f>VLOOKUP(AO166,ОКТМО!B:J,9,0)</f>
        <v>Верхневилюйский наслег</v>
      </c>
    </row>
    <row r="167" spans="21:43">
      <c r="U167">
        <v>165</v>
      </c>
      <c r="V167" t="s">
        <v>707</v>
      </c>
      <c r="W167" t="s">
        <v>714</v>
      </c>
      <c r="X167" t="s">
        <v>714</v>
      </c>
      <c r="Y167" s="70">
        <f>VLOOKUP(X167,ОКТМО!M:N,2,0)</f>
        <v>98637411101</v>
      </c>
      <c r="Z167" t="str">
        <f>VLOOKUP(X167,ОКТМО!M:N,1,0)</f>
        <v>Андрюшкино</v>
      </c>
      <c r="AA167" t="str">
        <f>VLOOKUP(Y167,ОКТМО!B:J,9,0)</f>
        <v>Национальный юкагирский "Олеринский Суктул"</v>
      </c>
      <c r="AB167" t="str">
        <f>VLOOKUP(Y167,ОКТМО!B:J,6,0)</f>
        <v>Нижнеколымский муниципальный район</v>
      </c>
      <c r="AK167" s="1">
        <v>163</v>
      </c>
      <c r="AL167" s="1" t="s">
        <v>488</v>
      </c>
      <c r="AM167" s="1" t="s">
        <v>513</v>
      </c>
      <c r="AN167" s="1" t="s">
        <v>513</v>
      </c>
      <c r="AO167" s="73">
        <v>98618101001</v>
      </c>
      <c r="AP167" t="str">
        <f>VLOOKUP(AO167,ОКТМО!B:J,6,0)</f>
        <v>Вилюйский муниципальный район</v>
      </c>
      <c r="AQ167" t="str">
        <f>VLOOKUP(AO167,ОКТМО!B:J,9,0)</f>
        <v>город Вилюйск</v>
      </c>
    </row>
    <row r="168" spans="21:43">
      <c r="U168">
        <v>166</v>
      </c>
      <c r="V168" t="s">
        <v>414</v>
      </c>
      <c r="W168" t="s">
        <v>414</v>
      </c>
      <c r="X168" t="s">
        <v>414</v>
      </c>
      <c r="Y168" s="70">
        <f>VLOOKUP(X168,ОКТМО!M:N,2,0)</f>
        <v>98660165051</v>
      </c>
      <c r="Z168" t="str">
        <f>VLOOKUP(X168,ОКТМО!M:N,1,0)</f>
        <v>Чульман</v>
      </c>
      <c r="AA168" t="str">
        <f>VLOOKUP(Y168,ОКТМО!B:J,9,0)</f>
        <v>поселок Чульман</v>
      </c>
      <c r="AB168" t="str">
        <f>VLOOKUP(Y168,ОКТМО!B:J,6,0)</f>
        <v>Нерюнгринский муниципальный район</v>
      </c>
      <c r="AK168" s="1">
        <v>164</v>
      </c>
      <c r="AL168" s="1" t="s">
        <v>488</v>
      </c>
      <c r="AM168" s="1" t="s">
        <v>516</v>
      </c>
      <c r="AN168" s="1" t="s">
        <v>516</v>
      </c>
      <c r="AO168" s="73">
        <v>98624405111</v>
      </c>
      <c r="AP168" t="str">
        <f>VLOOKUP(AO168,ОКТМО!B:J,6,0)</f>
        <v>Кобяйский муниципальный район</v>
      </c>
      <c r="AQ168" t="str">
        <f>VLOOKUP(AO168,ОКТМО!B:J,9,0)</f>
        <v>Арыктахский наслег</v>
      </c>
    </row>
    <row r="169" spans="21:43">
      <c r="U169">
        <v>167</v>
      </c>
      <c r="V169" t="s">
        <v>410</v>
      </c>
      <c r="W169" t="s">
        <v>410</v>
      </c>
      <c r="X169" t="s">
        <v>410</v>
      </c>
      <c r="Y169" s="70">
        <f>VLOOKUP(X169,ОКТМО!M:N,2,0)</f>
        <v>98660405101</v>
      </c>
      <c r="Z169" t="str">
        <f>VLOOKUP(X169,ОКТМО!M:N,1,0)</f>
        <v>Иенгра</v>
      </c>
      <c r="AA169" t="str">
        <f>VLOOKUP(Y169,ОКТМО!B:J,9,0)</f>
        <v>Иенгринский эвенкийский национальный наслег</v>
      </c>
      <c r="AB169" t="str">
        <f>VLOOKUP(Y169,ОКТМО!B:J,6,0)</f>
        <v>Нерюнгринский муниципальный район</v>
      </c>
      <c r="AK169" s="1">
        <v>165</v>
      </c>
      <c r="AL169" s="1" t="s">
        <v>488</v>
      </c>
      <c r="AM169" s="1" t="s">
        <v>519</v>
      </c>
      <c r="AN169" s="1" t="s">
        <v>519</v>
      </c>
      <c r="AO169" s="73">
        <v>98624405111</v>
      </c>
      <c r="AP169" t="str">
        <f>VLOOKUP(AO169,ОКТМО!B:J,6,0)</f>
        <v>Кобяйский муниципальный район</v>
      </c>
      <c r="AQ169" t="str">
        <f>VLOOKUP(AO169,ОКТМО!B:J,9,0)</f>
        <v>Арыктахский наслег</v>
      </c>
    </row>
    <row r="170" spans="21:43">
      <c r="U170">
        <v>168</v>
      </c>
      <c r="V170" t="s">
        <v>317</v>
      </c>
      <c r="W170" t="s">
        <v>369</v>
      </c>
      <c r="X170" t="s">
        <v>369</v>
      </c>
      <c r="Y170" s="70">
        <f>VLOOKUP(X170,ОКТМО!M:N,2,0)</f>
        <v>98650405101</v>
      </c>
      <c r="Z170" t="str">
        <f>VLOOKUP(X170,ОКТМО!M:N,1,0)</f>
        <v>Крест-Хальджай</v>
      </c>
      <c r="AA170" t="str">
        <f>VLOOKUP(Y170,ОКТМО!B:J,9,0)</f>
        <v>Баягантайский наслег</v>
      </c>
      <c r="AB170" t="str">
        <f>VLOOKUP(Y170,ОКТМО!B:J,6,0)</f>
        <v>Томпонский муниципальный район</v>
      </c>
      <c r="AK170" s="1">
        <v>166</v>
      </c>
      <c r="AL170" s="1" t="s">
        <v>522</v>
      </c>
      <c r="AM170" s="1" t="s">
        <v>523</v>
      </c>
      <c r="AN170" s="1" t="s">
        <v>523</v>
      </c>
      <c r="AO170" s="73">
        <v>98631162051</v>
      </c>
      <c r="AP170" t="str">
        <f>VLOOKUP(AO170,ОКТМО!B:J,6,0)</f>
        <v>Мирнинский муниципальный район</v>
      </c>
      <c r="AQ170" t="str">
        <f>VLOOKUP(AO170,ОКТМО!B:J,9,0)</f>
        <v>поселок Чернышевский</v>
      </c>
    </row>
    <row r="171" spans="21:43">
      <c r="U171">
        <v>169</v>
      </c>
      <c r="V171" t="s">
        <v>11</v>
      </c>
      <c r="W171" t="s">
        <v>2027</v>
      </c>
      <c r="X171" t="s">
        <v>2027</v>
      </c>
      <c r="Y171" s="70">
        <f>VLOOKUP(X171,ОКТМО!M:N,2,0)</f>
        <v>98635405101</v>
      </c>
      <c r="Z171" t="str">
        <f>VLOOKUP(X171,ОКТМО!M:N,1,0)</f>
        <v>Сыгыннах</v>
      </c>
      <c r="AA171" t="str">
        <f>VLOOKUP(Y171,ОКТМО!B:J,9,0)</f>
        <v>Арбынский наслег</v>
      </c>
      <c r="AB171" t="str">
        <f>VLOOKUP(Y171,ОКТМО!B:J,6,0)</f>
        <v>Намский муниципальный район</v>
      </c>
      <c r="AK171" s="1">
        <v>167</v>
      </c>
      <c r="AL171" s="1" t="s">
        <v>526</v>
      </c>
      <c r="AM171" s="1" t="s">
        <v>527</v>
      </c>
      <c r="AN171" s="1" t="s">
        <v>527</v>
      </c>
      <c r="AO171" s="73">
        <v>98631162051</v>
      </c>
      <c r="AP171" t="str">
        <f>VLOOKUP(AO171,ОКТМО!B:J,6,0)</f>
        <v>Мирнинский муниципальный район</v>
      </c>
      <c r="AQ171" t="str">
        <f>VLOOKUP(AO171,ОКТМО!B:J,9,0)</f>
        <v>поселок Чернышевский</v>
      </c>
    </row>
    <row r="172" spans="21:43">
      <c r="AK172" s="1">
        <v>168</v>
      </c>
      <c r="AL172" s="1" t="s">
        <v>530</v>
      </c>
      <c r="AM172" s="1" t="s">
        <v>530</v>
      </c>
      <c r="AN172" s="1" t="s">
        <v>530</v>
      </c>
      <c r="AO172" s="73">
        <v>98631162051</v>
      </c>
      <c r="AP172" t="str">
        <f>VLOOKUP(AO172,ОКТМО!B:J,6,0)</f>
        <v>Мирнинский муниципальный район</v>
      </c>
      <c r="AQ172" t="str">
        <f>VLOOKUP(AO172,ОКТМО!B:J,9,0)</f>
        <v>поселок Чернышевский</v>
      </c>
    </row>
    <row r="173" spans="21:43">
      <c r="AK173" s="1">
        <v>169</v>
      </c>
      <c r="AL173" s="1" t="s">
        <v>533</v>
      </c>
      <c r="AM173" s="1" t="s">
        <v>534</v>
      </c>
      <c r="AN173" s="1" t="s">
        <v>534</v>
      </c>
      <c r="AO173" s="73">
        <v>98631162051</v>
      </c>
      <c r="AP173" t="str">
        <f>VLOOKUP(AO173,ОКТМО!B:J,6,0)</f>
        <v>Мирнинский муниципальный район</v>
      </c>
      <c r="AQ173" t="str">
        <f>VLOOKUP(AO173,ОКТМО!B:J,9,0)</f>
        <v>поселок Чернышевский</v>
      </c>
    </row>
    <row r="174" spans="21:43">
      <c r="Y174" s="65"/>
      <c r="AK174" s="1">
        <v>170</v>
      </c>
      <c r="AL174" s="1" t="s">
        <v>536</v>
      </c>
      <c r="AM174" s="1" t="s">
        <v>537</v>
      </c>
      <c r="AN174" s="1" t="s">
        <v>537</v>
      </c>
      <c r="AO174" s="73">
        <v>98631162051</v>
      </c>
      <c r="AP174" t="str">
        <f>VLOOKUP(AO174,ОКТМО!B:J,6,0)</f>
        <v>Мирнинский муниципальный район</v>
      </c>
      <c r="AQ174" t="str">
        <f>VLOOKUP(AO174,ОКТМО!B:J,9,0)</f>
        <v>поселок Чернышевский</v>
      </c>
    </row>
    <row r="175" spans="21:43">
      <c r="AK175" s="1">
        <v>171</v>
      </c>
      <c r="AL175" s="1" t="s">
        <v>538</v>
      </c>
      <c r="AM175" s="1" t="s">
        <v>539</v>
      </c>
      <c r="AN175" s="1" t="s">
        <v>539</v>
      </c>
      <c r="AO175" s="73">
        <v>98631162051</v>
      </c>
      <c r="AP175" t="str">
        <f>VLOOKUP(AO175,ОКТМО!B:J,6,0)</f>
        <v>Мирнинский муниципальный район</v>
      </c>
      <c r="AQ175" t="str">
        <f>VLOOKUP(AO175,ОКТМО!B:J,9,0)</f>
        <v>поселок Чернышевский</v>
      </c>
    </row>
    <row r="176" spans="21:43">
      <c r="AK176" s="1">
        <v>172</v>
      </c>
      <c r="AL176" s="1" t="s">
        <v>540</v>
      </c>
      <c r="AM176" s="1" t="s">
        <v>541</v>
      </c>
      <c r="AN176" s="1" t="s">
        <v>541</v>
      </c>
      <c r="AO176" s="73">
        <v>98631162051</v>
      </c>
      <c r="AP176" t="str">
        <f>VLOOKUP(AO176,ОКТМО!B:J,6,0)</f>
        <v>Мирнинский муниципальный район</v>
      </c>
      <c r="AQ176" t="str">
        <f>VLOOKUP(AO176,ОКТМО!B:J,9,0)</f>
        <v>поселок Чернышевский</v>
      </c>
    </row>
    <row r="177" spans="37:43">
      <c r="AK177" s="1">
        <v>173</v>
      </c>
      <c r="AL177" s="1" t="s">
        <v>544</v>
      </c>
      <c r="AM177" s="1" t="s">
        <v>545</v>
      </c>
      <c r="AN177" s="1" t="s">
        <v>545</v>
      </c>
      <c r="AO177" s="73">
        <v>98631162051</v>
      </c>
      <c r="AP177" t="str">
        <f>VLOOKUP(AO177,ОКТМО!B:J,6,0)</f>
        <v>Мирнинский муниципальный район</v>
      </c>
      <c r="AQ177" t="str">
        <f>VLOOKUP(AO177,ОКТМО!B:J,9,0)</f>
        <v>поселок Чернышевский</v>
      </c>
    </row>
    <row r="178" spans="37:43">
      <c r="AK178" s="1">
        <v>174</v>
      </c>
      <c r="AL178" s="1" t="s">
        <v>548</v>
      </c>
      <c r="AM178" s="1" t="s">
        <v>549</v>
      </c>
      <c r="AN178" s="1" t="s">
        <v>549</v>
      </c>
      <c r="AO178" s="73">
        <v>98642450101</v>
      </c>
      <c r="AP178" t="str">
        <f>VLOOKUP(AO178,ОКТМО!B:J,6,0)</f>
        <v>Оленекский эвенкийский национальный муниципальный район</v>
      </c>
      <c r="AQ178" t="str">
        <f>VLOOKUP(AO178,ОКТМО!B:J,9,0)</f>
        <v>Шологонский национальный наслег</v>
      </c>
    </row>
    <row r="179" spans="37:43">
      <c r="AK179" s="1">
        <v>175</v>
      </c>
      <c r="AL179" s="1" t="s">
        <v>548</v>
      </c>
      <c r="AM179" s="1" t="s">
        <v>552</v>
      </c>
      <c r="AN179" s="1" t="s">
        <v>552</v>
      </c>
      <c r="AO179" s="73">
        <v>98626410101</v>
      </c>
      <c r="AP179" t="str">
        <f>VLOOKUP(AO179,ОКТМО!B:J,6,0)</f>
        <v>Нюрбинский муниципальный район</v>
      </c>
      <c r="AQ179" t="str">
        <f>VLOOKUP(AO179,ОКТМО!B:J,9,0)</f>
        <v>Бордонский наслег</v>
      </c>
    </row>
    <row r="180" spans="37:43">
      <c r="AK180" s="1">
        <v>176</v>
      </c>
      <c r="AL180" s="1" t="s">
        <v>548</v>
      </c>
      <c r="AM180" s="1" t="s">
        <v>555</v>
      </c>
      <c r="AN180" s="1" t="s">
        <v>555</v>
      </c>
      <c r="AO180" s="73">
        <v>98626410101</v>
      </c>
      <c r="AP180" t="str">
        <f>VLOOKUP(AO180,ОКТМО!B:J,6,0)</f>
        <v>Нюрбинский муниципальный район</v>
      </c>
      <c r="AQ180" t="str">
        <f>VLOOKUP(AO180,ОКТМО!B:J,9,0)</f>
        <v>Бордонский наслег</v>
      </c>
    </row>
    <row r="181" spans="37:43">
      <c r="AK181" s="1">
        <v>177</v>
      </c>
      <c r="AL181" s="1" t="s">
        <v>558</v>
      </c>
      <c r="AM181" s="1" t="s">
        <v>559</v>
      </c>
      <c r="AN181" s="1" t="s">
        <v>559</v>
      </c>
      <c r="AO181" s="73">
        <v>98642437101</v>
      </c>
      <c r="AP181" t="str">
        <f>VLOOKUP(AO181,ОКТМО!B:J,6,0)</f>
        <v>Оленекский эвенкийский национальный муниципальный район</v>
      </c>
      <c r="AQ181" t="str">
        <f>VLOOKUP(AO181,ОКТМО!B:J,9,0)</f>
        <v>Оленекский национальный наслег</v>
      </c>
    </row>
    <row r="182" spans="37:43">
      <c r="AK182" s="1">
        <v>178</v>
      </c>
      <c r="AL182" s="1" t="s">
        <v>562</v>
      </c>
      <c r="AM182" s="1" t="s">
        <v>563</v>
      </c>
      <c r="AN182" s="1" t="s">
        <v>563</v>
      </c>
      <c r="AO182" s="73">
        <v>98642437101</v>
      </c>
      <c r="AP182" t="str">
        <f>VLOOKUP(AO182,ОКТМО!B:J,6,0)</f>
        <v>Оленекский эвенкийский национальный муниципальный район</v>
      </c>
      <c r="AQ182" t="str">
        <f>VLOOKUP(AO182,ОКТМО!B:J,9,0)</f>
        <v>Оленекский национальный наслег</v>
      </c>
    </row>
    <row r="183" spans="37:43">
      <c r="AK183" s="1">
        <v>179</v>
      </c>
      <c r="AL183" s="1" t="s">
        <v>566</v>
      </c>
      <c r="AM183" s="1" t="s">
        <v>567</v>
      </c>
      <c r="AN183" s="1" t="s">
        <v>567</v>
      </c>
      <c r="AO183" s="73">
        <v>98610411101</v>
      </c>
      <c r="AP183" t="str">
        <f>VLOOKUP(AO183,ОКТМО!B:J,6,0)</f>
        <v>Анабарский национальный (долгано-эвенкийский) муниципальный район</v>
      </c>
      <c r="AQ183" t="str">
        <f>VLOOKUP(AO183,ОКТМО!B:J,9,0)</f>
        <v>Саскылахский национальный (эвенкийский) наслег</v>
      </c>
    </row>
    <row r="184" spans="37:43">
      <c r="AK184" s="1">
        <v>180</v>
      </c>
      <c r="AL184" s="1" t="s">
        <v>570</v>
      </c>
      <c r="AM184" s="1" t="s">
        <v>571</v>
      </c>
      <c r="AN184" s="1" t="s">
        <v>571</v>
      </c>
      <c r="AO184" s="73">
        <v>98642437101</v>
      </c>
      <c r="AP184" t="str">
        <f>VLOOKUP(AO184,ОКТМО!B:J,6,0)</f>
        <v>Оленекский эвенкийский национальный муниципальный район</v>
      </c>
      <c r="AQ184" t="str">
        <f>VLOOKUP(AO184,ОКТМО!B:J,9,0)</f>
        <v>Оленекский национальный наслег</v>
      </c>
    </row>
    <row r="185" spans="37:43">
      <c r="AK185" s="1">
        <v>181</v>
      </c>
      <c r="AL185" s="1" t="s">
        <v>570</v>
      </c>
      <c r="AM185" s="1" t="s">
        <v>570</v>
      </c>
      <c r="AN185" s="11" t="s">
        <v>832</v>
      </c>
      <c r="AO185" s="73">
        <v>98642437101</v>
      </c>
      <c r="AP185" t="str">
        <f>VLOOKUP(AO185,ОКТМО!B:J,6,0)</f>
        <v>Оленекский эвенкийский национальный муниципальный район</v>
      </c>
      <c r="AQ185" t="str">
        <f>VLOOKUP(AO185,ОКТМО!B:J,9,0)</f>
        <v>Оленекский национальный наслег</v>
      </c>
    </row>
    <row r="186" spans="37:43">
      <c r="AK186" s="1">
        <v>182</v>
      </c>
      <c r="AL186" s="1" t="s">
        <v>570</v>
      </c>
      <c r="AM186" s="1" t="s">
        <v>576</v>
      </c>
      <c r="AN186" s="1" t="s">
        <v>576</v>
      </c>
      <c r="AO186" s="73">
        <v>98642437101</v>
      </c>
      <c r="AP186" t="str">
        <f>VLOOKUP(AO186,ОКТМО!B:J,6,0)</f>
        <v>Оленекский эвенкийский национальный муниципальный район</v>
      </c>
      <c r="AQ186" t="str">
        <f>VLOOKUP(AO186,ОКТМО!B:J,9,0)</f>
        <v>Оленекский национальный наслег</v>
      </c>
    </row>
    <row r="187" spans="37:43">
      <c r="AK187" s="1">
        <v>183</v>
      </c>
      <c r="AL187" s="1" t="s">
        <v>570</v>
      </c>
      <c r="AM187" s="1" t="s">
        <v>579</v>
      </c>
      <c r="AN187" s="11" t="s">
        <v>1182</v>
      </c>
      <c r="AO187" s="73">
        <v>98612445106</v>
      </c>
      <c r="AP187" t="str">
        <f>VLOOKUP(AO187,ОКТМО!B:J,6,0)</f>
        <v>Булунский муниципальный район</v>
      </c>
      <c r="AQ187" t="str">
        <f>VLOOKUP(AO187,ОКТМО!B:J,9,0)</f>
        <v>Тюметинский национальный (эвенкийский) наслег</v>
      </c>
    </row>
    <row r="188" spans="37:43">
      <c r="AK188" s="1">
        <v>184</v>
      </c>
      <c r="AL188" s="1" t="s">
        <v>570</v>
      </c>
      <c r="AM188" s="1" t="s">
        <v>582</v>
      </c>
      <c r="AN188" s="1" t="s">
        <v>582</v>
      </c>
      <c r="AO188" s="73">
        <v>98612445101</v>
      </c>
      <c r="AP188" t="str">
        <f>VLOOKUP(AO188,ОКТМО!B:J,6,0)</f>
        <v>Булунский муниципальный район</v>
      </c>
      <c r="AQ188" t="str">
        <f>VLOOKUP(AO188,ОКТМО!B:J,9,0)</f>
        <v>Тюметинский национальный (эвенкийский) наслег</v>
      </c>
    </row>
    <row r="189" spans="37:43">
      <c r="AK189" s="1">
        <v>185</v>
      </c>
      <c r="AL189" s="1" t="s">
        <v>570</v>
      </c>
      <c r="AM189" s="1" t="s">
        <v>585</v>
      </c>
      <c r="AN189" s="11" t="s">
        <v>1185</v>
      </c>
      <c r="AO189" s="73">
        <v>98612445111</v>
      </c>
      <c r="AP189" t="str">
        <f>VLOOKUP(AO189,ОКТМО!B:J,6,0)</f>
        <v>Булунский муниципальный район</v>
      </c>
      <c r="AQ189" t="str">
        <f>VLOOKUP(AO189,ОКТМО!B:J,9,0)</f>
        <v>Тюметинский национальный (эвенкийский) наслег</v>
      </c>
    </row>
    <row r="190" spans="37:43">
      <c r="AK190" s="1">
        <v>186</v>
      </c>
      <c r="AL190" s="1" t="s">
        <v>588</v>
      </c>
      <c r="AM190" s="1" t="s">
        <v>589</v>
      </c>
      <c r="AN190" s="1" t="s">
        <v>589</v>
      </c>
      <c r="AO190" s="73">
        <v>98616103001</v>
      </c>
      <c r="AP190" t="str">
        <f>VLOOKUP(AO190,ОКТМО!B:J,6,0)</f>
        <v>Верхоянский муниципальный район</v>
      </c>
      <c r="AQ190" t="str">
        <f>VLOOKUP(AO190,ОКТМО!B:J,9,0)</f>
        <v>город Верхоянск</v>
      </c>
    </row>
    <row r="191" spans="37:43">
      <c r="AK191" s="1">
        <v>187</v>
      </c>
      <c r="AL191" s="1" t="s">
        <v>588</v>
      </c>
      <c r="AM191" s="1" t="s">
        <v>592</v>
      </c>
      <c r="AN191" s="1" t="s">
        <v>592</v>
      </c>
      <c r="AO191" s="73">
        <v>98616151051</v>
      </c>
      <c r="AP191" t="str">
        <f>VLOOKUP(AO191,ОКТМО!B:J,6,0)</f>
        <v>Верхоянский муниципальный район</v>
      </c>
      <c r="AQ191" t="str">
        <f>VLOOKUP(AO191,ОКТМО!B:J,9,0)</f>
        <v>поселок Батагай</v>
      </c>
    </row>
    <row r="192" spans="37:43">
      <c r="AK192" s="1">
        <v>188</v>
      </c>
      <c r="AL192" s="1" t="s">
        <v>588</v>
      </c>
      <c r="AM192" s="1" t="s">
        <v>595</v>
      </c>
      <c r="AN192" s="1" t="s">
        <v>595</v>
      </c>
      <c r="AO192" s="73">
        <v>98616464101</v>
      </c>
      <c r="AP192" t="str">
        <f>VLOOKUP(AO192,ОКТМО!B:J,6,0)</f>
        <v>Верхоянский муниципальный район</v>
      </c>
      <c r="AQ192" t="str">
        <f>VLOOKUP(AO192,ОКТМО!B:J,9,0)</f>
        <v>Эгинский наслег</v>
      </c>
    </row>
    <row r="193" spans="37:43">
      <c r="AK193" s="1">
        <v>189</v>
      </c>
      <c r="AL193" s="1" t="s">
        <v>588</v>
      </c>
      <c r="AM193" s="1" t="s">
        <v>598</v>
      </c>
      <c r="AN193" s="1" t="s">
        <v>598</v>
      </c>
      <c r="AO193" s="73">
        <v>98656165051</v>
      </c>
      <c r="AP193" t="str">
        <f>VLOOKUP(AO193,ОКТМО!B:J,6,0)</f>
        <v>Усть-Янский муниципальный район</v>
      </c>
      <c r="AQ193" t="str">
        <f>VLOOKUP(AO193,ОКТМО!B:J,9,0)</f>
        <v>поселок Усть-Куйга</v>
      </c>
    </row>
    <row r="194" spans="37:43">
      <c r="AK194" s="1">
        <v>190</v>
      </c>
      <c r="AL194" s="1" t="s">
        <v>588</v>
      </c>
      <c r="AM194" s="1" t="s">
        <v>601</v>
      </c>
      <c r="AN194" s="1" t="s">
        <v>601</v>
      </c>
      <c r="AO194" s="73">
        <v>98656405101</v>
      </c>
      <c r="AP194" t="str">
        <f>VLOOKUP(AO194,ОКТМО!B:J,6,0)</f>
        <v>Усть-Янский муниципальный район</v>
      </c>
      <c r="AQ194" t="str">
        <f>VLOOKUP(AO194,ОКТМО!B:J,9,0)</f>
        <v>Казачинский национальный наслег</v>
      </c>
    </row>
    <row r="195" spans="37:43">
      <c r="AK195" s="1">
        <v>191</v>
      </c>
      <c r="AL195" s="1" t="s">
        <v>588</v>
      </c>
      <c r="AM195" s="1" t="s">
        <v>604</v>
      </c>
      <c r="AN195" s="65" t="s">
        <v>2899</v>
      </c>
      <c r="AO195" s="73">
        <v>98656425101</v>
      </c>
      <c r="AP195" t="str">
        <f>VLOOKUP(AO195,ОКТМО!B:J,6,0)</f>
        <v>Усть-Янский муниципальный район</v>
      </c>
      <c r="AQ195" t="str">
        <f>VLOOKUP(AO195,ОКТМО!B:J,9,0)</f>
        <v>Усть-Янский национальный наслег</v>
      </c>
    </row>
    <row r="196" spans="37:43">
      <c r="AK196" s="1">
        <v>192</v>
      </c>
      <c r="AL196" s="1" t="s">
        <v>588</v>
      </c>
      <c r="AM196" s="1" t="s">
        <v>607</v>
      </c>
      <c r="AN196" s="1" t="s">
        <v>607</v>
      </c>
      <c r="AO196" s="73">
        <v>98656159051</v>
      </c>
      <c r="AP196" t="str">
        <f>VLOOKUP(AO196,ОКТМО!B:J,6,0)</f>
        <v>Усть-Янский муниципальный район</v>
      </c>
      <c r="AQ196" t="str">
        <f>VLOOKUP(AO196,ОКТМО!B:J,9,0)</f>
        <v>поселок Нижнеянск</v>
      </c>
    </row>
    <row r="197" spans="37:43">
      <c r="AK197" s="1">
        <v>193</v>
      </c>
      <c r="AL197" s="1" t="s">
        <v>610</v>
      </c>
      <c r="AM197" s="1" t="s">
        <v>611</v>
      </c>
      <c r="AN197" s="1" t="s">
        <v>611</v>
      </c>
      <c r="AO197" s="73">
        <v>98616442101</v>
      </c>
      <c r="AP197" t="str">
        <f>VLOOKUP(AO197,ОКТМО!B:J,6,0)</f>
        <v>Верхоянский муниципальный район</v>
      </c>
      <c r="AQ197" t="str">
        <f>VLOOKUP(AO197,ОКТМО!B:J,9,0)</f>
        <v>Сартанский наслег</v>
      </c>
    </row>
    <row r="198" spans="37:43">
      <c r="AK198" s="1">
        <v>194</v>
      </c>
      <c r="AL198" s="1" t="s">
        <v>610</v>
      </c>
      <c r="AM198" s="1" t="s">
        <v>614</v>
      </c>
      <c r="AN198" s="1" t="s">
        <v>614</v>
      </c>
      <c r="AO198" s="73">
        <v>98616409101</v>
      </c>
      <c r="AP198" t="str">
        <f>VLOOKUP(AO198,ОКТМО!B:J,6,0)</f>
        <v>Верхоянский муниципальный район</v>
      </c>
      <c r="AQ198" t="str">
        <f>VLOOKUP(AO198,ОКТМО!B:J,9,0)</f>
        <v>Арылахский наслег</v>
      </c>
    </row>
    <row r="199" spans="37:43">
      <c r="AK199" s="1">
        <v>195</v>
      </c>
      <c r="AL199" s="1" t="s">
        <v>617</v>
      </c>
      <c r="AM199" s="1" t="s">
        <v>618</v>
      </c>
      <c r="AN199" s="1" t="s">
        <v>618</v>
      </c>
      <c r="AO199" s="73">
        <v>98604415101</v>
      </c>
      <c r="AP199" t="str">
        <f>VLOOKUP(AO199,ОКТМО!B:J,6,0)</f>
        <v>Таттинский муниципальный район</v>
      </c>
      <c r="AQ199" t="str">
        <f>VLOOKUP(AO199,ОКТМО!B:J,9,0)</f>
        <v>Баягинский наслег</v>
      </c>
    </row>
    <row r="200" spans="37:43">
      <c r="AK200" s="1">
        <v>196</v>
      </c>
      <c r="AL200" s="1" t="s">
        <v>621</v>
      </c>
      <c r="AM200" s="1" t="s">
        <v>622</v>
      </c>
      <c r="AN200" s="1" t="s">
        <v>622</v>
      </c>
      <c r="AO200" s="73">
        <v>98616151111</v>
      </c>
      <c r="AP200" t="str">
        <f>VLOOKUP(AO200,ОКТМО!B:J,6,0)</f>
        <v>Верхоянский муниципальный район</v>
      </c>
      <c r="AQ200" t="str">
        <f>VLOOKUP(AO200,ОКТМО!B:J,9,0)</f>
        <v>поселок Батагай</v>
      </c>
    </row>
    <row r="201" spans="37:43">
      <c r="AK201" s="1">
        <v>197</v>
      </c>
      <c r="AL201" s="1" t="s">
        <v>621</v>
      </c>
      <c r="AM201" s="1" t="s">
        <v>625</v>
      </c>
      <c r="AN201" s="11" t="s">
        <v>780</v>
      </c>
      <c r="AO201" s="73">
        <v>98616470106</v>
      </c>
      <c r="AP201" t="str">
        <f>VLOOKUP(AO201,ОКТМО!B:J,6,0)</f>
        <v>Верхоянский муниципальный район</v>
      </c>
      <c r="AQ201" t="str">
        <f>VLOOKUP(AO201,ОКТМО!B:J,9,0)</f>
        <v>Эльгесский наслег</v>
      </c>
    </row>
    <row r="202" spans="37:43">
      <c r="AK202" s="1">
        <v>198</v>
      </c>
      <c r="AL202" s="1" t="s">
        <v>628</v>
      </c>
      <c r="AM202" s="1" t="s">
        <v>629</v>
      </c>
      <c r="AN202" s="1" t="s">
        <v>629</v>
      </c>
      <c r="AO202" s="73">
        <v>98616464101</v>
      </c>
      <c r="AP202" t="str">
        <f>VLOOKUP(AO202,ОКТМО!B:J,6,0)</f>
        <v>Верхоянский муниципальный район</v>
      </c>
      <c r="AQ202" t="str">
        <f>VLOOKUP(AO202,ОКТМО!B:J,9,0)</f>
        <v>Эгинский наслег</v>
      </c>
    </row>
    <row r="203" spans="37:43">
      <c r="AK203" s="1">
        <v>199</v>
      </c>
      <c r="AL203" s="1" t="s">
        <v>632</v>
      </c>
      <c r="AM203" s="1" t="s">
        <v>633</v>
      </c>
      <c r="AN203" s="1" t="s">
        <v>633</v>
      </c>
      <c r="AO203" s="73">
        <v>98639432101</v>
      </c>
      <c r="AP203" t="str">
        <f>VLOOKUP(AO203,ОКТМО!B:J,6,0)</f>
        <v>Оймяконский муниципальный район</v>
      </c>
      <c r="AQ203" t="str">
        <f>VLOOKUP(AO203,ОКТМО!B:J,9,0)</f>
        <v>Терютский наслег</v>
      </c>
    </row>
    <row r="204" spans="37:43">
      <c r="AK204" s="1">
        <v>200</v>
      </c>
      <c r="AL204" s="1" t="s">
        <v>632</v>
      </c>
      <c r="AM204" s="1" t="s">
        <v>636</v>
      </c>
      <c r="AN204" s="11" t="s">
        <v>2153</v>
      </c>
      <c r="AO204" s="73">
        <v>98639151051</v>
      </c>
      <c r="AP204" t="str">
        <f>VLOOKUP(AO204,ОКТМО!B:J,6,0)</f>
        <v>Оймяконский муниципальный район</v>
      </c>
      <c r="AQ204" t="str">
        <f>VLOOKUP(AO204,ОКТМО!B:J,9,0)</f>
        <v>поселок Усть-Нера</v>
      </c>
    </row>
    <row r="205" spans="37:43">
      <c r="AK205" s="1"/>
      <c r="AL205" s="1" t="s">
        <v>632</v>
      </c>
      <c r="AM205" s="1" t="s">
        <v>3227</v>
      </c>
      <c r="AN205" s="11" t="s">
        <v>2153</v>
      </c>
      <c r="AO205" s="73">
        <v>98639151051</v>
      </c>
      <c r="AP205" t="str">
        <f>VLOOKUP(AO205,ОКТМО!B:J,6,0)</f>
        <v>Оймяконский муниципальный район</v>
      </c>
      <c r="AQ205" t="str">
        <f>VLOOKUP(AO205,ОКТМО!B:J,9,0)</f>
        <v>поселок Усть-Нера</v>
      </c>
    </row>
    <row r="206" spans="37:43">
      <c r="AK206" s="1">
        <v>201</v>
      </c>
      <c r="AL206" s="1" t="s">
        <v>632</v>
      </c>
      <c r="AM206" s="1" t="s">
        <v>639</v>
      </c>
      <c r="AN206" s="11" t="s">
        <v>2008</v>
      </c>
      <c r="AO206" s="73">
        <v>98633423101</v>
      </c>
      <c r="AP206" t="str">
        <f>VLOOKUP(AO206,ОКТМО!B:J,6,0)</f>
        <v>Момский муниципальный район</v>
      </c>
      <c r="AQ206" t="str">
        <f>VLOOKUP(AO206,ОКТМО!B:J,9,0)</f>
        <v>Момский национальный наслег</v>
      </c>
    </row>
    <row r="207" spans="37:43">
      <c r="AK207" s="1"/>
      <c r="AL207" s="1" t="s">
        <v>632</v>
      </c>
      <c r="AM207" s="1" t="s">
        <v>3148</v>
      </c>
      <c r="AN207" s="11" t="s">
        <v>2008</v>
      </c>
      <c r="AO207" s="73">
        <v>98633423101</v>
      </c>
      <c r="AP207" t="str">
        <f>VLOOKUP(AO207,ОКТМО!B:J,6,0)</f>
        <v>Момский муниципальный район</v>
      </c>
      <c r="AQ207" t="str">
        <f>VLOOKUP(AO207,ОКТМО!B:J,9,0)</f>
        <v>Момский национальный наслег</v>
      </c>
    </row>
    <row r="208" spans="37:43">
      <c r="AK208" s="1">
        <v>202</v>
      </c>
      <c r="AL208" s="1" t="s">
        <v>632</v>
      </c>
      <c r="AM208" s="1" t="s">
        <v>642</v>
      </c>
      <c r="AN208" s="11" t="s">
        <v>642</v>
      </c>
      <c r="AO208" s="73">
        <v>98601151051</v>
      </c>
      <c r="AP208" t="str">
        <f>VLOOKUP(AO208,ОКТМО!B:J,6,0)</f>
        <v>Абыйский муниципальный район</v>
      </c>
      <c r="AQ208" t="str">
        <f>VLOOKUP(AO208,ОКТМО!B:J,9,0)</f>
        <v>поселок Белая Гора</v>
      </c>
    </row>
    <row r="209" spans="37:43">
      <c r="AK209" s="1">
        <v>203</v>
      </c>
      <c r="AL209" s="1" t="s">
        <v>632</v>
      </c>
      <c r="AM209" s="1" t="s">
        <v>645</v>
      </c>
      <c r="AN209" s="1" t="s">
        <v>645</v>
      </c>
      <c r="AO209" s="73">
        <v>98606151051</v>
      </c>
      <c r="AP209" t="str">
        <f>VLOOKUP(AO209,ОКТМО!B:J,6,0)</f>
        <v>Аллаиховский муниципальный район</v>
      </c>
      <c r="AQ209" t="str">
        <f>VLOOKUP(AO209,ОКТМО!B:J,9,0)</f>
        <v>поселок Чокурдах</v>
      </c>
    </row>
    <row r="210" spans="37:43">
      <c r="AK210" s="1">
        <v>204</v>
      </c>
      <c r="AL210" s="1" t="s">
        <v>632</v>
      </c>
      <c r="AM210" s="1" t="s">
        <v>648</v>
      </c>
      <c r="AN210" s="14" t="s">
        <v>648</v>
      </c>
      <c r="AO210" s="73">
        <v>98606450101</v>
      </c>
      <c r="AP210" t="str">
        <f>VLOOKUP(AO210,ОКТМО!B:J,6,0)</f>
        <v>Аллаиховский муниципальный район</v>
      </c>
      <c r="AQ210" t="str">
        <f>VLOOKUP(AO210,ОКТМО!B:J,9,0)</f>
        <v>Русско-Устьинский наслег</v>
      </c>
    </row>
    <row r="211" spans="37:43">
      <c r="AK211" s="1">
        <v>205</v>
      </c>
      <c r="AL211" s="1" t="s">
        <v>651</v>
      </c>
      <c r="AM211" s="1" t="s">
        <v>651</v>
      </c>
      <c r="AN211" s="1" t="s">
        <v>651</v>
      </c>
      <c r="AO211" s="73">
        <v>98639410106</v>
      </c>
      <c r="AP211" t="str">
        <f>VLOOKUP(AO211,ОКТМО!B:J,6,0)</f>
        <v>Оймяконский муниципальный район</v>
      </c>
      <c r="AQ211" t="str">
        <f>VLOOKUP(AO211,ОКТМО!B:J,9,0)</f>
        <v>Борогонский 2-й наслег</v>
      </c>
    </row>
    <row r="212" spans="37:43">
      <c r="AK212" s="1">
        <v>206</v>
      </c>
      <c r="AL212" s="1" t="s">
        <v>654</v>
      </c>
      <c r="AM212" s="1" t="s">
        <v>655</v>
      </c>
      <c r="AN212" s="1" t="s">
        <v>655</v>
      </c>
      <c r="AO212" s="73">
        <v>98639432101</v>
      </c>
      <c r="AP212" t="str">
        <f>VLOOKUP(AO212,ОКТМО!B:J,6,0)</f>
        <v>Оймяконский муниципальный район</v>
      </c>
      <c r="AQ212" t="str">
        <f>VLOOKUP(AO212,ОКТМО!B:J,9,0)</f>
        <v>Терютский наслег</v>
      </c>
    </row>
    <row r="213" spans="37:43">
      <c r="AK213" s="1">
        <v>207</v>
      </c>
      <c r="AL213" s="1" t="s">
        <v>658</v>
      </c>
      <c r="AM213" s="1" t="s">
        <v>659</v>
      </c>
      <c r="AN213" s="1" t="s">
        <v>659</v>
      </c>
      <c r="AO213" s="73">
        <v>98639432101</v>
      </c>
      <c r="AP213" t="str">
        <f>VLOOKUP(AO213,ОКТМО!B:J,6,0)</f>
        <v>Оймяконский муниципальный район</v>
      </c>
      <c r="AQ213" t="str">
        <f>VLOOKUP(AO213,ОКТМО!B:J,9,0)</f>
        <v>Терютский наслег</v>
      </c>
    </row>
    <row r="214" spans="37:43">
      <c r="AK214" s="1">
        <v>208</v>
      </c>
      <c r="AL214" s="1" t="s">
        <v>662</v>
      </c>
      <c r="AM214" s="1" t="s">
        <v>663</v>
      </c>
      <c r="AN214" s="65" t="s">
        <v>1251</v>
      </c>
      <c r="AO214" s="73">
        <v>98656415101</v>
      </c>
      <c r="AP214" t="str">
        <f>VLOOKUP(AO214,ОКТМО!B:J,6,0)</f>
        <v>Усть-Янский муниципальный район</v>
      </c>
      <c r="AQ214" t="str">
        <f>VLOOKUP(AO214,ОКТМО!B:J,9,0)</f>
        <v>Силянняхский национальный наслег</v>
      </c>
    </row>
    <row r="215" spans="37:43">
      <c r="AK215" s="1">
        <v>209</v>
      </c>
      <c r="AL215" s="1" t="s">
        <v>666</v>
      </c>
      <c r="AM215" s="1" t="s">
        <v>667</v>
      </c>
      <c r="AN215" s="1" t="s">
        <v>667</v>
      </c>
      <c r="AO215" s="73">
        <v>44510000051</v>
      </c>
      <c r="AP215">
        <f>VLOOKUP(AO215,ОКТМО!B:J,6,0)</f>
        <v>0</v>
      </c>
      <c r="AQ215" t="str">
        <f>VLOOKUP(AO215,ОКТМО!B:J,9,0)</f>
        <v>Среднеканский</v>
      </c>
    </row>
    <row r="216" spans="37:43">
      <c r="AK216" s="1">
        <v>210</v>
      </c>
      <c r="AL216" s="1" t="s">
        <v>666</v>
      </c>
      <c r="AM216" s="1" t="s">
        <v>670</v>
      </c>
      <c r="AN216" s="1" t="s">
        <v>670</v>
      </c>
      <c r="AO216" s="73">
        <v>44510000051</v>
      </c>
      <c r="AP216" s="65">
        <f>VLOOKUP(AO216,ОКТМО!B:J,6,0)</f>
        <v>0</v>
      </c>
      <c r="AQ216" t="str">
        <f>VLOOKUP(AO216,ОКТМО!B:J,9,0)</f>
        <v>Среднеканский</v>
      </c>
    </row>
    <row r="217" spans="37:43">
      <c r="AK217" s="1">
        <v>211</v>
      </c>
      <c r="AL217" s="1" t="s">
        <v>666</v>
      </c>
      <c r="AM217" s="1" t="s">
        <v>673</v>
      </c>
      <c r="AN217" s="1" t="s">
        <v>673</v>
      </c>
      <c r="AO217" s="73">
        <v>44510000102</v>
      </c>
      <c r="AP217" s="65">
        <f>VLOOKUP(AO217,ОКТМО!B:J,6,0)</f>
        <v>0</v>
      </c>
      <c r="AQ217" t="str">
        <f>VLOOKUP(AO217,ОКТМО!B:J,9,0)</f>
        <v>Среднеканский</v>
      </c>
    </row>
    <row r="218" spans="37:43">
      <c r="AK218" s="1">
        <v>212</v>
      </c>
      <c r="AL218" s="1" t="s">
        <v>666</v>
      </c>
      <c r="AM218" s="1" t="s">
        <v>676</v>
      </c>
      <c r="AN218" s="1" t="s">
        <v>676</v>
      </c>
      <c r="AO218" s="73">
        <v>44510000102</v>
      </c>
      <c r="AP218">
        <f>VLOOKUP(AO218,ОКТМО!B:J,6,0)</f>
        <v>0</v>
      </c>
      <c r="AQ218" t="str">
        <f>VLOOKUP(AO218,ОКТМО!B:J,9,0)</f>
        <v>Среднеканский</v>
      </c>
    </row>
    <row r="219" spans="37:43">
      <c r="AK219" s="1">
        <v>213</v>
      </c>
      <c r="AL219" s="1" t="s">
        <v>666</v>
      </c>
      <c r="AM219" s="1" t="s">
        <v>679</v>
      </c>
      <c r="AN219" s="1" t="s">
        <v>679</v>
      </c>
      <c r="AO219" s="73">
        <v>98615151051</v>
      </c>
      <c r="AP219" t="str">
        <f>VLOOKUP(AO219,ОКТМО!B:J,6,0)</f>
        <v>Верхнеколымский муниципальный район</v>
      </c>
      <c r="AQ219" t="str">
        <f>VLOOKUP(AO219,ОКТМО!B:J,9,0)</f>
        <v>поселок Зырянка</v>
      </c>
    </row>
    <row r="220" spans="37:43">
      <c r="AK220" s="1">
        <v>214</v>
      </c>
      <c r="AL220" s="1" t="s">
        <v>666</v>
      </c>
      <c r="AM220" s="1" t="s">
        <v>682</v>
      </c>
      <c r="AN220" s="1" t="s">
        <v>682</v>
      </c>
      <c r="AO220" s="73">
        <v>98646101001</v>
      </c>
      <c r="AP220" t="str">
        <f>VLOOKUP(AO220,ОКТМО!B:J,6,0)</f>
        <v>Среднеколымский муниципальный район</v>
      </c>
      <c r="AQ220" t="str">
        <f>VLOOKUP(AO220,ОКТМО!B:J,9,0)</f>
        <v>город Среднеколымск</v>
      </c>
    </row>
    <row r="221" spans="37:43">
      <c r="AK221" s="1">
        <v>215</v>
      </c>
      <c r="AL221" s="1" t="s">
        <v>666</v>
      </c>
      <c r="AM221" s="1" t="s">
        <v>685</v>
      </c>
      <c r="AN221" s="65" t="s">
        <v>2494</v>
      </c>
      <c r="AO221" s="73">
        <v>98646410101</v>
      </c>
      <c r="AP221" t="str">
        <f>VLOOKUP(AO221,ОКТМО!B:J,6,0)</f>
        <v>Среднеколымский муниципальный район</v>
      </c>
      <c r="AQ221" t="str">
        <f>VLOOKUP(AO221,ОКТМО!B:J,9,0)</f>
        <v>Байдинский наслег</v>
      </c>
    </row>
    <row r="222" spans="37:43">
      <c r="AK222" s="1">
        <v>216</v>
      </c>
      <c r="AL222" s="1" t="s">
        <v>666</v>
      </c>
      <c r="AM222" s="1" t="s">
        <v>688</v>
      </c>
      <c r="AN222" s="11" t="s">
        <v>2148</v>
      </c>
      <c r="AO222" s="73">
        <v>98637437101</v>
      </c>
      <c r="AP222" t="str">
        <f>VLOOKUP(AO222,ОКТМО!B:J,6,0)</f>
        <v>Нижнеколымский муниципальный район</v>
      </c>
      <c r="AQ222" t="str">
        <f>VLOOKUP(AO222,ОКТМО!B:J,9,0)</f>
        <v>Чукотский национальный Халарчинский наслег</v>
      </c>
    </row>
    <row r="223" spans="37:43">
      <c r="AK223" s="1">
        <v>217</v>
      </c>
      <c r="AL223" s="1" t="s">
        <v>666</v>
      </c>
      <c r="AM223" s="1" t="s">
        <v>691</v>
      </c>
      <c r="AN223" s="1" t="s">
        <v>691</v>
      </c>
      <c r="AO223" s="73">
        <v>98637151051</v>
      </c>
      <c r="AP223" t="str">
        <f>VLOOKUP(AO223,ОКТМО!B:J,6,0)</f>
        <v>Нижнеколымский муниципальный район</v>
      </c>
      <c r="AQ223" t="str">
        <f>VLOOKUP(AO223,ОКТМО!B:J,9,0)</f>
        <v>поселок Черский</v>
      </c>
    </row>
    <row r="224" spans="37:43">
      <c r="AK224" s="1">
        <v>218</v>
      </c>
      <c r="AL224" s="1" t="s">
        <v>666</v>
      </c>
      <c r="AM224" s="1" t="s">
        <v>694</v>
      </c>
      <c r="AN224" s="1" t="s">
        <v>2120</v>
      </c>
      <c r="AO224" s="73">
        <v>98637424101</v>
      </c>
      <c r="AP224" t="str">
        <f>VLOOKUP(AO224,ОКТМО!B:J,6,0)</f>
        <v>Нижнеколымский муниципальный район</v>
      </c>
      <c r="AQ224" t="str">
        <f>VLOOKUP(AO224,ОКТМО!B:J,9,0)</f>
        <v>Походский наслег</v>
      </c>
    </row>
    <row r="225" spans="37:43">
      <c r="AK225" s="1">
        <v>219</v>
      </c>
      <c r="AL225" s="1" t="s">
        <v>697</v>
      </c>
      <c r="AM225" s="1" t="s">
        <v>698</v>
      </c>
      <c r="AN225" s="1" t="s">
        <v>698</v>
      </c>
      <c r="AO225" s="73">
        <v>98615414101</v>
      </c>
      <c r="AP225" t="str">
        <f>VLOOKUP(AO225,ОКТМО!B:J,6,0)</f>
        <v>Верхнеколымский муниципальный район</v>
      </c>
      <c r="AQ225" t="str">
        <f>VLOOKUP(AO225,ОКТМО!B:J,9,0)</f>
        <v>Нелемнский юкагирский наслег</v>
      </c>
    </row>
    <row r="226" spans="37:43">
      <c r="AK226" s="1">
        <v>220</v>
      </c>
      <c r="AL226" s="1" t="s">
        <v>697</v>
      </c>
      <c r="AM226" s="1" t="s">
        <v>701</v>
      </c>
      <c r="AN226" s="65" t="s">
        <v>1307</v>
      </c>
      <c r="AO226" s="73">
        <v>98615409101</v>
      </c>
      <c r="AP226" t="str">
        <f>VLOOKUP(AO226,ОКТМО!B:J,6,0)</f>
        <v>Верхнеколымский муниципальный район</v>
      </c>
      <c r="AQ226" t="str">
        <f>VLOOKUP(AO226,ОКТМО!B:J,9,0)</f>
        <v>Верхнеколымский наслег</v>
      </c>
    </row>
    <row r="227" spans="37:43">
      <c r="AK227" s="1">
        <v>221</v>
      </c>
      <c r="AL227" s="1" t="s">
        <v>704</v>
      </c>
      <c r="AM227" s="1" t="s">
        <v>704</v>
      </c>
      <c r="AN227" s="1" t="s">
        <v>810</v>
      </c>
      <c r="AO227" s="73">
        <v>98631101106</v>
      </c>
      <c r="AP227" t="str">
        <f>VLOOKUP(AO227,ОКТМО!B:J,6,0)</f>
        <v>Мирнинский муниципальный район</v>
      </c>
      <c r="AQ227" t="str">
        <f>VLOOKUP(AO227,ОКТМО!B:J,9,0)</f>
        <v>город Мирный</v>
      </c>
    </row>
    <row r="228" spans="37:43">
      <c r="AK228" s="1">
        <v>222</v>
      </c>
      <c r="AL228" s="1" t="s">
        <v>707</v>
      </c>
      <c r="AM228" s="1" t="s">
        <v>708</v>
      </c>
      <c r="AN228" s="1" t="s">
        <v>708</v>
      </c>
      <c r="AO228" s="73">
        <v>98646436101</v>
      </c>
      <c r="AP228" t="str">
        <f>VLOOKUP(AO228,ОКТМО!B:J,6,0)</f>
        <v>Среднеколымский муниципальный район</v>
      </c>
      <c r="AQ228" t="str">
        <f>VLOOKUP(AO228,ОКТМО!B:J,9,0)</f>
        <v>Мятисский 2-й наслег</v>
      </c>
    </row>
    <row r="229" spans="37:43">
      <c r="AK229" s="1">
        <v>223</v>
      </c>
      <c r="AL229" s="1" t="s">
        <v>707</v>
      </c>
      <c r="AM229" s="1" t="s">
        <v>711</v>
      </c>
      <c r="AN229" s="1" t="s">
        <v>711</v>
      </c>
      <c r="AO229" s="73">
        <v>98646405101</v>
      </c>
      <c r="AP229" t="str">
        <f>VLOOKUP(AO229,ОКТМО!B:J,6,0)</f>
        <v>Среднеколымский муниципальный район</v>
      </c>
      <c r="AQ229" t="str">
        <f>VLOOKUP(AO229,ОКТМО!B:J,9,0)</f>
        <v>Алазейский наслег</v>
      </c>
    </row>
    <row r="230" spans="37:43">
      <c r="AK230" s="1">
        <v>224</v>
      </c>
      <c r="AL230" s="1" t="s">
        <v>707</v>
      </c>
      <c r="AM230" s="1" t="s">
        <v>714</v>
      </c>
      <c r="AN230" s="1" t="s">
        <v>714</v>
      </c>
      <c r="AO230" s="73">
        <v>98637411101</v>
      </c>
      <c r="AP230" t="str">
        <f>VLOOKUP(AO230,ОКТМО!B:J,6,0)</f>
        <v>Нижнеколымский муниципальный район</v>
      </c>
      <c r="AQ230" t="str">
        <f>VLOOKUP(AO230,ОКТМО!B:J,9,0)</f>
        <v>Национальный юкагирский "Олеринский Суктул"</v>
      </c>
    </row>
    <row r="231" spans="37:43">
      <c r="AK231" s="1">
        <v>225</v>
      </c>
      <c r="AL231" s="1" t="s">
        <v>304</v>
      </c>
      <c r="AM231" s="1" t="s">
        <v>3228</v>
      </c>
      <c r="AN231" s="1" t="s">
        <v>1836</v>
      </c>
      <c r="AO231" s="73">
        <v>98629406101</v>
      </c>
      <c r="AP231" t="str">
        <f>VLOOKUP(AO231,ОКТМО!B:J,6,0)</f>
        <v>Мегино-Кангаласский муниципальный район</v>
      </c>
      <c r="AQ231" t="str">
        <f>VLOOKUP(AO231,ОКТМО!B:J,9,0)</f>
        <v>Батаринский 1-й наслег</v>
      </c>
    </row>
    <row r="232" spans="37:43">
      <c r="AK232" s="1">
        <v>226</v>
      </c>
      <c r="AL232" s="1" t="s">
        <v>11</v>
      </c>
      <c r="AM232" s="65" t="s">
        <v>21</v>
      </c>
      <c r="AN232" s="65" t="s">
        <v>3114</v>
      </c>
      <c r="AO232" s="73">
        <v>25620419104</v>
      </c>
      <c r="AP232" t="str">
        <f>VLOOKUP(AO232,ОКТМО!B:J,6,0)</f>
        <v>Киренский муниципальный район</v>
      </c>
      <c r="AQ232" t="str">
        <f>VLOOKUP(AO232,ОКТМО!B:J,9,0)</f>
        <v>Коршуновское</v>
      </c>
    </row>
    <row r="233" spans="37:43">
      <c r="AK233" s="1"/>
      <c r="AO233" s="73"/>
    </row>
    <row r="234" spans="37:43">
      <c r="AO234" s="73"/>
    </row>
    <row r="235" spans="37:43">
      <c r="AO235" s="73"/>
    </row>
    <row r="236" spans="37:43">
      <c r="AO236" s="73"/>
    </row>
    <row r="237" spans="37:43">
      <c r="AO237" s="73"/>
    </row>
    <row r="238" spans="37:43">
      <c r="AO238" s="73"/>
    </row>
    <row r="239" spans="37:43">
      <c r="AO239" s="73"/>
    </row>
    <row r="240" spans="37:43">
      <c r="AO240" s="73"/>
    </row>
    <row r="241" spans="41:41">
      <c r="AO241" s="7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1D731-1AE1-4B19-A4A4-7236F79B3235}">
  <sheetPr>
    <tabColor rgb="FFFFFF00"/>
  </sheetPr>
  <dimension ref="A1:J637"/>
  <sheetViews>
    <sheetView topLeftCell="A116" workbookViewId="0">
      <selection activeCell="E35" sqref="E35"/>
    </sheetView>
  </sheetViews>
  <sheetFormatPr defaultRowHeight="15"/>
  <cols>
    <col min="1" max="1" width="14.5703125" style="79" customWidth="1"/>
    <col min="2" max="2" width="24.85546875" style="80" customWidth="1"/>
    <col min="3" max="3" width="19.42578125" style="80" customWidth="1"/>
    <col min="4" max="4" width="19.140625" style="80" customWidth="1"/>
    <col min="5" max="5" width="7.5703125" style="80" customWidth="1"/>
    <col min="6" max="6" width="50.7109375" style="81" customWidth="1"/>
    <col min="7" max="7" width="17.85546875" style="80" customWidth="1"/>
    <col min="8" max="8" width="19.140625" style="80" customWidth="1"/>
    <col min="9" max="9" width="21.85546875" style="80" customWidth="1"/>
    <col min="10" max="10" width="30.140625" style="80" customWidth="1"/>
    <col min="11" max="11" width="14.140625" style="80" customWidth="1"/>
    <col min="12" max="16384" width="9.140625" style="80"/>
  </cols>
  <sheetData>
    <row r="1" spans="1:10">
      <c r="A1" s="79" t="s">
        <v>3229</v>
      </c>
      <c r="B1" s="80" t="s">
        <v>3230</v>
      </c>
      <c r="C1" s="80" t="s">
        <v>3231</v>
      </c>
      <c r="D1" s="80" t="s">
        <v>3232</v>
      </c>
      <c r="E1" s="80" t="s">
        <v>3233</v>
      </c>
      <c r="F1" s="81" t="s">
        <v>3234</v>
      </c>
      <c r="G1" s="80" t="s">
        <v>3235</v>
      </c>
      <c r="H1" s="80" t="s">
        <v>3236</v>
      </c>
      <c r="I1" s="80" t="s">
        <v>3237</v>
      </c>
      <c r="J1" s="80" t="s">
        <v>3238</v>
      </c>
    </row>
    <row r="2" spans="1:10">
      <c r="A2" s="79">
        <v>98601404101</v>
      </c>
      <c r="B2" s="80" t="s">
        <v>3239</v>
      </c>
      <c r="C2" s="80" t="s">
        <v>3240</v>
      </c>
      <c r="D2" s="80" t="s">
        <v>835</v>
      </c>
      <c r="E2" s="80" t="s">
        <v>754</v>
      </c>
      <c r="F2" s="81" t="s">
        <v>3241</v>
      </c>
      <c r="G2" s="80" t="s">
        <v>3242</v>
      </c>
      <c r="H2" s="80" t="s">
        <v>3243</v>
      </c>
      <c r="I2" s="80" t="s">
        <v>836</v>
      </c>
      <c r="J2" s="80" t="s">
        <v>837</v>
      </c>
    </row>
    <row r="3" spans="1:10">
      <c r="A3" s="82">
        <v>98601151051</v>
      </c>
      <c r="B3" s="80" t="s">
        <v>3239</v>
      </c>
      <c r="C3" s="80" t="s">
        <v>3240</v>
      </c>
      <c r="D3" s="80" t="s">
        <v>642</v>
      </c>
      <c r="E3" s="80" t="s">
        <v>3106</v>
      </c>
      <c r="F3" s="81" t="s">
        <v>3244</v>
      </c>
      <c r="G3" s="80" t="s">
        <v>3245</v>
      </c>
      <c r="H3" s="80" t="s">
        <v>3246</v>
      </c>
      <c r="I3" s="80" t="s">
        <v>829</v>
      </c>
      <c r="J3" s="80" t="s">
        <v>830</v>
      </c>
    </row>
    <row r="4" spans="1:10">
      <c r="A4" s="79">
        <v>98601404106</v>
      </c>
      <c r="B4" s="80" t="s">
        <v>3239</v>
      </c>
      <c r="C4" s="80" t="s">
        <v>3240</v>
      </c>
      <c r="D4" s="80" t="s">
        <v>3247</v>
      </c>
      <c r="E4" s="80" t="s">
        <v>754</v>
      </c>
      <c r="F4" s="81" t="s">
        <v>3248</v>
      </c>
      <c r="G4" s="80" t="s">
        <v>3249</v>
      </c>
      <c r="H4" s="80" t="s">
        <v>3250</v>
      </c>
      <c r="I4" s="80" t="s">
        <v>842</v>
      </c>
      <c r="J4" s="80" t="s">
        <v>843</v>
      </c>
    </row>
    <row r="5" spans="1:10">
      <c r="A5" s="79">
        <v>98601422101</v>
      </c>
      <c r="B5" s="80" t="s">
        <v>3239</v>
      </c>
      <c r="C5" s="80" t="s">
        <v>3240</v>
      </c>
      <c r="D5" s="80" t="s">
        <v>3251</v>
      </c>
      <c r="E5" s="80" t="s">
        <v>754</v>
      </c>
      <c r="F5" s="81" t="s">
        <v>3252</v>
      </c>
      <c r="G5" s="80" t="s">
        <v>3253</v>
      </c>
      <c r="H5" s="80" t="s">
        <v>3254</v>
      </c>
      <c r="I5" s="80" t="s">
        <v>868</v>
      </c>
      <c r="J5" s="80" t="s">
        <v>869</v>
      </c>
    </row>
    <row r="6" spans="1:10">
      <c r="A6" s="79">
        <v>98601409101</v>
      </c>
      <c r="B6" s="80" t="s">
        <v>3239</v>
      </c>
      <c r="C6" s="80" t="s">
        <v>3240</v>
      </c>
      <c r="D6" s="80" t="s">
        <v>850</v>
      </c>
      <c r="E6" s="80" t="s">
        <v>754</v>
      </c>
      <c r="F6" s="81" t="s">
        <v>3255</v>
      </c>
      <c r="G6" s="80" t="s">
        <v>3256</v>
      </c>
      <c r="H6" s="80" t="s">
        <v>3257</v>
      </c>
      <c r="I6" s="80" t="s">
        <v>851</v>
      </c>
      <c r="J6" s="80" t="s">
        <v>852</v>
      </c>
    </row>
    <row r="7" spans="1:10">
      <c r="A7" s="79">
        <v>98601433101</v>
      </c>
      <c r="B7" s="80" t="s">
        <v>3239</v>
      </c>
      <c r="C7" s="80" t="s">
        <v>3240</v>
      </c>
      <c r="D7" s="80" t="s">
        <v>876</v>
      </c>
      <c r="E7" s="80" t="s">
        <v>754</v>
      </c>
      <c r="F7" s="81" t="s">
        <v>3258</v>
      </c>
      <c r="G7" s="80" t="s">
        <v>3259</v>
      </c>
      <c r="H7" s="80" t="s">
        <v>3260</v>
      </c>
      <c r="I7" s="80" t="s">
        <v>877</v>
      </c>
      <c r="J7" s="80" t="s">
        <v>878</v>
      </c>
    </row>
    <row r="8" spans="1:10">
      <c r="A8" s="79">
        <v>98601417101</v>
      </c>
      <c r="B8" s="80" t="s">
        <v>3239</v>
      </c>
      <c r="C8" s="80" t="s">
        <v>3240</v>
      </c>
      <c r="D8" s="80" t="s">
        <v>859</v>
      </c>
      <c r="E8" s="80" t="s">
        <v>754</v>
      </c>
      <c r="F8" s="81" t="s">
        <v>3261</v>
      </c>
      <c r="G8" s="80" t="s">
        <v>3262</v>
      </c>
      <c r="H8" s="80" t="s">
        <v>3263</v>
      </c>
      <c r="I8" s="80" t="s">
        <v>860</v>
      </c>
      <c r="J8" s="80" t="s">
        <v>861</v>
      </c>
    </row>
    <row r="9" spans="1:10">
      <c r="A9" s="79">
        <v>98603101001</v>
      </c>
      <c r="B9" s="80" t="s">
        <v>3239</v>
      </c>
      <c r="C9" s="80" t="s">
        <v>749</v>
      </c>
      <c r="D9" s="80" t="s">
        <v>317</v>
      </c>
      <c r="E9" s="80" t="s">
        <v>740</v>
      </c>
      <c r="F9" s="81" t="s">
        <v>3264</v>
      </c>
      <c r="G9" s="80" t="s">
        <v>3265</v>
      </c>
      <c r="H9" s="80" t="s">
        <v>3266</v>
      </c>
      <c r="I9" s="80" t="s">
        <v>883</v>
      </c>
      <c r="J9" s="80" t="s">
        <v>884</v>
      </c>
    </row>
    <row r="10" spans="1:10">
      <c r="A10" s="79">
        <v>98603105056</v>
      </c>
      <c r="B10" s="80" t="s">
        <v>3239</v>
      </c>
      <c r="C10" s="80" t="s">
        <v>749</v>
      </c>
      <c r="D10" s="80" t="s">
        <v>908</v>
      </c>
      <c r="E10" s="80" t="s">
        <v>819</v>
      </c>
      <c r="F10" s="81" t="s">
        <v>3267</v>
      </c>
      <c r="G10" s="80" t="s">
        <v>3268</v>
      </c>
      <c r="H10" s="80" t="s">
        <v>3269</v>
      </c>
      <c r="I10" s="80" t="s">
        <v>909</v>
      </c>
      <c r="J10" s="80" t="s">
        <v>910</v>
      </c>
    </row>
    <row r="11" spans="1:10">
      <c r="A11" s="83">
        <v>98603101056</v>
      </c>
      <c r="B11" s="80" t="s">
        <v>3239</v>
      </c>
      <c r="C11" s="80" t="s">
        <v>749</v>
      </c>
      <c r="D11" s="80" t="s">
        <v>752</v>
      </c>
      <c r="E11" s="80" t="s">
        <v>819</v>
      </c>
      <c r="F11" s="81" t="s">
        <v>3270</v>
      </c>
      <c r="G11" s="80" t="s">
        <v>3271</v>
      </c>
      <c r="H11" s="80" t="s">
        <v>3272</v>
      </c>
      <c r="I11" s="80" t="s">
        <v>895</v>
      </c>
      <c r="J11" s="80" t="s">
        <v>896</v>
      </c>
    </row>
    <row r="12" spans="1:10">
      <c r="A12" s="79">
        <v>98603170106</v>
      </c>
      <c r="B12" s="80" t="s">
        <v>3239</v>
      </c>
      <c r="C12" s="80" t="s">
        <v>749</v>
      </c>
      <c r="D12" s="80" t="s">
        <v>948</v>
      </c>
      <c r="E12" s="80" t="s">
        <v>754</v>
      </c>
      <c r="F12" s="81" t="s">
        <v>3273</v>
      </c>
      <c r="G12" s="80" t="s">
        <v>3274</v>
      </c>
      <c r="H12" s="80" t="s">
        <v>3275</v>
      </c>
      <c r="I12" s="80" t="s">
        <v>949</v>
      </c>
      <c r="J12" s="80" t="s">
        <v>950</v>
      </c>
    </row>
    <row r="13" spans="1:10">
      <c r="A13" s="79">
        <v>98603105111</v>
      </c>
      <c r="B13" s="80" t="s">
        <v>3239</v>
      </c>
      <c r="C13" s="80" t="s">
        <v>749</v>
      </c>
      <c r="D13" s="80" t="s">
        <v>918</v>
      </c>
      <c r="E13" s="80" t="s">
        <v>754</v>
      </c>
      <c r="F13" s="81" t="s">
        <v>3276</v>
      </c>
      <c r="G13" s="80" t="s">
        <v>3277</v>
      </c>
      <c r="H13" s="80" t="s">
        <v>3278</v>
      </c>
      <c r="I13" s="80" t="s">
        <v>919</v>
      </c>
      <c r="J13" s="80" t="s">
        <v>920</v>
      </c>
    </row>
    <row r="14" spans="1:10">
      <c r="A14" s="79">
        <v>98603404101</v>
      </c>
      <c r="B14" s="80" t="s">
        <v>3239</v>
      </c>
      <c r="C14" s="80" t="s">
        <v>749</v>
      </c>
      <c r="D14" s="80" t="s">
        <v>957</v>
      </c>
      <c r="E14" s="80" t="s">
        <v>754</v>
      </c>
      <c r="F14" s="81" t="s">
        <v>3279</v>
      </c>
      <c r="G14" s="80" t="s">
        <v>3280</v>
      </c>
      <c r="H14" s="80" t="s">
        <v>3281</v>
      </c>
      <c r="I14" s="80" t="s">
        <v>958</v>
      </c>
      <c r="J14" s="80" t="s">
        <v>959</v>
      </c>
    </row>
    <row r="15" spans="1:10">
      <c r="A15" s="79">
        <v>98603161056</v>
      </c>
      <c r="B15" s="80" t="s">
        <v>3239</v>
      </c>
      <c r="C15" s="80" t="s">
        <v>749</v>
      </c>
      <c r="D15" s="80" t="s">
        <v>931</v>
      </c>
      <c r="E15" s="80" t="s">
        <v>819</v>
      </c>
      <c r="F15" s="81" t="s">
        <v>3282</v>
      </c>
      <c r="G15" s="80" t="s">
        <v>3283</v>
      </c>
      <c r="H15" s="80" t="s">
        <v>3284</v>
      </c>
      <c r="I15" s="80" t="s">
        <v>932</v>
      </c>
      <c r="J15" s="80" t="s">
        <v>933</v>
      </c>
    </row>
    <row r="16" spans="1:10">
      <c r="A16" s="79">
        <v>98603161051</v>
      </c>
      <c r="B16" s="80" t="s">
        <v>3239</v>
      </c>
      <c r="C16" s="80" t="s">
        <v>749</v>
      </c>
      <c r="D16" s="80" t="s">
        <v>927</v>
      </c>
      <c r="E16" s="80" t="s">
        <v>819</v>
      </c>
      <c r="F16" s="81" t="s">
        <v>3285</v>
      </c>
      <c r="G16" s="80" t="s">
        <v>3286</v>
      </c>
      <c r="H16" s="80" t="s">
        <v>3287</v>
      </c>
      <c r="I16" s="80" t="s">
        <v>928</v>
      </c>
      <c r="J16" s="80" t="s">
        <v>929</v>
      </c>
    </row>
    <row r="17" spans="1:10">
      <c r="A17" s="79">
        <v>98603170051</v>
      </c>
      <c r="B17" s="80" t="s">
        <v>3239</v>
      </c>
      <c r="C17" s="80" t="s">
        <v>749</v>
      </c>
      <c r="D17" s="80" t="s">
        <v>944</v>
      </c>
      <c r="E17" s="80" t="s">
        <v>819</v>
      </c>
      <c r="F17" s="81" t="s">
        <v>3288</v>
      </c>
      <c r="G17" s="80" t="s">
        <v>3289</v>
      </c>
      <c r="H17" s="80" t="s">
        <v>3290</v>
      </c>
      <c r="I17" s="80" t="s">
        <v>945</v>
      </c>
      <c r="J17" s="80" t="s">
        <v>946</v>
      </c>
    </row>
    <row r="18" spans="1:10">
      <c r="A18" s="79">
        <v>98603161106</v>
      </c>
      <c r="B18" s="80" t="s">
        <v>3239</v>
      </c>
      <c r="C18" s="80" t="s">
        <v>749</v>
      </c>
      <c r="D18" s="80" t="s">
        <v>935</v>
      </c>
      <c r="E18" s="80" t="s">
        <v>754</v>
      </c>
      <c r="F18" s="81" t="s">
        <v>3291</v>
      </c>
      <c r="G18" s="80" t="s">
        <v>3292</v>
      </c>
      <c r="H18" s="80" t="s">
        <v>3293</v>
      </c>
      <c r="I18" s="80" t="s">
        <v>936</v>
      </c>
      <c r="J18" s="80" t="s">
        <v>937</v>
      </c>
    </row>
    <row r="19" spans="1:10">
      <c r="A19" s="79">
        <v>98603101106</v>
      </c>
      <c r="B19" s="80" t="s">
        <v>3239</v>
      </c>
      <c r="C19" s="80" t="s">
        <v>749</v>
      </c>
      <c r="D19" s="80" t="s">
        <v>889</v>
      </c>
      <c r="E19" s="80" t="s">
        <v>754</v>
      </c>
      <c r="F19" s="81" t="s">
        <v>3294</v>
      </c>
      <c r="G19" s="80" t="s">
        <v>3295</v>
      </c>
      <c r="H19" s="80" t="s">
        <v>3296</v>
      </c>
      <c r="I19" s="80" t="s">
        <v>890</v>
      </c>
      <c r="J19" s="80" t="s">
        <v>891</v>
      </c>
    </row>
    <row r="20" spans="1:10">
      <c r="A20" s="79">
        <v>98603105001</v>
      </c>
      <c r="B20" s="80" t="s">
        <v>3239</v>
      </c>
      <c r="C20" s="80" t="s">
        <v>749</v>
      </c>
      <c r="D20" s="80" t="s">
        <v>324</v>
      </c>
      <c r="E20" s="80" t="s">
        <v>740</v>
      </c>
      <c r="F20" s="81" t="s">
        <v>3297</v>
      </c>
      <c r="G20" s="80" t="s">
        <v>3298</v>
      </c>
      <c r="H20" s="80" t="s">
        <v>3299</v>
      </c>
      <c r="I20" s="80" t="s">
        <v>901</v>
      </c>
      <c r="J20" s="80" t="s">
        <v>902</v>
      </c>
    </row>
    <row r="21" spans="1:10">
      <c r="A21" s="79">
        <v>98603407106</v>
      </c>
      <c r="B21" s="80" t="s">
        <v>3239</v>
      </c>
      <c r="C21" s="80" t="s">
        <v>749</v>
      </c>
      <c r="D21" s="80" t="s">
        <v>966</v>
      </c>
      <c r="E21" s="80" t="s">
        <v>754</v>
      </c>
      <c r="F21" s="81" t="s">
        <v>3300</v>
      </c>
      <c r="G21" s="80" t="s">
        <v>3301</v>
      </c>
      <c r="H21" s="80" t="s">
        <v>3302</v>
      </c>
      <c r="I21" s="80" t="s">
        <v>967</v>
      </c>
      <c r="J21" s="80" t="s">
        <v>968</v>
      </c>
    </row>
    <row r="22" spans="1:10">
      <c r="A22" s="79">
        <v>98603105116</v>
      </c>
      <c r="B22" s="80" t="s">
        <v>3239</v>
      </c>
      <c r="C22" s="80" t="s">
        <v>749</v>
      </c>
      <c r="D22" s="80" t="s">
        <v>922</v>
      </c>
      <c r="E22" s="80" t="s">
        <v>754</v>
      </c>
      <c r="F22" s="81" t="s">
        <v>3303</v>
      </c>
      <c r="G22" s="80" t="s">
        <v>3304</v>
      </c>
      <c r="H22" s="80" t="s">
        <v>3305</v>
      </c>
      <c r="I22" s="80" t="s">
        <v>923</v>
      </c>
      <c r="J22" s="80" t="s">
        <v>924</v>
      </c>
    </row>
    <row r="23" spans="1:10">
      <c r="A23" s="79">
        <v>98603407101</v>
      </c>
      <c r="B23" s="80" t="s">
        <v>3239</v>
      </c>
      <c r="C23" s="80" t="s">
        <v>749</v>
      </c>
      <c r="D23" s="80" t="s">
        <v>962</v>
      </c>
      <c r="E23" s="80" t="s">
        <v>754</v>
      </c>
      <c r="F23" s="81" t="s">
        <v>3306</v>
      </c>
      <c r="G23" s="80" t="s">
        <v>3307</v>
      </c>
      <c r="H23" s="80" t="s">
        <v>3308</v>
      </c>
      <c r="I23" s="80" t="s">
        <v>963</v>
      </c>
      <c r="J23" s="80" t="s">
        <v>964</v>
      </c>
    </row>
    <row r="24" spans="1:10">
      <c r="A24" s="79">
        <v>98603460101</v>
      </c>
      <c r="B24" s="80" t="s">
        <v>3239</v>
      </c>
      <c r="C24" s="80" t="s">
        <v>749</v>
      </c>
      <c r="D24" s="80" t="s">
        <v>971</v>
      </c>
      <c r="E24" s="80" t="s">
        <v>754</v>
      </c>
      <c r="F24" s="81" t="s">
        <v>3309</v>
      </c>
      <c r="G24" s="80" t="s">
        <v>3310</v>
      </c>
      <c r="H24" s="80" t="s">
        <v>3311</v>
      </c>
      <c r="I24" s="80" t="s">
        <v>972</v>
      </c>
      <c r="J24" s="80" t="s">
        <v>973</v>
      </c>
    </row>
    <row r="25" spans="1:10">
      <c r="A25" s="79">
        <v>98603105106</v>
      </c>
      <c r="B25" s="80" t="s">
        <v>3239</v>
      </c>
      <c r="C25" s="80" t="s">
        <v>749</v>
      </c>
      <c r="D25" s="80" t="s">
        <v>425</v>
      </c>
      <c r="E25" s="80" t="s">
        <v>819</v>
      </c>
      <c r="F25" s="81" t="s">
        <v>3312</v>
      </c>
      <c r="G25" s="80" t="s">
        <v>3313</v>
      </c>
      <c r="H25" s="80" t="s">
        <v>3314</v>
      </c>
      <c r="I25" s="80" t="s">
        <v>915</v>
      </c>
      <c r="J25" s="80" t="s">
        <v>916</v>
      </c>
    </row>
    <row r="26" spans="1:10">
      <c r="A26" s="79">
        <v>98603170111</v>
      </c>
      <c r="B26" s="80" t="s">
        <v>3239</v>
      </c>
      <c r="C26" s="80" t="s">
        <v>749</v>
      </c>
      <c r="D26" s="80" t="s">
        <v>393</v>
      </c>
      <c r="E26" s="80" t="s">
        <v>754</v>
      </c>
      <c r="F26" s="81" t="s">
        <v>3315</v>
      </c>
      <c r="G26" s="80" t="s">
        <v>3316</v>
      </c>
      <c r="H26" s="80" t="s">
        <v>3317</v>
      </c>
      <c r="I26" s="80" t="s">
        <v>952</v>
      </c>
      <c r="J26" s="80" t="s">
        <v>953</v>
      </c>
    </row>
    <row r="27" spans="1:10">
      <c r="A27" s="79">
        <v>98603161111</v>
      </c>
      <c r="B27" s="80" t="s">
        <v>3239</v>
      </c>
      <c r="C27" s="80" t="s">
        <v>749</v>
      </c>
      <c r="D27" s="80" t="s">
        <v>939</v>
      </c>
      <c r="E27" s="80" t="s">
        <v>754</v>
      </c>
      <c r="F27" s="81" t="s">
        <v>3318</v>
      </c>
      <c r="G27" s="80" t="s">
        <v>3319</v>
      </c>
      <c r="H27" s="80" t="s">
        <v>3320</v>
      </c>
      <c r="I27" s="80" t="s">
        <v>940</v>
      </c>
      <c r="J27" s="80" t="s">
        <v>941</v>
      </c>
    </row>
    <row r="28" spans="1:10">
      <c r="A28" s="79">
        <v>98606476106</v>
      </c>
      <c r="B28" s="80" t="s">
        <v>3239</v>
      </c>
      <c r="C28" s="80" t="s">
        <v>3321</v>
      </c>
      <c r="D28" s="80" t="s">
        <v>1062</v>
      </c>
      <c r="E28" s="80" t="s">
        <v>754</v>
      </c>
      <c r="F28" s="81" t="s">
        <v>3322</v>
      </c>
      <c r="G28" s="80" t="s">
        <v>3323</v>
      </c>
      <c r="H28" s="80" t="s">
        <v>3324</v>
      </c>
      <c r="I28" s="80" t="s">
        <v>1063</v>
      </c>
      <c r="J28" s="80" t="s">
        <v>1064</v>
      </c>
    </row>
    <row r="29" spans="1:10">
      <c r="A29" s="79">
        <v>98606437101</v>
      </c>
      <c r="B29" s="80" t="s">
        <v>3239</v>
      </c>
      <c r="C29" s="80" t="s">
        <v>3321</v>
      </c>
      <c r="D29" s="80" t="s">
        <v>1051</v>
      </c>
      <c r="E29" s="80" t="s">
        <v>754</v>
      </c>
      <c r="F29" s="81" t="s">
        <v>3325</v>
      </c>
      <c r="G29" s="80" t="s">
        <v>3326</v>
      </c>
      <c r="H29" s="80" t="s">
        <v>3327</v>
      </c>
      <c r="I29" s="80" t="s">
        <v>1052</v>
      </c>
      <c r="J29" s="80" t="s">
        <v>1053</v>
      </c>
    </row>
    <row r="30" spans="1:10">
      <c r="A30" s="79">
        <v>98606745902</v>
      </c>
      <c r="B30" s="80" t="s">
        <v>3239</v>
      </c>
      <c r="C30" s="80" t="s">
        <v>3321</v>
      </c>
      <c r="D30" s="80" t="s">
        <v>1067</v>
      </c>
      <c r="E30" s="80" t="s">
        <v>754</v>
      </c>
      <c r="F30" s="81" t="s">
        <v>3328</v>
      </c>
      <c r="G30" s="80" t="s">
        <v>3329</v>
      </c>
      <c r="H30" s="80" t="s">
        <v>3330</v>
      </c>
      <c r="I30" s="80" t="s">
        <v>1068</v>
      </c>
      <c r="J30" s="80" t="s">
        <v>1069</v>
      </c>
    </row>
    <row r="31" spans="1:10">
      <c r="A31" s="79">
        <v>98606476101</v>
      </c>
      <c r="B31" s="80" t="s">
        <v>3239</v>
      </c>
      <c r="C31" s="80" t="s">
        <v>3321</v>
      </c>
      <c r="D31" s="80" t="s">
        <v>1059</v>
      </c>
      <c r="E31" s="80" t="s">
        <v>754</v>
      </c>
      <c r="F31" s="81" t="s">
        <v>3331</v>
      </c>
      <c r="G31" s="80" t="s">
        <v>3332</v>
      </c>
      <c r="H31" s="80" t="s">
        <v>3333</v>
      </c>
      <c r="I31" s="80" t="s">
        <v>1060</v>
      </c>
      <c r="J31" s="80" t="s">
        <v>1061</v>
      </c>
    </row>
    <row r="32" spans="1:10">
      <c r="A32" s="79">
        <v>98606450101</v>
      </c>
      <c r="B32" s="80" t="s">
        <v>3239</v>
      </c>
      <c r="C32" s="80" t="s">
        <v>3321</v>
      </c>
      <c r="D32" s="80" t="s">
        <v>1055</v>
      </c>
      <c r="E32" s="80" t="s">
        <v>754</v>
      </c>
      <c r="F32" s="81" t="s">
        <v>3334</v>
      </c>
      <c r="G32" s="80" t="s">
        <v>3335</v>
      </c>
      <c r="H32" s="80" t="s">
        <v>3336</v>
      </c>
      <c r="I32" s="80" t="s">
        <v>1056</v>
      </c>
      <c r="J32" s="80" t="s">
        <v>1057</v>
      </c>
    </row>
    <row r="33" spans="1:10">
      <c r="A33" s="79">
        <v>98606424101</v>
      </c>
      <c r="B33" s="80" t="s">
        <v>3239</v>
      </c>
      <c r="C33" s="80" t="s">
        <v>3321</v>
      </c>
      <c r="D33" s="80" t="s">
        <v>1047</v>
      </c>
      <c r="E33" s="80" t="s">
        <v>754</v>
      </c>
      <c r="F33" s="81" t="s">
        <v>3337</v>
      </c>
      <c r="G33" s="80" t="s">
        <v>3338</v>
      </c>
      <c r="H33" s="80" t="s">
        <v>3339</v>
      </c>
      <c r="I33" s="80" t="s">
        <v>1048</v>
      </c>
      <c r="J33" s="80" t="s">
        <v>1049</v>
      </c>
    </row>
    <row r="34" spans="1:10">
      <c r="A34" s="79">
        <v>98606151051</v>
      </c>
      <c r="B34" s="80" t="s">
        <v>3239</v>
      </c>
      <c r="C34" s="80" t="s">
        <v>3321</v>
      </c>
      <c r="D34" s="80" t="s">
        <v>645</v>
      </c>
      <c r="E34" s="80" t="s">
        <v>819</v>
      </c>
      <c r="F34" s="81" t="s">
        <v>3340</v>
      </c>
      <c r="G34" s="80" t="s">
        <v>3341</v>
      </c>
      <c r="H34" s="80" t="s">
        <v>3342</v>
      </c>
      <c r="I34" s="80" t="s">
        <v>1043</v>
      </c>
      <c r="J34" s="80" t="s">
        <v>1044</v>
      </c>
    </row>
    <row r="35" spans="1:10">
      <c r="A35" s="79">
        <v>98608405101</v>
      </c>
      <c r="B35" s="80" t="s">
        <v>3239</v>
      </c>
      <c r="C35" s="80" t="s">
        <v>3343</v>
      </c>
      <c r="D35" s="80" t="s">
        <v>1072</v>
      </c>
      <c r="E35" s="80" t="s">
        <v>754</v>
      </c>
      <c r="F35" s="81" t="s">
        <v>3344</v>
      </c>
      <c r="G35" s="80" t="s">
        <v>3345</v>
      </c>
      <c r="H35" s="80" t="s">
        <v>3346</v>
      </c>
      <c r="I35" s="80" t="s">
        <v>1073</v>
      </c>
      <c r="J35" s="80" t="s">
        <v>1074</v>
      </c>
    </row>
    <row r="36" spans="1:10">
      <c r="A36" s="79">
        <v>98608414101</v>
      </c>
      <c r="B36" s="80" t="s">
        <v>3239</v>
      </c>
      <c r="C36" s="80" t="s">
        <v>3343</v>
      </c>
      <c r="D36" s="80" t="s">
        <v>1076</v>
      </c>
      <c r="E36" s="80" t="s">
        <v>754</v>
      </c>
      <c r="F36" s="81" t="s">
        <v>3347</v>
      </c>
      <c r="G36" s="80" t="s">
        <v>3348</v>
      </c>
      <c r="H36" s="80" t="s">
        <v>3349</v>
      </c>
      <c r="I36" s="80" t="s">
        <v>1077</v>
      </c>
      <c r="J36" s="80" t="s">
        <v>1078</v>
      </c>
    </row>
    <row r="37" spans="1:10">
      <c r="A37" s="79">
        <v>98608432101</v>
      </c>
      <c r="B37" s="80" t="s">
        <v>3239</v>
      </c>
      <c r="C37" s="80" t="s">
        <v>3343</v>
      </c>
      <c r="D37" s="80" t="s">
        <v>458</v>
      </c>
      <c r="E37" s="80" t="s">
        <v>754</v>
      </c>
      <c r="F37" s="81" t="s">
        <v>3350</v>
      </c>
      <c r="G37" s="80" t="s">
        <v>3351</v>
      </c>
      <c r="H37" s="80" t="s">
        <v>3352</v>
      </c>
      <c r="I37" s="80" t="s">
        <v>1089</v>
      </c>
      <c r="J37" s="80" t="s">
        <v>1090</v>
      </c>
    </row>
    <row r="38" spans="1:10">
      <c r="A38" s="79">
        <v>98608440101</v>
      </c>
      <c r="B38" s="80" t="s">
        <v>3239</v>
      </c>
      <c r="C38" s="80" t="s">
        <v>3343</v>
      </c>
      <c r="D38" s="80" t="s">
        <v>1092</v>
      </c>
      <c r="E38" s="80" t="s">
        <v>754</v>
      </c>
      <c r="F38" s="81" t="s">
        <v>3353</v>
      </c>
      <c r="G38" s="80" t="s">
        <v>3354</v>
      </c>
      <c r="H38" s="80" t="s">
        <v>3355</v>
      </c>
      <c r="I38" s="80" t="s">
        <v>1093</v>
      </c>
      <c r="J38" s="80" t="s">
        <v>1094</v>
      </c>
    </row>
    <row r="39" spans="1:10">
      <c r="A39" s="79">
        <v>98608446101</v>
      </c>
      <c r="B39" s="80" t="s">
        <v>3239</v>
      </c>
      <c r="C39" s="80" t="s">
        <v>3343</v>
      </c>
      <c r="D39" s="80" t="s">
        <v>1099</v>
      </c>
      <c r="E39" s="80" t="s">
        <v>754</v>
      </c>
      <c r="F39" s="81" t="s">
        <v>3356</v>
      </c>
      <c r="G39" s="80" t="s">
        <v>3357</v>
      </c>
      <c r="H39" s="80" t="s">
        <v>3358</v>
      </c>
      <c r="I39" s="80" t="s">
        <v>1100</v>
      </c>
      <c r="J39" s="80" t="s">
        <v>1101</v>
      </c>
    </row>
    <row r="40" spans="1:10">
      <c r="A40" s="79">
        <v>98608452106</v>
      </c>
      <c r="B40" s="80" t="s">
        <v>3239</v>
      </c>
      <c r="C40" s="80" t="s">
        <v>3343</v>
      </c>
      <c r="D40" s="80" t="s">
        <v>977</v>
      </c>
      <c r="E40" s="80" t="s">
        <v>754</v>
      </c>
      <c r="F40" s="81" t="s">
        <v>3359</v>
      </c>
      <c r="G40" s="80" t="s">
        <v>3360</v>
      </c>
      <c r="H40" s="80" t="s">
        <v>3361</v>
      </c>
      <c r="I40" s="80" t="s">
        <v>1106</v>
      </c>
      <c r="J40" s="80" t="s">
        <v>1107</v>
      </c>
    </row>
    <row r="41" spans="1:10">
      <c r="A41" s="79">
        <v>98608429106</v>
      </c>
      <c r="B41" s="80" t="s">
        <v>3239</v>
      </c>
      <c r="C41" s="80" t="s">
        <v>3343</v>
      </c>
      <c r="D41" s="80" t="s">
        <v>1083</v>
      </c>
      <c r="E41" s="80" t="s">
        <v>754</v>
      </c>
      <c r="F41" s="81" t="s">
        <v>3362</v>
      </c>
      <c r="G41" s="80" t="s">
        <v>3363</v>
      </c>
      <c r="H41" s="80" t="s">
        <v>3364</v>
      </c>
      <c r="I41" s="80" t="s">
        <v>1084</v>
      </c>
      <c r="J41" s="80" t="s">
        <v>1085</v>
      </c>
    </row>
    <row r="42" spans="1:10">
      <c r="A42" s="79">
        <v>98608460101</v>
      </c>
      <c r="B42" s="80" t="s">
        <v>3239</v>
      </c>
      <c r="C42" s="80" t="s">
        <v>3343</v>
      </c>
      <c r="D42" s="80" t="s">
        <v>1117</v>
      </c>
      <c r="E42" s="80" t="s">
        <v>754</v>
      </c>
      <c r="F42" s="81" t="s">
        <v>3365</v>
      </c>
      <c r="G42" s="80" t="s">
        <v>3366</v>
      </c>
      <c r="H42" s="80" t="s">
        <v>3367</v>
      </c>
      <c r="I42" s="80" t="s">
        <v>1118</v>
      </c>
      <c r="J42" s="80" t="s">
        <v>1119</v>
      </c>
    </row>
    <row r="43" spans="1:10">
      <c r="A43" s="79">
        <v>98608455101</v>
      </c>
      <c r="B43" s="80" t="s">
        <v>3239</v>
      </c>
      <c r="C43" s="80" t="s">
        <v>3343</v>
      </c>
      <c r="D43" s="80" t="s">
        <v>1109</v>
      </c>
      <c r="E43" s="80" t="s">
        <v>754</v>
      </c>
      <c r="F43" s="81" t="s">
        <v>3368</v>
      </c>
      <c r="G43" s="80" t="s">
        <v>3369</v>
      </c>
      <c r="H43" s="80" t="s">
        <v>3370</v>
      </c>
      <c r="I43" s="80" t="s">
        <v>1110</v>
      </c>
      <c r="J43" s="80" t="s">
        <v>1111</v>
      </c>
    </row>
    <row r="44" spans="1:10">
      <c r="A44" s="79">
        <v>98608481106</v>
      </c>
      <c r="B44" s="80" t="s">
        <v>3239</v>
      </c>
      <c r="C44" s="80" t="s">
        <v>3343</v>
      </c>
      <c r="D44" s="80" t="s">
        <v>2269</v>
      </c>
      <c r="E44" s="80" t="s">
        <v>754</v>
      </c>
      <c r="F44" s="81" t="s">
        <v>3371</v>
      </c>
      <c r="G44" s="80" t="s">
        <v>3372</v>
      </c>
      <c r="H44" s="80" t="s">
        <v>3373</v>
      </c>
      <c r="I44" s="80" t="s">
        <v>1142</v>
      </c>
      <c r="J44" s="80" t="s">
        <v>1143</v>
      </c>
    </row>
    <row r="45" spans="1:10">
      <c r="A45" s="79">
        <v>98608429101</v>
      </c>
      <c r="B45" s="80" t="s">
        <v>3239</v>
      </c>
      <c r="C45" s="80" t="s">
        <v>3343</v>
      </c>
      <c r="D45" s="80" t="s">
        <v>3374</v>
      </c>
      <c r="E45" s="80" t="s">
        <v>754</v>
      </c>
      <c r="F45" s="81" t="s">
        <v>3375</v>
      </c>
      <c r="G45" s="80" t="s">
        <v>3376</v>
      </c>
      <c r="H45" s="80" t="s">
        <v>3377</v>
      </c>
      <c r="I45" s="80" t="s">
        <v>1081</v>
      </c>
      <c r="J45" s="80" t="s">
        <v>1082</v>
      </c>
    </row>
    <row r="46" spans="1:10">
      <c r="A46" s="79">
        <v>98608452101</v>
      </c>
      <c r="B46" s="80" t="s">
        <v>3239</v>
      </c>
      <c r="C46" s="80" t="s">
        <v>3343</v>
      </c>
      <c r="D46" s="80" t="s">
        <v>1103</v>
      </c>
      <c r="E46" s="80" t="s">
        <v>754</v>
      </c>
      <c r="F46" s="81" t="s">
        <v>3378</v>
      </c>
      <c r="G46" s="80" t="s">
        <v>3379</v>
      </c>
      <c r="H46" s="80" t="s">
        <v>3380</v>
      </c>
      <c r="I46" s="80" t="s">
        <v>1104</v>
      </c>
      <c r="J46" s="80" t="s">
        <v>1105</v>
      </c>
    </row>
    <row r="47" spans="1:10">
      <c r="A47" s="79">
        <v>98608472106</v>
      </c>
      <c r="B47" s="80" t="s">
        <v>3239</v>
      </c>
      <c r="C47" s="80" t="s">
        <v>3343</v>
      </c>
      <c r="D47" s="80" t="s">
        <v>1135</v>
      </c>
      <c r="E47" s="80" t="s">
        <v>754</v>
      </c>
      <c r="F47" s="81" t="s">
        <v>3381</v>
      </c>
      <c r="G47" s="80" t="s">
        <v>3382</v>
      </c>
      <c r="H47" s="80" t="s">
        <v>3383</v>
      </c>
      <c r="I47" s="80" t="s">
        <v>1096</v>
      </c>
      <c r="J47" s="80" t="s">
        <v>1136</v>
      </c>
    </row>
    <row r="48" spans="1:10">
      <c r="A48" s="79">
        <v>98608458101</v>
      </c>
      <c r="B48" s="80" t="s">
        <v>3239</v>
      </c>
      <c r="C48" s="80" t="s">
        <v>3343</v>
      </c>
      <c r="D48" s="80" t="s">
        <v>1113</v>
      </c>
      <c r="E48" s="80" t="s">
        <v>754</v>
      </c>
      <c r="F48" s="81" t="s">
        <v>3384</v>
      </c>
      <c r="G48" s="80" t="s">
        <v>3385</v>
      </c>
      <c r="H48" s="80" t="s">
        <v>3386</v>
      </c>
      <c r="I48" s="80" t="s">
        <v>1114</v>
      </c>
      <c r="J48" s="80" t="s">
        <v>1115</v>
      </c>
    </row>
    <row r="49" spans="1:10">
      <c r="A49" s="79">
        <v>98608465101</v>
      </c>
      <c r="B49" s="80" t="s">
        <v>3239</v>
      </c>
      <c r="C49" s="80" t="s">
        <v>3343</v>
      </c>
      <c r="D49" s="80" t="s">
        <v>1121</v>
      </c>
      <c r="E49" s="80" t="s">
        <v>754</v>
      </c>
      <c r="F49" s="81" t="s">
        <v>3387</v>
      </c>
      <c r="G49" s="80" t="s">
        <v>3388</v>
      </c>
      <c r="H49" s="80" t="s">
        <v>3389</v>
      </c>
      <c r="I49" s="80" t="s">
        <v>1122</v>
      </c>
      <c r="J49" s="80" t="s">
        <v>1123</v>
      </c>
    </row>
    <row r="50" spans="1:10">
      <c r="A50" s="79">
        <v>98608465106</v>
      </c>
      <c r="B50" s="80" t="s">
        <v>3239</v>
      </c>
      <c r="C50" s="80" t="s">
        <v>3343</v>
      </c>
      <c r="D50" s="80" t="s">
        <v>3390</v>
      </c>
      <c r="E50" s="80" t="s">
        <v>754</v>
      </c>
      <c r="F50" s="81" t="s">
        <v>3391</v>
      </c>
      <c r="G50" s="80" t="s">
        <v>3392</v>
      </c>
      <c r="H50" s="80" t="s">
        <v>3393</v>
      </c>
      <c r="I50" s="80" t="s">
        <v>1125</v>
      </c>
      <c r="J50" s="80" t="s">
        <v>1126</v>
      </c>
    </row>
    <row r="51" spans="1:10">
      <c r="A51" s="79">
        <v>98608429111</v>
      </c>
      <c r="B51" s="80" t="s">
        <v>3239</v>
      </c>
      <c r="C51" s="80" t="s">
        <v>3343</v>
      </c>
      <c r="D51" s="80" t="s">
        <v>3394</v>
      </c>
      <c r="E51" s="80" t="s">
        <v>754</v>
      </c>
      <c r="F51" s="81" t="s">
        <v>3395</v>
      </c>
      <c r="G51" s="80" t="s">
        <v>3396</v>
      </c>
      <c r="H51" s="80" t="s">
        <v>3397</v>
      </c>
      <c r="I51" s="80" t="s">
        <v>1087</v>
      </c>
      <c r="J51" s="80" t="s">
        <v>1088</v>
      </c>
    </row>
    <row r="52" spans="1:10">
      <c r="A52" s="79">
        <v>98608440106</v>
      </c>
      <c r="B52" s="80" t="s">
        <v>3239</v>
      </c>
      <c r="C52" s="80" t="s">
        <v>3343</v>
      </c>
      <c r="D52" s="80" t="s">
        <v>1095</v>
      </c>
      <c r="E52" s="80" t="s">
        <v>754</v>
      </c>
      <c r="F52" s="81" t="s">
        <v>3398</v>
      </c>
      <c r="G52" s="80" t="s">
        <v>3382</v>
      </c>
      <c r="H52" s="80" t="s">
        <v>3399</v>
      </c>
      <c r="I52" s="80" t="s">
        <v>1096</v>
      </c>
      <c r="J52" s="80" t="s">
        <v>1097</v>
      </c>
    </row>
    <row r="53" spans="1:10">
      <c r="A53" s="79">
        <v>98608470101</v>
      </c>
      <c r="B53" s="80" t="s">
        <v>3239</v>
      </c>
      <c r="C53" s="80" t="s">
        <v>3343</v>
      </c>
      <c r="D53" s="80" t="s">
        <v>1128</v>
      </c>
      <c r="E53" s="80" t="s">
        <v>754</v>
      </c>
      <c r="F53" s="81" t="s">
        <v>3400</v>
      </c>
      <c r="G53" s="80" t="s">
        <v>3401</v>
      </c>
      <c r="H53" s="80" t="s">
        <v>3402</v>
      </c>
      <c r="I53" s="80" t="s">
        <v>1129</v>
      </c>
      <c r="J53" s="80" t="s">
        <v>1130</v>
      </c>
    </row>
    <row r="54" spans="1:10">
      <c r="A54" s="79">
        <v>98608472101</v>
      </c>
      <c r="B54" s="80" t="s">
        <v>3239</v>
      </c>
      <c r="C54" s="80" t="s">
        <v>3343</v>
      </c>
      <c r="D54" s="80" t="s">
        <v>1132</v>
      </c>
      <c r="E54" s="80" t="s">
        <v>754</v>
      </c>
      <c r="F54" s="81" t="s">
        <v>3403</v>
      </c>
      <c r="G54" s="80" t="s">
        <v>3404</v>
      </c>
      <c r="H54" s="80" t="s">
        <v>3405</v>
      </c>
      <c r="I54" s="80" t="s">
        <v>1133</v>
      </c>
      <c r="J54" s="80" t="s">
        <v>1134</v>
      </c>
    </row>
    <row r="55" spans="1:10">
      <c r="A55" s="79">
        <v>98608481101</v>
      </c>
      <c r="B55" s="80" t="s">
        <v>3239</v>
      </c>
      <c r="C55" s="80" t="s">
        <v>3343</v>
      </c>
      <c r="D55" s="80" t="s">
        <v>1138</v>
      </c>
      <c r="E55" s="80" t="s">
        <v>754</v>
      </c>
      <c r="F55" s="81" t="s">
        <v>3406</v>
      </c>
      <c r="G55" s="80" t="s">
        <v>3407</v>
      </c>
      <c r="H55" s="80" t="s">
        <v>3408</v>
      </c>
      <c r="I55" s="80" t="s">
        <v>1139</v>
      </c>
      <c r="J55" s="80" t="s">
        <v>1140</v>
      </c>
    </row>
    <row r="56" spans="1:10">
      <c r="A56" s="79">
        <v>98610411101</v>
      </c>
      <c r="B56" s="80" t="s">
        <v>3239</v>
      </c>
      <c r="C56" s="80" t="s">
        <v>3409</v>
      </c>
      <c r="D56" s="80" t="s">
        <v>567</v>
      </c>
      <c r="E56" s="80" t="s">
        <v>754</v>
      </c>
      <c r="F56" s="81" t="s">
        <v>3410</v>
      </c>
      <c r="G56" s="80" t="s">
        <v>3411</v>
      </c>
      <c r="H56" s="80" t="s">
        <v>3412</v>
      </c>
      <c r="I56" s="80" t="s">
        <v>1146</v>
      </c>
      <c r="J56" s="80" t="s">
        <v>1147</v>
      </c>
    </row>
    <row r="57" spans="1:10">
      <c r="A57" s="79">
        <v>98610411106</v>
      </c>
      <c r="B57" s="80" t="s">
        <v>3239</v>
      </c>
      <c r="C57" s="80" t="s">
        <v>3409</v>
      </c>
      <c r="D57" s="80" t="s">
        <v>1148</v>
      </c>
      <c r="E57" s="80" t="s">
        <v>754</v>
      </c>
      <c r="F57" s="81" t="s">
        <v>3413</v>
      </c>
      <c r="G57" s="80" t="s">
        <v>3414</v>
      </c>
      <c r="H57" s="80" t="s">
        <v>3415</v>
      </c>
      <c r="I57" s="80" t="s">
        <v>1149</v>
      </c>
      <c r="J57" s="80" t="s">
        <v>1150</v>
      </c>
    </row>
    <row r="58" spans="1:10">
      <c r="A58" s="79">
        <v>98610424101</v>
      </c>
      <c r="B58" s="80" t="s">
        <v>3239</v>
      </c>
      <c r="C58" s="80" t="s">
        <v>3409</v>
      </c>
      <c r="D58" s="80" t="s">
        <v>1152</v>
      </c>
      <c r="E58" s="80" t="s">
        <v>754</v>
      </c>
      <c r="F58" s="81" t="s">
        <v>3416</v>
      </c>
      <c r="G58" s="80" t="s">
        <v>3417</v>
      </c>
      <c r="H58" s="80" t="s">
        <v>3418</v>
      </c>
      <c r="I58" s="80" t="s">
        <v>1153</v>
      </c>
      <c r="J58" s="80" t="s">
        <v>1154</v>
      </c>
    </row>
    <row r="59" spans="1:10">
      <c r="A59" s="79">
        <v>98612413101</v>
      </c>
      <c r="B59" s="80" t="s">
        <v>3239</v>
      </c>
      <c r="C59" s="80" t="s">
        <v>3419</v>
      </c>
      <c r="D59" s="80" t="s">
        <v>1172</v>
      </c>
      <c r="E59" s="80" t="s">
        <v>754</v>
      </c>
      <c r="F59" s="81" t="s">
        <v>3420</v>
      </c>
      <c r="G59" s="80" t="s">
        <v>3421</v>
      </c>
      <c r="H59" s="80" t="s">
        <v>3422</v>
      </c>
      <c r="I59" s="80" t="s">
        <v>1173</v>
      </c>
      <c r="J59" s="80" t="s">
        <v>1174</v>
      </c>
    </row>
    <row r="60" spans="1:10">
      <c r="A60" s="79">
        <v>98612412101</v>
      </c>
      <c r="B60" s="80" t="s">
        <v>3239</v>
      </c>
      <c r="C60" s="80" t="s">
        <v>3419</v>
      </c>
      <c r="D60" s="80" t="s">
        <v>222</v>
      </c>
      <c r="E60" s="80" t="s">
        <v>754</v>
      </c>
      <c r="F60" s="81" t="s">
        <v>3423</v>
      </c>
      <c r="G60" s="80" t="s">
        <v>3424</v>
      </c>
      <c r="H60" s="80" t="s">
        <v>3425</v>
      </c>
      <c r="I60" s="80" t="s">
        <v>1166</v>
      </c>
      <c r="J60" s="80" t="s">
        <v>1167</v>
      </c>
    </row>
    <row r="61" spans="1:10">
      <c r="A61" s="79">
        <v>98612456101</v>
      </c>
      <c r="B61" s="80" t="s">
        <v>3239</v>
      </c>
      <c r="C61" s="80" t="s">
        <v>3419</v>
      </c>
      <c r="D61" s="80" t="s">
        <v>1189</v>
      </c>
      <c r="E61" s="80" t="s">
        <v>754</v>
      </c>
      <c r="F61" s="81" t="s">
        <v>3426</v>
      </c>
      <c r="G61" s="80" t="s">
        <v>3427</v>
      </c>
      <c r="H61" s="80" t="s">
        <v>3428</v>
      </c>
      <c r="I61" s="80" t="s">
        <v>1190</v>
      </c>
      <c r="J61" s="80" t="s">
        <v>1191</v>
      </c>
    </row>
    <row r="62" spans="1:10">
      <c r="A62" s="79">
        <v>98612407101</v>
      </c>
      <c r="B62" s="80" t="s">
        <v>3239</v>
      </c>
      <c r="C62" s="80" t="s">
        <v>3419</v>
      </c>
      <c r="D62" s="80" t="s">
        <v>1162</v>
      </c>
      <c r="E62" s="80" t="s">
        <v>754</v>
      </c>
      <c r="F62" s="81" t="s">
        <v>3429</v>
      </c>
      <c r="G62" s="80" t="s">
        <v>3430</v>
      </c>
      <c r="H62" s="80" t="s">
        <v>3431</v>
      </c>
      <c r="I62" s="80" t="s">
        <v>1163</v>
      </c>
      <c r="J62" s="80" t="s">
        <v>1164</v>
      </c>
    </row>
    <row r="63" spans="1:10">
      <c r="A63" s="79">
        <v>98612427101</v>
      </c>
      <c r="B63" s="80" t="s">
        <v>3239</v>
      </c>
      <c r="C63" s="80" t="s">
        <v>3419</v>
      </c>
      <c r="D63" s="80" t="s">
        <v>1176</v>
      </c>
      <c r="E63" s="80" t="s">
        <v>754</v>
      </c>
      <c r="F63" s="81" t="s">
        <v>3432</v>
      </c>
      <c r="G63" s="80" t="s">
        <v>3433</v>
      </c>
      <c r="H63" s="80" t="s">
        <v>3434</v>
      </c>
      <c r="I63" s="80" t="s">
        <v>1177</v>
      </c>
      <c r="J63" s="80" t="s">
        <v>1178</v>
      </c>
    </row>
    <row r="64" spans="1:10">
      <c r="A64" s="79">
        <v>98612445106</v>
      </c>
      <c r="B64" s="80" t="s">
        <v>3239</v>
      </c>
      <c r="C64" s="80" t="s">
        <v>3419</v>
      </c>
      <c r="D64" s="80" t="s">
        <v>1182</v>
      </c>
      <c r="E64" s="80" t="s">
        <v>754</v>
      </c>
      <c r="F64" s="81" t="s">
        <v>3435</v>
      </c>
      <c r="G64" s="80" t="s">
        <v>3436</v>
      </c>
      <c r="H64" s="80" t="s">
        <v>3437</v>
      </c>
      <c r="I64" s="80" t="s">
        <v>1183</v>
      </c>
      <c r="J64" s="80" t="s">
        <v>1184</v>
      </c>
    </row>
    <row r="65" spans="1:10">
      <c r="A65" s="79">
        <v>98612445101</v>
      </c>
      <c r="B65" s="80" t="s">
        <v>3239</v>
      </c>
      <c r="C65" s="80" t="s">
        <v>3419</v>
      </c>
      <c r="D65" s="80" t="s">
        <v>582</v>
      </c>
      <c r="E65" s="80" t="s">
        <v>754</v>
      </c>
      <c r="F65" s="81" t="s">
        <v>3438</v>
      </c>
      <c r="G65" s="80" t="s">
        <v>3439</v>
      </c>
      <c r="H65" s="80" t="s">
        <v>3440</v>
      </c>
      <c r="I65" s="80" t="s">
        <v>1180</v>
      </c>
      <c r="J65" s="80" t="s">
        <v>1181</v>
      </c>
    </row>
    <row r="66" spans="1:10">
      <c r="A66" s="79">
        <v>98612151051</v>
      </c>
      <c r="B66" s="80" t="s">
        <v>3239</v>
      </c>
      <c r="C66" s="80" t="s">
        <v>3419</v>
      </c>
      <c r="D66" s="80" t="s">
        <v>1157</v>
      </c>
      <c r="E66" s="80" t="s">
        <v>819</v>
      </c>
      <c r="F66" s="81" t="s">
        <v>3441</v>
      </c>
      <c r="G66" s="80" t="s">
        <v>3442</v>
      </c>
      <c r="H66" s="80" t="s">
        <v>3443</v>
      </c>
      <c r="I66" s="80" t="s">
        <v>1158</v>
      </c>
      <c r="J66" s="80" t="s">
        <v>1159</v>
      </c>
    </row>
    <row r="67" spans="1:10">
      <c r="A67" s="79">
        <v>98612445111</v>
      </c>
      <c r="B67" s="80" t="s">
        <v>3239</v>
      </c>
      <c r="C67" s="80" t="s">
        <v>3419</v>
      </c>
      <c r="D67" s="80" t="s">
        <v>1185</v>
      </c>
      <c r="E67" s="80" t="s">
        <v>754</v>
      </c>
      <c r="F67" s="81" t="s">
        <v>3444</v>
      </c>
      <c r="G67" s="80" t="s">
        <v>3445</v>
      </c>
      <c r="H67" s="80" t="s">
        <v>3446</v>
      </c>
      <c r="I67" s="80" t="s">
        <v>1186</v>
      </c>
      <c r="J67" s="80" t="s">
        <v>1187</v>
      </c>
    </row>
    <row r="68" spans="1:10">
      <c r="A68" s="79">
        <v>98612412106</v>
      </c>
      <c r="B68" s="80" t="s">
        <v>3239</v>
      </c>
      <c r="C68" s="80" t="s">
        <v>3419</v>
      </c>
      <c r="D68" s="80" t="s">
        <v>1168</v>
      </c>
      <c r="E68" s="80" t="s">
        <v>754</v>
      </c>
      <c r="F68" s="81" t="s">
        <v>3447</v>
      </c>
      <c r="G68" s="80" t="s">
        <v>3448</v>
      </c>
      <c r="H68" s="80" t="s">
        <v>3449</v>
      </c>
      <c r="I68" s="80" t="s">
        <v>1169</v>
      </c>
      <c r="J68" s="80" t="s">
        <v>1170</v>
      </c>
    </row>
    <row r="69" spans="1:10">
      <c r="A69" s="79">
        <v>98614423101</v>
      </c>
      <c r="B69" s="80" t="s">
        <v>3239</v>
      </c>
      <c r="C69" s="80" t="s">
        <v>758</v>
      </c>
      <c r="D69" s="80" t="s">
        <v>1233</v>
      </c>
      <c r="E69" s="80" t="s">
        <v>754</v>
      </c>
      <c r="F69" s="81" t="s">
        <v>3450</v>
      </c>
      <c r="G69" s="80" t="s">
        <v>3451</v>
      </c>
      <c r="H69" s="80" t="s">
        <v>3452</v>
      </c>
      <c r="I69" s="80" t="s">
        <v>1234</v>
      </c>
      <c r="J69" s="80" t="s">
        <v>1235</v>
      </c>
    </row>
    <row r="70" spans="1:10">
      <c r="A70" s="79">
        <v>98614467101</v>
      </c>
      <c r="B70" s="80" t="s">
        <v>3239</v>
      </c>
      <c r="C70" s="80" t="s">
        <v>758</v>
      </c>
      <c r="D70" s="80" t="s">
        <v>1273</v>
      </c>
      <c r="E70" s="80" t="s">
        <v>754</v>
      </c>
      <c r="F70" s="81" t="s">
        <v>3453</v>
      </c>
      <c r="G70" s="80" t="s">
        <v>3454</v>
      </c>
      <c r="H70" s="80" t="s">
        <v>3455</v>
      </c>
      <c r="I70" s="80" t="s">
        <v>1274</v>
      </c>
      <c r="J70" s="80" t="s">
        <v>1275</v>
      </c>
    </row>
    <row r="71" spans="1:10">
      <c r="A71" s="79">
        <v>98614402101</v>
      </c>
      <c r="B71" s="80" t="s">
        <v>3239</v>
      </c>
      <c r="C71" s="80" t="s">
        <v>758</v>
      </c>
      <c r="D71" s="80" t="s">
        <v>1194</v>
      </c>
      <c r="E71" s="80" t="s">
        <v>754</v>
      </c>
      <c r="F71" s="81" t="s">
        <v>3456</v>
      </c>
      <c r="G71" s="80" t="s">
        <v>3457</v>
      </c>
      <c r="H71" s="80" t="s">
        <v>3458</v>
      </c>
      <c r="I71" s="80" t="s">
        <v>1195</v>
      </c>
      <c r="J71" s="80" t="s">
        <v>1196</v>
      </c>
    </row>
    <row r="72" spans="1:10">
      <c r="A72" s="79">
        <v>98614405101</v>
      </c>
      <c r="B72" s="80" t="s">
        <v>3239</v>
      </c>
      <c r="C72" s="80" t="s">
        <v>758</v>
      </c>
      <c r="D72" s="80" t="s">
        <v>1198</v>
      </c>
      <c r="E72" s="80" t="s">
        <v>754</v>
      </c>
      <c r="F72" s="81" t="s">
        <v>3459</v>
      </c>
      <c r="G72" s="80" t="s">
        <v>3460</v>
      </c>
      <c r="H72" s="80" t="s">
        <v>3461</v>
      </c>
      <c r="I72" s="80" t="s">
        <v>1199</v>
      </c>
      <c r="J72" s="80" t="s">
        <v>1200</v>
      </c>
    </row>
    <row r="73" spans="1:10">
      <c r="A73" s="79">
        <v>98614407101</v>
      </c>
      <c r="B73" s="80" t="s">
        <v>3239</v>
      </c>
      <c r="C73" s="80" t="s">
        <v>758</v>
      </c>
      <c r="D73" s="80" t="s">
        <v>1209</v>
      </c>
      <c r="E73" s="80" t="s">
        <v>754</v>
      </c>
      <c r="F73" s="81" t="s">
        <v>3462</v>
      </c>
      <c r="G73" s="80" t="s">
        <v>3463</v>
      </c>
      <c r="H73" s="80" t="s">
        <v>3464</v>
      </c>
      <c r="I73" s="80" t="s">
        <v>1210</v>
      </c>
      <c r="J73" s="80" t="s">
        <v>1211</v>
      </c>
    </row>
    <row r="74" spans="1:10">
      <c r="A74" s="79">
        <v>98614422106</v>
      </c>
      <c r="B74" s="80" t="s">
        <v>3239</v>
      </c>
      <c r="C74" s="80" t="s">
        <v>758</v>
      </c>
      <c r="D74" s="80" t="s">
        <v>1226</v>
      </c>
      <c r="E74" s="80" t="s">
        <v>754</v>
      </c>
      <c r="F74" s="81" t="s">
        <v>3465</v>
      </c>
      <c r="G74" s="80" t="s">
        <v>3466</v>
      </c>
      <c r="H74" s="80" t="s">
        <v>3467</v>
      </c>
      <c r="I74" s="80" t="s">
        <v>1227</v>
      </c>
      <c r="J74" s="80" t="s">
        <v>1228</v>
      </c>
    </row>
    <row r="75" spans="1:10">
      <c r="A75" s="79">
        <v>98614417106</v>
      </c>
      <c r="B75" s="80" t="s">
        <v>3239</v>
      </c>
      <c r="C75" s="80" t="s">
        <v>758</v>
      </c>
      <c r="D75" s="80" t="s">
        <v>1219</v>
      </c>
      <c r="E75" s="80" t="s">
        <v>754</v>
      </c>
      <c r="F75" s="81" t="s">
        <v>3468</v>
      </c>
      <c r="G75" s="80" t="s">
        <v>3469</v>
      </c>
      <c r="H75" s="80" t="s">
        <v>3470</v>
      </c>
      <c r="I75" s="80" t="s">
        <v>1220</v>
      </c>
      <c r="J75" s="80" t="s">
        <v>1221</v>
      </c>
    </row>
    <row r="76" spans="1:10">
      <c r="A76" s="79">
        <v>98614412101</v>
      </c>
      <c r="B76" s="80" t="s">
        <v>3239</v>
      </c>
      <c r="C76" s="80" t="s">
        <v>758</v>
      </c>
      <c r="D76" s="80" t="s">
        <v>510</v>
      </c>
      <c r="E76" s="80" t="s">
        <v>754</v>
      </c>
      <c r="F76" s="81" t="s">
        <v>3471</v>
      </c>
      <c r="G76" s="80" t="s">
        <v>3472</v>
      </c>
      <c r="H76" s="80" t="s">
        <v>3473</v>
      </c>
      <c r="I76" s="80" t="s">
        <v>1213</v>
      </c>
      <c r="J76" s="80" t="s">
        <v>1214</v>
      </c>
    </row>
    <row r="77" spans="1:10">
      <c r="A77" s="79">
        <v>98614422101</v>
      </c>
      <c r="B77" s="80" t="s">
        <v>3239</v>
      </c>
      <c r="C77" s="80" t="s">
        <v>758</v>
      </c>
      <c r="D77" s="80" t="s">
        <v>1223</v>
      </c>
      <c r="E77" s="80" t="s">
        <v>754</v>
      </c>
      <c r="F77" s="81" t="s">
        <v>3474</v>
      </c>
      <c r="G77" s="80" t="s">
        <v>3475</v>
      </c>
      <c r="H77" s="80" t="s">
        <v>3476</v>
      </c>
      <c r="I77" s="80" t="s">
        <v>1224</v>
      </c>
      <c r="J77" s="80" t="s">
        <v>1225</v>
      </c>
    </row>
    <row r="78" spans="1:10">
      <c r="A78" s="79">
        <v>98614417101</v>
      </c>
      <c r="B78" s="80" t="s">
        <v>3239</v>
      </c>
      <c r="C78" s="80" t="s">
        <v>758</v>
      </c>
      <c r="D78" s="80" t="s">
        <v>1216</v>
      </c>
      <c r="E78" s="80" t="s">
        <v>754</v>
      </c>
      <c r="F78" s="81" t="s">
        <v>3477</v>
      </c>
      <c r="G78" s="80" t="s">
        <v>3478</v>
      </c>
      <c r="H78" s="80" t="s">
        <v>3479</v>
      </c>
      <c r="I78" s="80" t="s">
        <v>1217</v>
      </c>
      <c r="J78" s="80" t="s">
        <v>1218</v>
      </c>
    </row>
    <row r="79" spans="1:10">
      <c r="A79" s="79">
        <v>98614467106</v>
      </c>
      <c r="B79" s="80" t="s">
        <v>3239</v>
      </c>
      <c r="C79" s="80" t="s">
        <v>758</v>
      </c>
      <c r="D79" s="80" t="s">
        <v>3251</v>
      </c>
      <c r="E79" s="80" t="s">
        <v>754</v>
      </c>
      <c r="F79" s="81" t="s">
        <v>3480</v>
      </c>
      <c r="G79" s="80" t="s">
        <v>3481</v>
      </c>
      <c r="H79" s="80" t="s">
        <v>3482</v>
      </c>
      <c r="I79" s="80" t="s">
        <v>1276</v>
      </c>
      <c r="J79" s="80" t="s">
        <v>1277</v>
      </c>
    </row>
    <row r="80" spans="1:10">
      <c r="A80" s="79">
        <v>98614405106</v>
      </c>
      <c r="B80" s="80" t="s">
        <v>3239</v>
      </c>
      <c r="C80" s="80" t="s">
        <v>758</v>
      </c>
      <c r="D80" s="80" t="s">
        <v>1201</v>
      </c>
      <c r="E80" s="80" t="s">
        <v>754</v>
      </c>
      <c r="F80" s="81" t="s">
        <v>3483</v>
      </c>
      <c r="G80" s="80" t="s">
        <v>3484</v>
      </c>
      <c r="H80" s="80" t="s">
        <v>3485</v>
      </c>
      <c r="I80" s="80" t="s">
        <v>1202</v>
      </c>
      <c r="J80" s="80" t="s">
        <v>1203</v>
      </c>
    </row>
    <row r="81" spans="1:10">
      <c r="A81" s="79">
        <v>98614423106</v>
      </c>
      <c r="B81" s="80" t="s">
        <v>3239</v>
      </c>
      <c r="C81" s="80" t="s">
        <v>758</v>
      </c>
      <c r="D81" s="80" t="s">
        <v>1236</v>
      </c>
      <c r="E81" s="80" t="s">
        <v>754</v>
      </c>
      <c r="F81" s="81" t="s">
        <v>3486</v>
      </c>
      <c r="G81" s="80" t="s">
        <v>3487</v>
      </c>
      <c r="H81" s="80" t="s">
        <v>3488</v>
      </c>
      <c r="I81" s="80" t="s">
        <v>1237</v>
      </c>
      <c r="J81" s="80" t="s">
        <v>1238</v>
      </c>
    </row>
    <row r="82" spans="1:10">
      <c r="A82" s="79">
        <v>98614422111</v>
      </c>
      <c r="B82" s="80" t="s">
        <v>3239</v>
      </c>
      <c r="C82" s="80" t="s">
        <v>758</v>
      </c>
      <c r="D82" s="80" t="s">
        <v>1229</v>
      </c>
      <c r="E82" s="80" t="s">
        <v>754</v>
      </c>
      <c r="F82" s="81" t="s">
        <v>3489</v>
      </c>
      <c r="G82" s="80" t="s">
        <v>3490</v>
      </c>
      <c r="H82" s="80" t="s">
        <v>3491</v>
      </c>
      <c r="I82" s="80" t="s">
        <v>1230</v>
      </c>
      <c r="J82" s="80" t="s">
        <v>1231</v>
      </c>
    </row>
    <row r="83" spans="1:10">
      <c r="A83" s="79">
        <v>98614406101</v>
      </c>
      <c r="B83" s="80" t="s">
        <v>3239</v>
      </c>
      <c r="C83" s="80" t="s">
        <v>758</v>
      </c>
      <c r="D83" s="80" t="s">
        <v>1205</v>
      </c>
      <c r="E83" s="80" t="s">
        <v>754</v>
      </c>
      <c r="F83" s="81" t="s">
        <v>3492</v>
      </c>
      <c r="G83" s="80" t="s">
        <v>3493</v>
      </c>
      <c r="H83" s="80" t="s">
        <v>3494</v>
      </c>
      <c r="I83" s="80" t="s">
        <v>1206</v>
      </c>
      <c r="J83" s="80" t="s">
        <v>1207</v>
      </c>
    </row>
    <row r="84" spans="1:10">
      <c r="A84" s="79">
        <v>98614478101</v>
      </c>
      <c r="B84" s="80" t="s">
        <v>3239</v>
      </c>
      <c r="C84" s="80" t="s">
        <v>758</v>
      </c>
      <c r="D84" s="80" t="s">
        <v>1287</v>
      </c>
      <c r="E84" s="80" t="s">
        <v>754</v>
      </c>
      <c r="F84" s="81" t="s">
        <v>3495</v>
      </c>
      <c r="G84" s="80" t="s">
        <v>3496</v>
      </c>
      <c r="H84" s="80" t="s">
        <v>3497</v>
      </c>
      <c r="I84" s="80" t="s">
        <v>1288</v>
      </c>
      <c r="J84" s="80" t="s">
        <v>1289</v>
      </c>
    </row>
    <row r="85" spans="1:10">
      <c r="A85" s="79">
        <v>98614450101</v>
      </c>
      <c r="B85" s="80" t="s">
        <v>3239</v>
      </c>
      <c r="C85" s="80" t="s">
        <v>758</v>
      </c>
      <c r="D85" s="80" t="s">
        <v>1261</v>
      </c>
      <c r="E85" s="80" t="s">
        <v>754</v>
      </c>
      <c r="F85" s="81" t="s">
        <v>3498</v>
      </c>
      <c r="G85" s="80" t="s">
        <v>3499</v>
      </c>
      <c r="H85" s="80" t="s">
        <v>3500</v>
      </c>
      <c r="I85" s="80" t="s">
        <v>1262</v>
      </c>
      <c r="J85" s="80" t="s">
        <v>1263</v>
      </c>
    </row>
    <row r="86" spans="1:10">
      <c r="A86" s="79">
        <v>98614440106</v>
      </c>
      <c r="B86" s="80" t="s">
        <v>3239</v>
      </c>
      <c r="C86" s="80" t="s">
        <v>758</v>
      </c>
      <c r="D86" s="80" t="s">
        <v>1254</v>
      </c>
      <c r="E86" s="80" t="s">
        <v>754</v>
      </c>
      <c r="F86" s="81" t="s">
        <v>3501</v>
      </c>
      <c r="G86" s="80" t="s">
        <v>3502</v>
      </c>
      <c r="H86" s="80" t="s">
        <v>3503</v>
      </c>
      <c r="I86" s="80" t="s">
        <v>1255</v>
      </c>
      <c r="J86" s="80" t="s">
        <v>1256</v>
      </c>
    </row>
    <row r="87" spans="1:10">
      <c r="A87" s="79">
        <v>98614455101</v>
      </c>
      <c r="B87" s="80" t="s">
        <v>3239</v>
      </c>
      <c r="C87" s="80" t="s">
        <v>758</v>
      </c>
      <c r="D87" s="80" t="s">
        <v>3504</v>
      </c>
      <c r="E87" s="80" t="s">
        <v>754</v>
      </c>
      <c r="F87" s="81" t="s">
        <v>3505</v>
      </c>
      <c r="G87" s="80" t="s">
        <v>3506</v>
      </c>
      <c r="H87" s="80" t="s">
        <v>3507</v>
      </c>
      <c r="I87" s="80" t="s">
        <v>1266</v>
      </c>
      <c r="J87" s="80" t="s">
        <v>1267</v>
      </c>
    </row>
    <row r="88" spans="1:10">
      <c r="A88" s="79">
        <v>98614460101</v>
      </c>
      <c r="B88" s="80" t="s">
        <v>3239</v>
      </c>
      <c r="C88" s="80" t="s">
        <v>758</v>
      </c>
      <c r="D88" s="80" t="s">
        <v>1269</v>
      </c>
      <c r="E88" s="80" t="s">
        <v>754</v>
      </c>
      <c r="F88" s="81" t="s">
        <v>3508</v>
      </c>
      <c r="G88" s="80" t="s">
        <v>3509</v>
      </c>
      <c r="H88" s="80" t="s">
        <v>3510</v>
      </c>
      <c r="I88" s="80" t="s">
        <v>1270</v>
      </c>
      <c r="J88" s="80" t="s">
        <v>1271</v>
      </c>
    </row>
    <row r="89" spans="1:10">
      <c r="A89" s="79">
        <v>98614440101</v>
      </c>
      <c r="B89" s="80" t="s">
        <v>3239</v>
      </c>
      <c r="C89" s="80" t="s">
        <v>758</v>
      </c>
      <c r="D89" s="80" t="s">
        <v>1251</v>
      </c>
      <c r="E89" s="80" t="s">
        <v>754</v>
      </c>
      <c r="F89" s="81" t="s">
        <v>3511</v>
      </c>
      <c r="G89" s="80" t="s">
        <v>3512</v>
      </c>
      <c r="H89" s="80" t="s">
        <v>3513</v>
      </c>
      <c r="I89" s="80" t="s">
        <v>1252</v>
      </c>
      <c r="J89" s="80" t="s">
        <v>1253</v>
      </c>
    </row>
    <row r="90" spans="1:10">
      <c r="A90" s="79">
        <v>98614469101</v>
      </c>
      <c r="B90" s="80" t="s">
        <v>3239</v>
      </c>
      <c r="C90" s="80" t="s">
        <v>758</v>
      </c>
      <c r="D90" s="80" t="s">
        <v>1279</v>
      </c>
      <c r="E90" s="80" t="s">
        <v>754</v>
      </c>
      <c r="F90" s="81" t="s">
        <v>3514</v>
      </c>
      <c r="G90" s="80" t="s">
        <v>3515</v>
      </c>
      <c r="H90" s="80" t="s">
        <v>3516</v>
      </c>
      <c r="I90" s="80" t="s">
        <v>1280</v>
      </c>
      <c r="J90" s="80" t="s">
        <v>1281</v>
      </c>
    </row>
    <row r="91" spans="1:10">
      <c r="A91" s="79">
        <v>98614472101</v>
      </c>
      <c r="B91" s="80" t="s">
        <v>3239</v>
      </c>
      <c r="C91" s="80" t="s">
        <v>758</v>
      </c>
      <c r="D91" s="80" t="s">
        <v>1283</v>
      </c>
      <c r="E91" s="80" t="s">
        <v>754</v>
      </c>
      <c r="F91" s="81" t="s">
        <v>3517</v>
      </c>
      <c r="G91" s="80" t="s">
        <v>3518</v>
      </c>
      <c r="H91" s="80" t="s">
        <v>3519</v>
      </c>
      <c r="I91" s="80" t="s">
        <v>1284</v>
      </c>
      <c r="J91" s="80" t="s">
        <v>1285</v>
      </c>
    </row>
    <row r="92" spans="1:10">
      <c r="A92" s="79">
        <v>98614436101</v>
      </c>
      <c r="B92" s="80" t="s">
        <v>3239</v>
      </c>
      <c r="C92" s="80" t="s">
        <v>758</v>
      </c>
      <c r="D92" s="80" t="s">
        <v>1244</v>
      </c>
      <c r="E92" s="80" t="s">
        <v>754</v>
      </c>
      <c r="F92" s="81" t="s">
        <v>3520</v>
      </c>
      <c r="G92" s="80" t="s">
        <v>3521</v>
      </c>
      <c r="H92" s="80" t="s">
        <v>3522</v>
      </c>
      <c r="I92" s="80" t="s">
        <v>1245</v>
      </c>
      <c r="J92" s="80" t="s">
        <v>1246</v>
      </c>
    </row>
    <row r="93" spans="1:10">
      <c r="A93" s="79">
        <v>98614429101</v>
      </c>
      <c r="B93" s="80" t="s">
        <v>3239</v>
      </c>
      <c r="C93" s="80" t="s">
        <v>758</v>
      </c>
      <c r="D93" s="80" t="s">
        <v>1240</v>
      </c>
      <c r="E93" s="80" t="s">
        <v>754</v>
      </c>
      <c r="F93" s="81" t="s">
        <v>3523</v>
      </c>
      <c r="G93" s="80" t="s">
        <v>3524</v>
      </c>
      <c r="H93" s="80" t="s">
        <v>3525</v>
      </c>
      <c r="I93" s="80" t="s">
        <v>1241</v>
      </c>
      <c r="J93" s="80" t="s">
        <v>1242</v>
      </c>
    </row>
    <row r="94" spans="1:10">
      <c r="A94" s="79">
        <v>98614482101</v>
      </c>
      <c r="B94" s="80" t="s">
        <v>3239</v>
      </c>
      <c r="C94" s="80" t="s">
        <v>758</v>
      </c>
      <c r="D94" s="80" t="s">
        <v>760</v>
      </c>
      <c r="E94" s="80" t="s">
        <v>754</v>
      </c>
      <c r="F94" s="81" t="s">
        <v>3526</v>
      </c>
      <c r="G94" s="80" t="s">
        <v>3527</v>
      </c>
      <c r="H94" s="80" t="s">
        <v>3528</v>
      </c>
      <c r="I94" s="80" t="s">
        <v>1258</v>
      </c>
      <c r="J94" s="80" t="s">
        <v>1259</v>
      </c>
    </row>
    <row r="95" spans="1:10">
      <c r="A95" s="79">
        <v>98614486101</v>
      </c>
      <c r="B95" s="80" t="s">
        <v>3239</v>
      </c>
      <c r="C95" s="80" t="s">
        <v>758</v>
      </c>
      <c r="D95" s="80" t="s">
        <v>1294</v>
      </c>
      <c r="E95" s="80" t="s">
        <v>754</v>
      </c>
      <c r="F95" s="81" t="s">
        <v>3529</v>
      </c>
      <c r="G95" s="80" t="s">
        <v>3530</v>
      </c>
      <c r="H95" s="80" t="s">
        <v>3531</v>
      </c>
      <c r="I95" s="80" t="s">
        <v>1295</v>
      </c>
      <c r="J95" s="80" t="s">
        <v>1296</v>
      </c>
    </row>
    <row r="96" spans="1:10">
      <c r="A96" s="79">
        <v>98614436106</v>
      </c>
      <c r="B96" s="80" t="s">
        <v>3239</v>
      </c>
      <c r="C96" s="80" t="s">
        <v>758</v>
      </c>
      <c r="D96" s="80" t="s">
        <v>1247</v>
      </c>
      <c r="E96" s="80" t="s">
        <v>754</v>
      </c>
      <c r="F96" s="81" t="s">
        <v>3532</v>
      </c>
      <c r="G96" s="80" t="s">
        <v>3533</v>
      </c>
      <c r="H96" s="80" t="s">
        <v>3534</v>
      </c>
      <c r="I96" s="80" t="s">
        <v>1248</v>
      </c>
      <c r="J96" s="80" t="s">
        <v>1249</v>
      </c>
    </row>
    <row r="97" spans="1:10">
      <c r="A97" s="79">
        <v>98615409101</v>
      </c>
      <c r="B97" s="80" t="s">
        <v>3239</v>
      </c>
      <c r="C97" s="80" t="s">
        <v>3535</v>
      </c>
      <c r="D97" s="80" t="s">
        <v>1307</v>
      </c>
      <c r="E97" s="80" t="s">
        <v>754</v>
      </c>
      <c r="F97" s="81" t="s">
        <v>3536</v>
      </c>
      <c r="G97" s="80" t="s">
        <v>3537</v>
      </c>
      <c r="H97" s="80" t="s">
        <v>3538</v>
      </c>
      <c r="I97" s="80" t="s">
        <v>1308</v>
      </c>
      <c r="J97" s="80" t="s">
        <v>1309</v>
      </c>
    </row>
    <row r="98" spans="1:10">
      <c r="A98" s="79">
        <v>98615151051</v>
      </c>
      <c r="B98" s="80" t="s">
        <v>3239</v>
      </c>
      <c r="C98" s="80" t="s">
        <v>3535</v>
      </c>
      <c r="D98" s="80" t="s">
        <v>679</v>
      </c>
      <c r="E98" s="80" t="s">
        <v>819</v>
      </c>
      <c r="F98" s="81" t="s">
        <v>3539</v>
      </c>
      <c r="G98" s="80" t="s">
        <v>3540</v>
      </c>
      <c r="H98" s="80" t="s">
        <v>3541</v>
      </c>
      <c r="I98" s="80" t="s">
        <v>1299</v>
      </c>
      <c r="J98" s="80" t="s">
        <v>1300</v>
      </c>
    </row>
    <row r="99" spans="1:10">
      <c r="A99" s="79">
        <v>98615414101</v>
      </c>
      <c r="B99" s="80" t="s">
        <v>3239</v>
      </c>
      <c r="C99" s="80" t="s">
        <v>3535</v>
      </c>
      <c r="D99" s="80" t="s">
        <v>698</v>
      </c>
      <c r="E99" s="80" t="s">
        <v>754</v>
      </c>
      <c r="F99" s="81" t="s">
        <v>3542</v>
      </c>
      <c r="G99" s="80" t="s">
        <v>3543</v>
      </c>
      <c r="H99" s="80" t="s">
        <v>3544</v>
      </c>
      <c r="I99" s="80" t="s">
        <v>1311</v>
      </c>
      <c r="J99" s="80" t="s">
        <v>1312</v>
      </c>
    </row>
    <row r="100" spans="1:10">
      <c r="A100" s="79">
        <v>98615427101</v>
      </c>
      <c r="B100" s="80" t="s">
        <v>3239</v>
      </c>
      <c r="C100" s="80" t="s">
        <v>3535</v>
      </c>
      <c r="D100" s="80" t="s">
        <v>1314</v>
      </c>
      <c r="E100" s="80" t="s">
        <v>754</v>
      </c>
      <c r="F100" s="81" t="s">
        <v>3545</v>
      </c>
      <c r="G100" s="80" t="s">
        <v>3546</v>
      </c>
      <c r="H100" s="80" t="s">
        <v>3547</v>
      </c>
      <c r="I100" s="80" t="s">
        <v>1315</v>
      </c>
      <c r="J100" s="80" t="s">
        <v>1316</v>
      </c>
    </row>
    <row r="101" spans="1:10">
      <c r="A101" s="79">
        <v>98615405101</v>
      </c>
      <c r="B101" s="80" t="s">
        <v>3239</v>
      </c>
      <c r="C101" s="80" t="s">
        <v>3535</v>
      </c>
      <c r="D101" s="80" t="s">
        <v>3548</v>
      </c>
      <c r="E101" s="80" t="s">
        <v>754</v>
      </c>
      <c r="F101" s="81" t="s">
        <v>3549</v>
      </c>
      <c r="G101" s="80" t="s">
        <v>3550</v>
      </c>
      <c r="H101" s="80" t="s">
        <v>3551</v>
      </c>
      <c r="I101" s="80" t="s">
        <v>1304</v>
      </c>
      <c r="J101" s="80" t="s">
        <v>1305</v>
      </c>
    </row>
    <row r="102" spans="1:10">
      <c r="A102" s="79">
        <v>98615430101</v>
      </c>
      <c r="B102" s="80" t="s">
        <v>3239</v>
      </c>
      <c r="C102" s="80" t="s">
        <v>3535</v>
      </c>
      <c r="D102" s="80" t="s">
        <v>1318</v>
      </c>
      <c r="E102" s="80" t="s">
        <v>754</v>
      </c>
      <c r="F102" s="81" t="s">
        <v>3552</v>
      </c>
      <c r="G102" s="80" t="s">
        <v>3553</v>
      </c>
      <c r="H102" s="80" t="s">
        <v>3554</v>
      </c>
      <c r="I102" s="80" t="s">
        <v>1319</v>
      </c>
      <c r="J102" s="80" t="s">
        <v>1320</v>
      </c>
    </row>
    <row r="103" spans="1:10">
      <c r="A103" s="79">
        <v>98616404106</v>
      </c>
      <c r="B103" s="80" t="s">
        <v>3239</v>
      </c>
      <c r="C103" s="80" t="s">
        <v>772</v>
      </c>
      <c r="D103" s="80" t="s">
        <v>1344</v>
      </c>
      <c r="E103" s="80" t="s">
        <v>754</v>
      </c>
      <c r="F103" s="81" t="s">
        <v>3555</v>
      </c>
      <c r="G103" s="80" t="s">
        <v>3556</v>
      </c>
      <c r="H103" s="80" t="s">
        <v>3557</v>
      </c>
      <c r="I103" s="80" t="s">
        <v>1345</v>
      </c>
      <c r="J103" s="80" t="s">
        <v>1346</v>
      </c>
    </row>
    <row r="104" spans="1:10">
      <c r="A104" s="79">
        <v>98616409101</v>
      </c>
      <c r="B104" s="80" t="s">
        <v>3239</v>
      </c>
      <c r="C104" s="80" t="s">
        <v>772</v>
      </c>
      <c r="D104" s="80" t="s">
        <v>614</v>
      </c>
      <c r="E104" s="80" t="s">
        <v>754</v>
      </c>
      <c r="F104" s="81" t="s">
        <v>3558</v>
      </c>
      <c r="G104" s="80" t="s">
        <v>3559</v>
      </c>
      <c r="H104" s="80" t="s">
        <v>3560</v>
      </c>
      <c r="I104" s="80" t="s">
        <v>1350</v>
      </c>
      <c r="J104" s="80" t="s">
        <v>1351</v>
      </c>
    </row>
    <row r="105" spans="1:10">
      <c r="A105" s="79">
        <v>98616412101</v>
      </c>
      <c r="B105" s="80" t="s">
        <v>3239</v>
      </c>
      <c r="C105" s="80" t="s">
        <v>772</v>
      </c>
      <c r="D105" s="80" t="s">
        <v>1356</v>
      </c>
      <c r="E105" s="80" t="s">
        <v>754</v>
      </c>
      <c r="F105" s="81" t="s">
        <v>3561</v>
      </c>
      <c r="G105" s="80" t="s">
        <v>3562</v>
      </c>
      <c r="H105" s="80" t="s">
        <v>3563</v>
      </c>
      <c r="I105" s="80" t="s">
        <v>1357</v>
      </c>
      <c r="J105" s="80" t="s">
        <v>1358</v>
      </c>
    </row>
    <row r="106" spans="1:10">
      <c r="A106" s="79">
        <v>98616151051</v>
      </c>
      <c r="B106" s="80" t="s">
        <v>3239</v>
      </c>
      <c r="C106" s="80" t="s">
        <v>772</v>
      </c>
      <c r="D106" s="80" t="s">
        <v>592</v>
      </c>
      <c r="E106" s="80" t="s">
        <v>3106</v>
      </c>
      <c r="F106" s="81" t="s">
        <v>3564</v>
      </c>
      <c r="G106" s="80" t="s">
        <v>3565</v>
      </c>
      <c r="H106" s="80" t="s">
        <v>3566</v>
      </c>
      <c r="I106" s="80" t="s">
        <v>1328</v>
      </c>
      <c r="J106" s="80" t="s">
        <v>1329</v>
      </c>
    </row>
    <row r="107" spans="1:10">
      <c r="A107" s="79">
        <v>98616404101</v>
      </c>
      <c r="B107" s="80" t="s">
        <v>3239</v>
      </c>
      <c r="C107" s="80" t="s">
        <v>772</v>
      </c>
      <c r="D107" s="80" t="s">
        <v>3567</v>
      </c>
      <c r="E107" s="80" t="s">
        <v>754</v>
      </c>
      <c r="F107" s="81" t="s">
        <v>3568</v>
      </c>
      <c r="G107" s="80" t="s">
        <v>3569</v>
      </c>
      <c r="H107" s="80" t="s">
        <v>3570</v>
      </c>
      <c r="I107" s="80" t="s">
        <v>1342</v>
      </c>
      <c r="J107" s="80" t="s">
        <v>1343</v>
      </c>
    </row>
    <row r="108" spans="1:10">
      <c r="A108" s="79">
        <v>98616477101</v>
      </c>
      <c r="B108" s="80" t="s">
        <v>3239</v>
      </c>
      <c r="C108" s="80" t="s">
        <v>772</v>
      </c>
      <c r="D108" s="80" t="s">
        <v>1406</v>
      </c>
      <c r="E108" s="80" t="s">
        <v>754</v>
      </c>
      <c r="F108" s="81" t="s">
        <v>3571</v>
      </c>
      <c r="G108" s="80" t="s">
        <v>3572</v>
      </c>
      <c r="H108" s="80" t="s">
        <v>3573</v>
      </c>
      <c r="I108" s="80" t="s">
        <v>1407</v>
      </c>
      <c r="J108" s="80" t="s">
        <v>1408</v>
      </c>
    </row>
    <row r="109" spans="1:10">
      <c r="A109" s="79">
        <v>98616103001</v>
      </c>
      <c r="B109" s="80" t="s">
        <v>3239</v>
      </c>
      <c r="C109" s="80" t="s">
        <v>772</v>
      </c>
      <c r="D109" s="80" t="s">
        <v>589</v>
      </c>
      <c r="E109" s="80" t="s">
        <v>740</v>
      </c>
      <c r="F109" s="81" t="s">
        <v>3574</v>
      </c>
      <c r="G109" s="80" t="s">
        <v>3575</v>
      </c>
      <c r="H109" s="80" t="s">
        <v>3576</v>
      </c>
      <c r="I109" s="80" t="s">
        <v>1325</v>
      </c>
      <c r="J109" s="80" t="s">
        <v>1326</v>
      </c>
    </row>
    <row r="110" spans="1:10">
      <c r="A110" s="79">
        <v>98616477106</v>
      </c>
      <c r="B110" s="80" t="s">
        <v>3239</v>
      </c>
      <c r="C110" s="80" t="s">
        <v>772</v>
      </c>
      <c r="D110" s="80" t="s">
        <v>1409</v>
      </c>
      <c r="E110" s="80" t="s">
        <v>754</v>
      </c>
      <c r="F110" s="81" t="s">
        <v>3577</v>
      </c>
      <c r="G110" s="80" t="s">
        <v>3578</v>
      </c>
      <c r="H110" s="80" t="s">
        <v>3579</v>
      </c>
      <c r="I110" s="80" t="s">
        <v>1410</v>
      </c>
      <c r="J110" s="80" t="s">
        <v>1411</v>
      </c>
    </row>
    <row r="111" spans="1:10">
      <c r="A111" s="79">
        <v>98616409106</v>
      </c>
      <c r="B111" s="80" t="s">
        <v>3239</v>
      </c>
      <c r="C111" s="80" t="s">
        <v>772</v>
      </c>
      <c r="D111" s="80" t="s">
        <v>1352</v>
      </c>
      <c r="E111" s="80" t="s">
        <v>754</v>
      </c>
      <c r="F111" s="81" t="s">
        <v>3580</v>
      </c>
      <c r="G111" s="80" t="s">
        <v>3581</v>
      </c>
      <c r="H111" s="80" t="s">
        <v>3582</v>
      </c>
      <c r="I111" s="80" t="s">
        <v>1353</v>
      </c>
      <c r="J111" s="80" t="s">
        <v>1354</v>
      </c>
    </row>
    <row r="112" spans="1:10">
      <c r="A112" s="79">
        <v>98616464106</v>
      </c>
      <c r="B112" s="80" t="s">
        <v>3239</v>
      </c>
      <c r="C112" s="80" t="s">
        <v>772</v>
      </c>
      <c r="D112" s="80" t="s">
        <v>1396</v>
      </c>
      <c r="E112" s="80" t="s">
        <v>754</v>
      </c>
      <c r="F112" s="81" t="s">
        <v>3583</v>
      </c>
      <c r="G112" s="80" t="s">
        <v>3584</v>
      </c>
      <c r="H112" s="80" t="s">
        <v>3585</v>
      </c>
      <c r="I112" s="80" t="s">
        <v>1397</v>
      </c>
      <c r="J112" s="80" t="s">
        <v>1398</v>
      </c>
    </row>
    <row r="113" spans="1:10">
      <c r="A113" s="79">
        <v>98616464101</v>
      </c>
      <c r="B113" s="80" t="s">
        <v>3239</v>
      </c>
      <c r="C113" s="80" t="s">
        <v>772</v>
      </c>
      <c r="D113" s="80" t="s">
        <v>595</v>
      </c>
      <c r="E113" s="80" t="s">
        <v>754</v>
      </c>
      <c r="F113" s="81" t="s">
        <v>3586</v>
      </c>
      <c r="G113" s="80" t="s">
        <v>3587</v>
      </c>
      <c r="H113" s="80" t="s">
        <v>3588</v>
      </c>
      <c r="I113" s="80" t="s">
        <v>1394</v>
      </c>
      <c r="J113" s="80" t="s">
        <v>1395</v>
      </c>
    </row>
    <row r="114" spans="1:10">
      <c r="A114" s="79">
        <v>98616151106</v>
      </c>
      <c r="B114" s="80" t="s">
        <v>3239</v>
      </c>
      <c r="C114" s="80" t="s">
        <v>772</v>
      </c>
      <c r="D114" s="80" t="s">
        <v>1330</v>
      </c>
      <c r="E114" s="80" t="s">
        <v>754</v>
      </c>
      <c r="F114" s="81" t="s">
        <v>3589</v>
      </c>
      <c r="G114" s="80" t="s">
        <v>3590</v>
      </c>
      <c r="H114" s="80" t="s">
        <v>3591</v>
      </c>
      <c r="I114" s="80" t="s">
        <v>1331</v>
      </c>
      <c r="J114" s="80" t="s">
        <v>1332</v>
      </c>
    </row>
    <row r="115" spans="1:10">
      <c r="A115" s="79">
        <v>98616445101</v>
      </c>
      <c r="B115" s="80" t="s">
        <v>3239</v>
      </c>
      <c r="C115" s="80" t="s">
        <v>772</v>
      </c>
      <c r="D115" s="80" t="s">
        <v>1375</v>
      </c>
      <c r="E115" s="80" t="s">
        <v>754</v>
      </c>
      <c r="F115" s="81" t="s">
        <v>3592</v>
      </c>
      <c r="G115" s="80" t="s">
        <v>3593</v>
      </c>
      <c r="H115" s="80" t="s">
        <v>3594</v>
      </c>
      <c r="I115" s="80" t="s">
        <v>1376</v>
      </c>
      <c r="J115" s="80" t="s">
        <v>1377</v>
      </c>
    </row>
    <row r="116" spans="1:10">
      <c r="A116" s="79">
        <v>98616448101</v>
      </c>
      <c r="B116" s="80" t="s">
        <v>3239</v>
      </c>
      <c r="C116" s="80" t="s">
        <v>772</v>
      </c>
      <c r="D116" s="80" t="s">
        <v>1379</v>
      </c>
      <c r="E116" s="80" t="s">
        <v>754</v>
      </c>
      <c r="F116" s="81" t="s">
        <v>3595</v>
      </c>
      <c r="G116" s="80" t="s">
        <v>3596</v>
      </c>
      <c r="H116" s="80" t="s">
        <v>3597</v>
      </c>
      <c r="I116" s="80" t="s">
        <v>1380</v>
      </c>
      <c r="J116" s="80" t="s">
        <v>1381</v>
      </c>
    </row>
    <row r="117" spans="1:10">
      <c r="A117" s="79">
        <v>98616442106</v>
      </c>
      <c r="B117" s="80" t="s">
        <v>3239</v>
      </c>
      <c r="C117" s="80" t="s">
        <v>772</v>
      </c>
      <c r="D117" s="80" t="s">
        <v>1371</v>
      </c>
      <c r="E117" s="80" t="s">
        <v>754</v>
      </c>
      <c r="F117" s="81" t="s">
        <v>3598</v>
      </c>
      <c r="G117" s="80" t="s">
        <v>3599</v>
      </c>
      <c r="H117" s="80" t="s">
        <v>3600</v>
      </c>
      <c r="I117" s="80" t="s">
        <v>1372</v>
      </c>
      <c r="J117" s="80" t="s">
        <v>1373</v>
      </c>
    </row>
    <row r="118" spans="1:10">
      <c r="A118" s="79">
        <v>98616453106</v>
      </c>
      <c r="B118" s="80" t="s">
        <v>3239</v>
      </c>
      <c r="C118" s="80" t="s">
        <v>772</v>
      </c>
      <c r="D118" s="80" t="s">
        <v>1386</v>
      </c>
      <c r="E118" s="80" t="s">
        <v>754</v>
      </c>
      <c r="F118" s="81" t="s">
        <v>3601</v>
      </c>
      <c r="G118" s="80" t="s">
        <v>3602</v>
      </c>
      <c r="H118" s="80" t="s">
        <v>3603</v>
      </c>
      <c r="I118" s="80" t="s">
        <v>1387</v>
      </c>
      <c r="J118" s="80" t="s">
        <v>1388</v>
      </c>
    </row>
    <row r="119" spans="1:10">
      <c r="A119" s="79">
        <v>98616414106</v>
      </c>
      <c r="B119" s="80" t="s">
        <v>3239</v>
      </c>
      <c r="C119" s="80" t="s">
        <v>772</v>
      </c>
      <c r="D119" s="80" t="s">
        <v>1362</v>
      </c>
      <c r="E119" s="80" t="s">
        <v>754</v>
      </c>
      <c r="F119" s="81" t="s">
        <v>3604</v>
      </c>
      <c r="G119" s="80" t="s">
        <v>3605</v>
      </c>
      <c r="H119" s="80" t="s">
        <v>3606</v>
      </c>
      <c r="I119" s="80" t="s">
        <v>1363</v>
      </c>
      <c r="J119" s="80" t="s">
        <v>1364</v>
      </c>
    </row>
    <row r="120" spans="1:10">
      <c r="A120" s="79">
        <v>98616425101</v>
      </c>
      <c r="B120" s="80" t="s">
        <v>3239</v>
      </c>
      <c r="C120" s="80" t="s">
        <v>772</v>
      </c>
      <c r="D120" s="80" t="s">
        <v>618</v>
      </c>
      <c r="E120" s="80" t="s">
        <v>754</v>
      </c>
      <c r="F120" s="81" t="s">
        <v>3607</v>
      </c>
      <c r="G120" s="80" t="s">
        <v>3608</v>
      </c>
      <c r="H120" s="80" t="s">
        <v>3609</v>
      </c>
      <c r="I120" s="80" t="s">
        <v>1366</v>
      </c>
      <c r="J120" s="80" t="s">
        <v>1367</v>
      </c>
    </row>
    <row r="121" spans="1:10">
      <c r="A121" s="79">
        <v>98616453101</v>
      </c>
      <c r="B121" s="80" t="s">
        <v>3239</v>
      </c>
      <c r="C121" s="80" t="s">
        <v>772</v>
      </c>
      <c r="D121" s="80" t="s">
        <v>3610</v>
      </c>
      <c r="E121" s="80" t="s">
        <v>754</v>
      </c>
      <c r="F121" s="81" t="s">
        <v>3611</v>
      </c>
      <c r="G121" s="80" t="s">
        <v>3612</v>
      </c>
      <c r="H121" s="80" t="s">
        <v>3613</v>
      </c>
      <c r="I121" s="80" t="s">
        <v>1384</v>
      </c>
      <c r="J121" s="80" t="s">
        <v>1385</v>
      </c>
    </row>
    <row r="122" spans="1:10">
      <c r="A122" s="79">
        <v>98616151111</v>
      </c>
      <c r="B122" s="80" t="s">
        <v>3239</v>
      </c>
      <c r="C122" s="80" t="s">
        <v>772</v>
      </c>
      <c r="D122" s="80" t="s">
        <v>622</v>
      </c>
      <c r="E122" s="80" t="s">
        <v>754</v>
      </c>
      <c r="F122" s="81" t="s">
        <v>3614</v>
      </c>
      <c r="G122" s="80" t="s">
        <v>3615</v>
      </c>
      <c r="H122" s="80" t="s">
        <v>3616</v>
      </c>
      <c r="I122" s="80" t="s">
        <v>1333</v>
      </c>
      <c r="J122" s="80" t="s">
        <v>1334</v>
      </c>
    </row>
    <row r="123" spans="1:10">
      <c r="A123" s="79">
        <v>98616470101</v>
      </c>
      <c r="B123" s="80" t="s">
        <v>3239</v>
      </c>
      <c r="C123" s="80" t="s">
        <v>772</v>
      </c>
      <c r="D123" s="80" t="s">
        <v>1400</v>
      </c>
      <c r="E123" s="80" t="s">
        <v>754</v>
      </c>
      <c r="F123" s="81" t="s">
        <v>3617</v>
      </c>
      <c r="G123" s="80" t="s">
        <v>3618</v>
      </c>
      <c r="H123" s="80" t="s">
        <v>3619</v>
      </c>
      <c r="I123" s="80" t="s">
        <v>1401</v>
      </c>
      <c r="J123" s="80" t="s">
        <v>1402</v>
      </c>
    </row>
    <row r="124" spans="1:10">
      <c r="A124" s="79">
        <v>98616460101</v>
      </c>
      <c r="B124" s="80" t="s">
        <v>3239</v>
      </c>
      <c r="C124" s="80" t="s">
        <v>772</v>
      </c>
      <c r="D124" s="80" t="s">
        <v>1390</v>
      </c>
      <c r="E124" s="80" t="s">
        <v>754</v>
      </c>
      <c r="F124" s="81" t="s">
        <v>3620</v>
      </c>
      <c r="G124" s="80" t="s">
        <v>3621</v>
      </c>
      <c r="H124" s="80" t="s">
        <v>3622</v>
      </c>
      <c r="I124" s="80" t="s">
        <v>1391</v>
      </c>
      <c r="J124" s="80" t="s">
        <v>1392</v>
      </c>
    </row>
    <row r="125" spans="1:10">
      <c r="A125" s="79">
        <v>98616488106</v>
      </c>
      <c r="B125" s="80" t="s">
        <v>3239</v>
      </c>
      <c r="C125" s="80" t="s">
        <v>772</v>
      </c>
      <c r="D125" s="80" t="s">
        <v>1416</v>
      </c>
      <c r="E125" s="80" t="s">
        <v>754</v>
      </c>
      <c r="F125" s="81" t="s">
        <v>3623</v>
      </c>
      <c r="G125" s="80" t="s">
        <v>3624</v>
      </c>
      <c r="H125" s="80" t="s">
        <v>3625</v>
      </c>
      <c r="I125" s="80" t="s">
        <v>1417</v>
      </c>
      <c r="J125" s="80" t="s">
        <v>1418</v>
      </c>
    </row>
    <row r="126" spans="1:10">
      <c r="A126" s="79">
        <v>98616404111</v>
      </c>
      <c r="B126" s="80" t="s">
        <v>3239</v>
      </c>
      <c r="C126" s="80" t="s">
        <v>772</v>
      </c>
      <c r="D126" s="80" t="s">
        <v>1347</v>
      </c>
      <c r="E126" s="80" t="s">
        <v>754</v>
      </c>
      <c r="F126" s="81" t="s">
        <v>3626</v>
      </c>
      <c r="G126" s="80" t="s">
        <v>3627</v>
      </c>
      <c r="H126" s="80" t="s">
        <v>3628</v>
      </c>
      <c r="I126" s="80" t="s">
        <v>1348</v>
      </c>
      <c r="J126" s="80" t="s">
        <v>1349</v>
      </c>
    </row>
    <row r="127" spans="1:10">
      <c r="A127" s="79">
        <v>98616156051</v>
      </c>
      <c r="B127" s="80" t="s">
        <v>3239</v>
      </c>
      <c r="C127" s="80" t="s">
        <v>772</v>
      </c>
      <c r="D127" s="80" t="s">
        <v>1336</v>
      </c>
      <c r="E127" s="80" t="s">
        <v>3106</v>
      </c>
      <c r="F127" s="81" t="s">
        <v>3629</v>
      </c>
      <c r="G127" s="80" t="s">
        <v>3630</v>
      </c>
      <c r="H127" s="80" t="s">
        <v>3631</v>
      </c>
      <c r="I127" s="80" t="s">
        <v>1337</v>
      </c>
      <c r="J127" s="80" t="s">
        <v>1338</v>
      </c>
    </row>
    <row r="128" spans="1:10">
      <c r="A128" s="79">
        <v>98616442101</v>
      </c>
      <c r="B128" s="80" t="s">
        <v>3239</v>
      </c>
      <c r="C128" s="80" t="s">
        <v>772</v>
      </c>
      <c r="D128" s="80" t="s">
        <v>611</v>
      </c>
      <c r="E128" s="80" t="s">
        <v>754</v>
      </c>
      <c r="F128" s="81" t="s">
        <v>3632</v>
      </c>
      <c r="G128" s="80" t="s">
        <v>3633</v>
      </c>
      <c r="H128" s="80" t="s">
        <v>3634</v>
      </c>
      <c r="I128" s="80" t="s">
        <v>1369</v>
      </c>
      <c r="J128" s="80" t="s">
        <v>1370</v>
      </c>
    </row>
    <row r="129" spans="1:10">
      <c r="A129" s="79">
        <v>98616488101</v>
      </c>
      <c r="B129" s="80" t="s">
        <v>3239</v>
      </c>
      <c r="C129" s="80" t="s">
        <v>772</v>
      </c>
      <c r="D129" s="80" t="s">
        <v>1413</v>
      </c>
      <c r="E129" s="80" t="s">
        <v>754</v>
      </c>
      <c r="F129" s="81" t="s">
        <v>3635</v>
      </c>
      <c r="G129" s="80" t="s">
        <v>3636</v>
      </c>
      <c r="H129" s="80" t="s">
        <v>3637</v>
      </c>
      <c r="I129" s="80" t="s">
        <v>1414</v>
      </c>
      <c r="J129" s="80" t="s">
        <v>1415</v>
      </c>
    </row>
    <row r="130" spans="1:10">
      <c r="A130" s="79">
        <v>98618408106</v>
      </c>
      <c r="B130" s="80" t="s">
        <v>3239</v>
      </c>
      <c r="C130" s="80" t="s">
        <v>785</v>
      </c>
      <c r="D130" s="80" t="s">
        <v>856</v>
      </c>
      <c r="E130" s="80" t="s">
        <v>754</v>
      </c>
      <c r="F130" s="81" t="s">
        <v>3638</v>
      </c>
      <c r="G130" s="80" t="s">
        <v>3639</v>
      </c>
      <c r="H130" s="80" t="s">
        <v>3640</v>
      </c>
      <c r="I130" s="80" t="s">
        <v>1438</v>
      </c>
      <c r="J130" s="80" t="s">
        <v>1439</v>
      </c>
    </row>
    <row r="131" spans="1:10">
      <c r="A131" s="79">
        <v>98618449101</v>
      </c>
      <c r="B131" s="80" t="s">
        <v>3239</v>
      </c>
      <c r="C131" s="80" t="s">
        <v>785</v>
      </c>
      <c r="D131" s="80" t="s">
        <v>1481</v>
      </c>
      <c r="E131" s="80" t="s">
        <v>754</v>
      </c>
      <c r="F131" s="81" t="s">
        <v>3641</v>
      </c>
      <c r="G131" s="80" t="s">
        <v>3642</v>
      </c>
      <c r="H131" s="80" t="s">
        <v>3643</v>
      </c>
      <c r="I131" s="80" t="s">
        <v>1482</v>
      </c>
      <c r="J131" s="80" t="s">
        <v>1483</v>
      </c>
    </row>
    <row r="132" spans="1:10">
      <c r="A132" s="79">
        <v>98618412101</v>
      </c>
      <c r="B132" s="80" t="s">
        <v>3239</v>
      </c>
      <c r="C132" s="80" t="s">
        <v>785</v>
      </c>
      <c r="D132" s="80" t="s">
        <v>1443</v>
      </c>
      <c r="E132" s="80" t="s">
        <v>754</v>
      </c>
      <c r="F132" s="81" t="s">
        <v>3644</v>
      </c>
      <c r="G132" s="80" t="s">
        <v>3645</v>
      </c>
      <c r="H132" s="80" t="s">
        <v>3646</v>
      </c>
      <c r="I132" s="80" t="s">
        <v>1444</v>
      </c>
      <c r="J132" s="80" t="s">
        <v>1445</v>
      </c>
    </row>
    <row r="133" spans="1:10">
      <c r="A133" s="79">
        <v>98618101001</v>
      </c>
      <c r="B133" s="80" t="s">
        <v>3239</v>
      </c>
      <c r="C133" s="80" t="s">
        <v>785</v>
      </c>
      <c r="D133" s="80" t="s">
        <v>513</v>
      </c>
      <c r="E133" s="80" t="s">
        <v>740</v>
      </c>
      <c r="F133" s="81" t="s">
        <v>3647</v>
      </c>
      <c r="G133" s="80" t="s">
        <v>3648</v>
      </c>
      <c r="H133" s="80" t="s">
        <v>3649</v>
      </c>
      <c r="I133" s="80" t="s">
        <v>1421</v>
      </c>
      <c r="J133" s="80" t="s">
        <v>1422</v>
      </c>
    </row>
    <row r="134" spans="1:10">
      <c r="A134" s="79">
        <v>98618418101</v>
      </c>
      <c r="B134" s="80" t="s">
        <v>3239</v>
      </c>
      <c r="C134" s="80" t="s">
        <v>785</v>
      </c>
      <c r="D134" s="80" t="s">
        <v>1450</v>
      </c>
      <c r="E134" s="80" t="s">
        <v>754</v>
      </c>
      <c r="F134" s="81" t="s">
        <v>3650</v>
      </c>
      <c r="G134" s="80" t="s">
        <v>3651</v>
      </c>
      <c r="H134" s="80" t="s">
        <v>3652</v>
      </c>
      <c r="I134" s="80" t="s">
        <v>1451</v>
      </c>
      <c r="J134" s="80" t="s">
        <v>1452</v>
      </c>
    </row>
    <row r="135" spans="1:10">
      <c r="A135" s="79">
        <v>98618408101</v>
      </c>
      <c r="B135" s="80" t="s">
        <v>3239</v>
      </c>
      <c r="C135" s="80" t="s">
        <v>785</v>
      </c>
      <c r="D135" s="80" t="s">
        <v>1435</v>
      </c>
      <c r="E135" s="80" t="s">
        <v>754</v>
      </c>
      <c r="F135" s="81" t="s">
        <v>3653</v>
      </c>
      <c r="G135" s="80" t="s">
        <v>3654</v>
      </c>
      <c r="H135" s="80" t="s">
        <v>3655</v>
      </c>
      <c r="I135" s="80" t="s">
        <v>1436</v>
      </c>
      <c r="J135" s="80" t="s">
        <v>1437</v>
      </c>
    </row>
    <row r="136" spans="1:10">
      <c r="A136" s="79">
        <v>98618458101</v>
      </c>
      <c r="B136" s="80" t="s">
        <v>3239</v>
      </c>
      <c r="C136" s="80" t="s">
        <v>785</v>
      </c>
      <c r="D136" s="80" t="s">
        <v>1491</v>
      </c>
      <c r="E136" s="80" t="s">
        <v>754</v>
      </c>
      <c r="F136" s="81" t="s">
        <v>3656</v>
      </c>
      <c r="G136" s="80" t="s">
        <v>3657</v>
      </c>
      <c r="H136" s="80" t="s">
        <v>3658</v>
      </c>
      <c r="I136" s="80" t="s">
        <v>1492</v>
      </c>
      <c r="J136" s="80" t="s">
        <v>1493</v>
      </c>
    </row>
    <row r="137" spans="1:10">
      <c r="A137" s="79">
        <v>98618153051</v>
      </c>
      <c r="B137" s="80" t="s">
        <v>3239</v>
      </c>
      <c r="C137" s="80" t="s">
        <v>785</v>
      </c>
      <c r="D137" s="80" t="s">
        <v>1427</v>
      </c>
      <c r="E137" s="80" t="s">
        <v>819</v>
      </c>
      <c r="F137" s="81" t="s">
        <v>3659</v>
      </c>
      <c r="G137" s="80" t="s">
        <v>3660</v>
      </c>
      <c r="H137" s="80" t="s">
        <v>3661</v>
      </c>
      <c r="I137" s="80" t="s">
        <v>1428</v>
      </c>
      <c r="J137" s="80" t="s">
        <v>1429</v>
      </c>
    </row>
    <row r="138" spans="1:10">
      <c r="A138" s="79">
        <v>98618474101</v>
      </c>
      <c r="B138" s="80" t="s">
        <v>3239</v>
      </c>
      <c r="C138" s="80" t="s">
        <v>785</v>
      </c>
      <c r="D138" s="80" t="s">
        <v>1513</v>
      </c>
      <c r="E138" s="80" t="s">
        <v>754</v>
      </c>
      <c r="F138" s="81" t="s">
        <v>3662</v>
      </c>
      <c r="G138" s="80" t="s">
        <v>3663</v>
      </c>
      <c r="H138" s="80" t="s">
        <v>3664</v>
      </c>
      <c r="I138" s="80" t="s">
        <v>1514</v>
      </c>
      <c r="J138" s="80" t="s">
        <v>1515</v>
      </c>
    </row>
    <row r="139" spans="1:10">
      <c r="A139" s="79">
        <v>98618431101</v>
      </c>
      <c r="B139" s="80" t="s">
        <v>3239</v>
      </c>
      <c r="C139" s="80" t="s">
        <v>785</v>
      </c>
      <c r="D139" s="80" t="s">
        <v>1465</v>
      </c>
      <c r="E139" s="80" t="s">
        <v>754</v>
      </c>
      <c r="F139" s="81" t="s">
        <v>3665</v>
      </c>
      <c r="G139" s="80" t="s">
        <v>3666</v>
      </c>
      <c r="H139" s="80" t="s">
        <v>3667</v>
      </c>
      <c r="I139" s="80" t="s">
        <v>1466</v>
      </c>
      <c r="J139" s="80" t="s">
        <v>1467</v>
      </c>
    </row>
    <row r="140" spans="1:10">
      <c r="A140" s="79">
        <v>98618470106</v>
      </c>
      <c r="B140" s="80" t="s">
        <v>3239</v>
      </c>
      <c r="C140" s="80" t="s">
        <v>785</v>
      </c>
      <c r="D140" s="80" t="s">
        <v>1509</v>
      </c>
      <c r="E140" s="80" t="s">
        <v>754</v>
      </c>
      <c r="F140" s="81" t="s">
        <v>3668</v>
      </c>
      <c r="G140" s="80" t="s">
        <v>3669</v>
      </c>
      <c r="H140" s="80" t="s">
        <v>3670</v>
      </c>
      <c r="I140" s="80" t="s">
        <v>1510</v>
      </c>
      <c r="J140" s="80" t="s">
        <v>1511</v>
      </c>
    </row>
    <row r="141" spans="1:10">
      <c r="A141" s="79">
        <v>98618433101</v>
      </c>
      <c r="B141" s="80" t="s">
        <v>3239</v>
      </c>
      <c r="C141" s="80" t="s">
        <v>785</v>
      </c>
      <c r="D141" s="80" t="s">
        <v>3671</v>
      </c>
      <c r="E141" s="80" t="s">
        <v>754</v>
      </c>
      <c r="F141" s="81" t="s">
        <v>3672</v>
      </c>
      <c r="G141" s="80" t="s">
        <v>3673</v>
      </c>
      <c r="H141" s="80" t="s">
        <v>3674</v>
      </c>
      <c r="I141" s="80" t="s">
        <v>1470</v>
      </c>
      <c r="J141" s="80" t="s">
        <v>1471</v>
      </c>
    </row>
    <row r="142" spans="1:10">
      <c r="A142" s="79">
        <v>98618426101</v>
      </c>
      <c r="B142" s="80" t="s">
        <v>3239</v>
      </c>
      <c r="C142" s="80" t="s">
        <v>785</v>
      </c>
      <c r="D142" s="80" t="s">
        <v>1113</v>
      </c>
      <c r="E142" s="80" t="s">
        <v>754</v>
      </c>
      <c r="F142" s="81" t="s">
        <v>3675</v>
      </c>
      <c r="G142" s="80" t="s">
        <v>3676</v>
      </c>
      <c r="H142" s="80" t="s">
        <v>3677</v>
      </c>
      <c r="I142" s="80" t="s">
        <v>1458</v>
      </c>
      <c r="J142" s="80" t="s">
        <v>1459</v>
      </c>
    </row>
    <row r="143" spans="1:10">
      <c r="A143" s="79">
        <v>98618101106</v>
      </c>
      <c r="B143" s="80" t="s">
        <v>3239</v>
      </c>
      <c r="C143" s="80" t="s">
        <v>785</v>
      </c>
      <c r="D143" s="80" t="s">
        <v>1423</v>
      </c>
      <c r="E143" s="80" t="s">
        <v>754</v>
      </c>
      <c r="F143" s="81" t="s">
        <v>3678</v>
      </c>
      <c r="G143" s="80" t="s">
        <v>3679</v>
      </c>
      <c r="H143" s="80" t="s">
        <v>3680</v>
      </c>
      <c r="I143" s="80" t="s">
        <v>1424</v>
      </c>
      <c r="J143" s="80" t="s">
        <v>1425</v>
      </c>
    </row>
    <row r="144" spans="1:10">
      <c r="A144" s="79">
        <v>98618462106</v>
      </c>
      <c r="B144" s="80" t="s">
        <v>3239</v>
      </c>
      <c r="C144" s="80" t="s">
        <v>785</v>
      </c>
      <c r="D144" s="80" t="s">
        <v>1498</v>
      </c>
      <c r="E144" s="80" t="s">
        <v>754</v>
      </c>
      <c r="F144" s="81" t="s">
        <v>3681</v>
      </c>
      <c r="G144" s="80" t="s">
        <v>3682</v>
      </c>
      <c r="H144" s="80" t="s">
        <v>3683</v>
      </c>
      <c r="I144" s="80" t="s">
        <v>1499</v>
      </c>
      <c r="J144" s="80" t="s">
        <v>1500</v>
      </c>
    </row>
    <row r="145" spans="1:10">
      <c r="A145" s="79">
        <v>98618470101</v>
      </c>
      <c r="B145" s="80" t="s">
        <v>3239</v>
      </c>
      <c r="C145" s="80" t="s">
        <v>785</v>
      </c>
      <c r="D145" s="80" t="s">
        <v>1506</v>
      </c>
      <c r="E145" s="80" t="s">
        <v>754</v>
      </c>
      <c r="F145" s="81" t="s">
        <v>3684</v>
      </c>
      <c r="G145" s="80" t="s">
        <v>3685</v>
      </c>
      <c r="H145" s="80" t="s">
        <v>3686</v>
      </c>
      <c r="I145" s="80" t="s">
        <v>1507</v>
      </c>
      <c r="J145" s="80" t="s">
        <v>1508</v>
      </c>
    </row>
    <row r="146" spans="1:10">
      <c r="A146" s="79">
        <v>98618445101</v>
      </c>
      <c r="B146" s="80" t="s">
        <v>3239</v>
      </c>
      <c r="C146" s="80" t="s">
        <v>785</v>
      </c>
      <c r="D146" s="80" t="s">
        <v>1477</v>
      </c>
      <c r="E146" s="80" t="s">
        <v>754</v>
      </c>
      <c r="F146" s="81" t="s">
        <v>3687</v>
      </c>
      <c r="G146" s="80" t="s">
        <v>3688</v>
      </c>
      <c r="H146" s="80" t="s">
        <v>3689</v>
      </c>
      <c r="I146" s="80" t="s">
        <v>1478</v>
      </c>
      <c r="J146" s="80" t="s">
        <v>1479</v>
      </c>
    </row>
    <row r="147" spans="1:10">
      <c r="A147" s="79">
        <v>98618453101</v>
      </c>
      <c r="B147" s="80" t="s">
        <v>3239</v>
      </c>
      <c r="C147" s="80" t="s">
        <v>785</v>
      </c>
      <c r="D147" s="80" t="s">
        <v>1487</v>
      </c>
      <c r="E147" s="80" t="s">
        <v>754</v>
      </c>
      <c r="F147" s="81" t="s">
        <v>3690</v>
      </c>
      <c r="G147" s="80" t="s">
        <v>3691</v>
      </c>
      <c r="H147" s="80" t="s">
        <v>3692</v>
      </c>
      <c r="I147" s="80" t="s">
        <v>1488</v>
      </c>
      <c r="J147" s="80" t="s">
        <v>1489</v>
      </c>
    </row>
    <row r="148" spans="1:10">
      <c r="A148" s="79">
        <v>98618462101</v>
      </c>
      <c r="B148" s="80" t="s">
        <v>3239</v>
      </c>
      <c r="C148" s="80" t="s">
        <v>785</v>
      </c>
      <c r="D148" s="80" t="s">
        <v>1495</v>
      </c>
      <c r="E148" s="80" t="s">
        <v>754</v>
      </c>
      <c r="F148" s="81" t="s">
        <v>3693</v>
      </c>
      <c r="G148" s="80" t="s">
        <v>3694</v>
      </c>
      <c r="H148" s="80" t="s">
        <v>3695</v>
      </c>
      <c r="I148" s="80" t="s">
        <v>1496</v>
      </c>
      <c r="J148" s="80" t="s">
        <v>1497</v>
      </c>
    </row>
    <row r="149" spans="1:10">
      <c r="A149" s="79">
        <v>98618435101</v>
      </c>
      <c r="B149" s="80" t="s">
        <v>3239</v>
      </c>
      <c r="C149" s="80" t="s">
        <v>785</v>
      </c>
      <c r="D149" s="80" t="s">
        <v>1473</v>
      </c>
      <c r="E149" s="80" t="s">
        <v>754</v>
      </c>
      <c r="F149" s="81" t="s">
        <v>3696</v>
      </c>
      <c r="G149" s="80" t="s">
        <v>3697</v>
      </c>
      <c r="H149" s="80" t="s">
        <v>3698</v>
      </c>
      <c r="I149" s="80" t="s">
        <v>1474</v>
      </c>
      <c r="J149" s="80" t="s">
        <v>1475</v>
      </c>
    </row>
    <row r="150" spans="1:10">
      <c r="A150" s="79">
        <v>98618430101</v>
      </c>
      <c r="B150" s="80" t="s">
        <v>3239</v>
      </c>
      <c r="C150" s="80" t="s">
        <v>785</v>
      </c>
      <c r="D150" s="80" t="s">
        <v>1461</v>
      </c>
      <c r="E150" s="80" t="s">
        <v>754</v>
      </c>
      <c r="F150" s="81" t="s">
        <v>3699</v>
      </c>
      <c r="G150" s="80" t="s">
        <v>3700</v>
      </c>
      <c r="H150" s="80" t="s">
        <v>3701</v>
      </c>
      <c r="I150" s="80" t="s">
        <v>1462</v>
      </c>
      <c r="J150" s="80" t="s">
        <v>1463</v>
      </c>
    </row>
    <row r="151" spans="1:10">
      <c r="A151" s="79">
        <v>98618404101</v>
      </c>
      <c r="B151" s="80" t="s">
        <v>3239</v>
      </c>
      <c r="C151" s="80" t="s">
        <v>785</v>
      </c>
      <c r="D151" s="80" t="s">
        <v>1431</v>
      </c>
      <c r="E151" s="80" t="s">
        <v>754</v>
      </c>
      <c r="F151" s="81" t="s">
        <v>3702</v>
      </c>
      <c r="G151" s="80" t="s">
        <v>3703</v>
      </c>
      <c r="H151" s="80" t="s">
        <v>3704</v>
      </c>
      <c r="I151" s="80" t="s">
        <v>1432</v>
      </c>
      <c r="J151" s="80" t="s">
        <v>1433</v>
      </c>
    </row>
    <row r="152" spans="1:10">
      <c r="A152" s="79">
        <v>98618416101</v>
      </c>
      <c r="B152" s="80" t="s">
        <v>3239</v>
      </c>
      <c r="C152" s="80" t="s">
        <v>785</v>
      </c>
      <c r="D152" s="80" t="s">
        <v>1446</v>
      </c>
      <c r="E152" s="80" t="s">
        <v>754</v>
      </c>
      <c r="F152" s="81" t="s">
        <v>3705</v>
      </c>
      <c r="G152" s="80" t="s">
        <v>3706</v>
      </c>
      <c r="H152" s="80" t="s">
        <v>3707</v>
      </c>
      <c r="I152" s="80" t="s">
        <v>1447</v>
      </c>
      <c r="J152" s="80" t="s">
        <v>1448</v>
      </c>
    </row>
    <row r="153" spans="1:10">
      <c r="A153" s="79">
        <v>98618466101</v>
      </c>
      <c r="B153" s="80" t="s">
        <v>3239</v>
      </c>
      <c r="C153" s="80" t="s">
        <v>785</v>
      </c>
      <c r="D153" s="80" t="s">
        <v>1502</v>
      </c>
      <c r="E153" s="80" t="s">
        <v>754</v>
      </c>
      <c r="F153" s="81" t="s">
        <v>3708</v>
      </c>
      <c r="G153" s="80" t="s">
        <v>3709</v>
      </c>
      <c r="H153" s="80" t="s">
        <v>3710</v>
      </c>
      <c r="I153" s="80" t="s">
        <v>1503</v>
      </c>
      <c r="J153" s="80" t="s">
        <v>1504</v>
      </c>
    </row>
    <row r="154" spans="1:10">
      <c r="A154" s="79">
        <v>98618420101</v>
      </c>
      <c r="B154" s="80" t="s">
        <v>3239</v>
      </c>
      <c r="C154" s="80" t="s">
        <v>785</v>
      </c>
      <c r="D154" s="80" t="s">
        <v>1454</v>
      </c>
      <c r="E154" s="80" t="s">
        <v>754</v>
      </c>
      <c r="F154" s="81" t="s">
        <v>3711</v>
      </c>
      <c r="G154" s="80" t="s">
        <v>3712</v>
      </c>
      <c r="H154" s="80" t="s">
        <v>3713</v>
      </c>
      <c r="I154" s="80" t="s">
        <v>1455</v>
      </c>
      <c r="J154" s="80" t="s">
        <v>1456</v>
      </c>
    </row>
    <row r="155" spans="1:10">
      <c r="A155" s="79">
        <v>98620417101</v>
      </c>
      <c r="B155" s="80" t="s">
        <v>3239</v>
      </c>
      <c r="C155" s="80" t="s">
        <v>3714</v>
      </c>
      <c r="D155" s="80" t="s">
        <v>1528</v>
      </c>
      <c r="E155" s="80" t="s">
        <v>754</v>
      </c>
      <c r="F155" s="81" t="s">
        <v>3715</v>
      </c>
      <c r="G155" s="80" t="s">
        <v>3716</v>
      </c>
      <c r="H155" s="80" t="s">
        <v>3717</v>
      </c>
      <c r="I155" s="80" t="s">
        <v>1529</v>
      </c>
      <c r="J155" s="80" t="s">
        <v>1530</v>
      </c>
    </row>
    <row r="156" spans="1:10">
      <c r="A156" s="79">
        <v>98620410101</v>
      </c>
      <c r="B156" s="80" t="s">
        <v>3239</v>
      </c>
      <c r="C156" s="80" t="s">
        <v>3714</v>
      </c>
      <c r="D156" s="80" t="s">
        <v>1522</v>
      </c>
      <c r="E156" s="80" t="s">
        <v>754</v>
      </c>
      <c r="F156" s="81" t="s">
        <v>3718</v>
      </c>
      <c r="G156" s="80" t="s">
        <v>3719</v>
      </c>
      <c r="H156" s="80" t="s">
        <v>3720</v>
      </c>
      <c r="I156" s="80" t="s">
        <v>1523</v>
      </c>
      <c r="J156" s="80" t="s">
        <v>1524</v>
      </c>
    </row>
    <row r="157" spans="1:10">
      <c r="A157" s="79">
        <v>98620405101</v>
      </c>
      <c r="B157" s="80" t="s">
        <v>3239</v>
      </c>
      <c r="C157" s="80" t="s">
        <v>3714</v>
      </c>
      <c r="D157" s="80" t="s">
        <v>1518</v>
      </c>
      <c r="E157" s="80" t="s">
        <v>754</v>
      </c>
      <c r="F157" s="81" t="s">
        <v>3721</v>
      </c>
      <c r="G157" s="80" t="s">
        <v>3722</v>
      </c>
      <c r="H157" s="80" t="s">
        <v>3723</v>
      </c>
      <c r="I157" s="80" t="s">
        <v>1519</v>
      </c>
      <c r="J157" s="80" t="s">
        <v>1520</v>
      </c>
    </row>
    <row r="158" spans="1:10">
      <c r="A158" s="79">
        <v>98620440101</v>
      </c>
      <c r="B158" s="80" t="s">
        <v>3239</v>
      </c>
      <c r="C158" s="80" t="s">
        <v>3714</v>
      </c>
      <c r="D158" s="80" t="s">
        <v>1549</v>
      </c>
      <c r="E158" s="80" t="s">
        <v>754</v>
      </c>
      <c r="F158" s="81" t="s">
        <v>3724</v>
      </c>
      <c r="G158" s="80" t="s">
        <v>3725</v>
      </c>
      <c r="H158" s="80" t="s">
        <v>3726</v>
      </c>
      <c r="I158" s="80" t="s">
        <v>1550</v>
      </c>
      <c r="J158" s="80" t="s">
        <v>1551</v>
      </c>
    </row>
    <row r="159" spans="1:10">
      <c r="A159" s="79">
        <v>98620465101</v>
      </c>
      <c r="B159" s="80" t="s">
        <v>3239</v>
      </c>
      <c r="C159" s="80" t="s">
        <v>3714</v>
      </c>
      <c r="D159" s="80" t="s">
        <v>1567</v>
      </c>
      <c r="E159" s="80" t="s">
        <v>754</v>
      </c>
      <c r="F159" s="81" t="s">
        <v>3727</v>
      </c>
      <c r="G159" s="80" t="s">
        <v>3728</v>
      </c>
      <c r="H159" s="80" t="s">
        <v>3729</v>
      </c>
      <c r="I159" s="80" t="s">
        <v>1568</v>
      </c>
      <c r="J159" s="80" t="s">
        <v>1569</v>
      </c>
    </row>
    <row r="160" spans="1:10">
      <c r="A160" s="79">
        <v>98620433101</v>
      </c>
      <c r="B160" s="80" t="s">
        <v>3239</v>
      </c>
      <c r="C160" s="80" t="s">
        <v>3714</v>
      </c>
      <c r="D160" s="80" t="s">
        <v>1539</v>
      </c>
      <c r="E160" s="80" t="s">
        <v>754</v>
      </c>
      <c r="F160" s="81" t="s">
        <v>3730</v>
      </c>
      <c r="G160" s="80" t="s">
        <v>3731</v>
      </c>
      <c r="H160" s="80" t="s">
        <v>3732</v>
      </c>
      <c r="I160" s="80" t="s">
        <v>1540</v>
      </c>
      <c r="J160" s="80" t="s">
        <v>1541</v>
      </c>
    </row>
    <row r="161" spans="1:10">
      <c r="A161" s="79">
        <v>98620452101</v>
      </c>
      <c r="B161" s="80" t="s">
        <v>3239</v>
      </c>
      <c r="C161" s="80" t="s">
        <v>3714</v>
      </c>
      <c r="D161" s="80" t="s">
        <v>3733</v>
      </c>
      <c r="E161" s="80" t="s">
        <v>754</v>
      </c>
      <c r="F161" s="81" t="s">
        <v>3734</v>
      </c>
      <c r="G161" s="80" t="s">
        <v>3735</v>
      </c>
      <c r="H161" s="80" t="s">
        <v>3736</v>
      </c>
      <c r="I161" s="80" t="s">
        <v>1564</v>
      </c>
      <c r="J161" s="80" t="s">
        <v>1565</v>
      </c>
    </row>
    <row r="162" spans="1:10">
      <c r="A162" s="79">
        <v>98620449101</v>
      </c>
      <c r="B162" s="80" t="s">
        <v>3239</v>
      </c>
      <c r="C162" s="80" t="s">
        <v>3714</v>
      </c>
      <c r="D162" s="80" t="s">
        <v>1555</v>
      </c>
      <c r="E162" s="80" t="s">
        <v>754</v>
      </c>
      <c r="F162" s="81" t="s">
        <v>3737</v>
      </c>
      <c r="G162" s="80" t="s">
        <v>3738</v>
      </c>
      <c r="H162" s="80" t="s">
        <v>3739</v>
      </c>
      <c r="I162" s="80" t="s">
        <v>1556</v>
      </c>
      <c r="J162" s="80" t="s">
        <v>1557</v>
      </c>
    </row>
    <row r="163" spans="1:10">
      <c r="A163" s="79">
        <v>98620410106</v>
      </c>
      <c r="B163" s="80" t="s">
        <v>3239</v>
      </c>
      <c r="C163" s="80" t="s">
        <v>3714</v>
      </c>
      <c r="D163" s="80" t="s">
        <v>1254</v>
      </c>
      <c r="E163" s="80" t="s">
        <v>754</v>
      </c>
      <c r="F163" s="81" t="s">
        <v>3740</v>
      </c>
      <c r="G163" s="80" t="s">
        <v>3741</v>
      </c>
      <c r="H163" s="80" t="s">
        <v>3742</v>
      </c>
      <c r="I163" s="80" t="s">
        <v>1525</v>
      </c>
      <c r="J163" s="80" t="s">
        <v>1526</v>
      </c>
    </row>
    <row r="164" spans="1:10">
      <c r="A164" s="79">
        <v>98620426101</v>
      </c>
      <c r="B164" s="80" t="s">
        <v>3239</v>
      </c>
      <c r="C164" s="80" t="s">
        <v>3714</v>
      </c>
      <c r="D164" s="80" t="s">
        <v>1535</v>
      </c>
      <c r="E164" s="80" t="s">
        <v>754</v>
      </c>
      <c r="F164" s="81" t="s">
        <v>3743</v>
      </c>
      <c r="G164" s="80" t="s">
        <v>3744</v>
      </c>
      <c r="H164" s="80" t="s">
        <v>3745</v>
      </c>
      <c r="I164" s="80" t="s">
        <v>1536</v>
      </c>
      <c r="J164" s="80" t="s">
        <v>1537</v>
      </c>
    </row>
    <row r="165" spans="1:10">
      <c r="A165" s="79">
        <v>98620433106</v>
      </c>
      <c r="B165" s="80" t="s">
        <v>3239</v>
      </c>
      <c r="C165" s="80" t="s">
        <v>3714</v>
      </c>
      <c r="D165" s="80" t="s">
        <v>1542</v>
      </c>
      <c r="E165" s="80" t="s">
        <v>754</v>
      </c>
      <c r="F165" s="81" t="s">
        <v>3746</v>
      </c>
      <c r="G165" s="80" t="s">
        <v>3747</v>
      </c>
      <c r="H165" s="80" t="s">
        <v>3748</v>
      </c>
      <c r="I165" s="80" t="s">
        <v>1543</v>
      </c>
      <c r="J165" s="80" t="s">
        <v>1544</v>
      </c>
    </row>
    <row r="166" spans="1:10">
      <c r="A166" s="79">
        <v>98620433111</v>
      </c>
      <c r="B166" s="80" t="s">
        <v>3239</v>
      </c>
      <c r="C166" s="80" t="s">
        <v>3714</v>
      </c>
      <c r="D166" s="80" t="s">
        <v>1545</v>
      </c>
      <c r="E166" s="80" t="s">
        <v>754</v>
      </c>
      <c r="F166" s="81" t="s">
        <v>3749</v>
      </c>
      <c r="G166" s="80" t="s">
        <v>3750</v>
      </c>
      <c r="H166" s="80" t="s">
        <v>3751</v>
      </c>
      <c r="I166" s="80" t="s">
        <v>1546</v>
      </c>
      <c r="J166" s="80" t="s">
        <v>1547</v>
      </c>
    </row>
    <row r="167" spans="1:10">
      <c r="A167" s="79">
        <v>98620449106</v>
      </c>
      <c r="B167" s="80" t="s">
        <v>3239</v>
      </c>
      <c r="C167" s="80" t="s">
        <v>3714</v>
      </c>
      <c r="D167" s="80" t="s">
        <v>1558</v>
      </c>
      <c r="E167" s="80" t="s">
        <v>754</v>
      </c>
      <c r="F167" s="81" t="s">
        <v>3752</v>
      </c>
      <c r="G167" s="80" t="s">
        <v>3753</v>
      </c>
      <c r="H167" s="80" t="s">
        <v>3754</v>
      </c>
      <c r="I167" s="80" t="s">
        <v>1559</v>
      </c>
      <c r="J167" s="80" t="s">
        <v>1560</v>
      </c>
    </row>
    <row r="168" spans="1:10">
      <c r="A168" s="79">
        <v>98620449111</v>
      </c>
      <c r="B168" s="80" t="s">
        <v>3239</v>
      </c>
      <c r="C168" s="80" t="s">
        <v>3714</v>
      </c>
      <c r="D168" s="80" t="s">
        <v>1240</v>
      </c>
      <c r="E168" s="80" t="s">
        <v>754</v>
      </c>
      <c r="F168" s="81" t="s">
        <v>3755</v>
      </c>
      <c r="G168" s="80" t="s">
        <v>3756</v>
      </c>
      <c r="H168" s="80" t="s">
        <v>3757</v>
      </c>
      <c r="I168" s="80" t="s">
        <v>1561</v>
      </c>
      <c r="J168" s="80" t="s">
        <v>1562</v>
      </c>
    </row>
    <row r="169" spans="1:10">
      <c r="A169" s="79">
        <v>98620417106</v>
      </c>
      <c r="B169" s="80" t="s">
        <v>3239</v>
      </c>
      <c r="C169" s="80" t="s">
        <v>3714</v>
      </c>
      <c r="D169" s="80" t="s">
        <v>1531</v>
      </c>
      <c r="E169" s="80" t="s">
        <v>754</v>
      </c>
      <c r="F169" s="81" t="s">
        <v>3758</v>
      </c>
      <c r="G169" s="80" t="s">
        <v>3759</v>
      </c>
      <c r="H169" s="80" t="s">
        <v>3760</v>
      </c>
      <c r="I169" s="80" t="s">
        <v>1532</v>
      </c>
      <c r="J169" s="80" t="s">
        <v>1533</v>
      </c>
    </row>
    <row r="170" spans="1:10">
      <c r="A170" s="79">
        <v>98620440106</v>
      </c>
      <c r="B170" s="80" t="s">
        <v>3239</v>
      </c>
      <c r="C170" s="80" t="s">
        <v>3714</v>
      </c>
      <c r="D170" s="80" t="s">
        <v>1454</v>
      </c>
      <c r="E170" s="80" t="s">
        <v>754</v>
      </c>
      <c r="F170" s="81" t="s">
        <v>3761</v>
      </c>
      <c r="G170" s="80" t="s">
        <v>3762</v>
      </c>
      <c r="H170" s="80" t="s">
        <v>3763</v>
      </c>
      <c r="I170" s="80" t="s">
        <v>1552</v>
      </c>
      <c r="J170" s="80" t="s">
        <v>1553</v>
      </c>
    </row>
    <row r="171" spans="1:10">
      <c r="A171" s="79">
        <v>98701000146</v>
      </c>
      <c r="B171" s="80" t="s">
        <v>3239</v>
      </c>
      <c r="C171" s="80" t="s">
        <v>3764</v>
      </c>
      <c r="D171" s="80" t="s">
        <v>805</v>
      </c>
      <c r="E171" s="80" t="s">
        <v>754</v>
      </c>
      <c r="F171" s="81" t="s">
        <v>3765</v>
      </c>
      <c r="G171" s="80" t="s">
        <v>3766</v>
      </c>
      <c r="H171" s="80" t="s">
        <v>3767</v>
      </c>
      <c r="I171" s="80" t="s">
        <v>806</v>
      </c>
      <c r="J171" s="80" t="s">
        <v>807</v>
      </c>
    </row>
    <row r="172" spans="1:10">
      <c r="A172" s="79">
        <v>98702000051</v>
      </c>
      <c r="B172" s="80" t="s">
        <v>3239</v>
      </c>
      <c r="C172" s="80" t="s">
        <v>3764</v>
      </c>
      <c r="D172" s="80" t="s">
        <v>818</v>
      </c>
      <c r="E172" s="80" t="s">
        <v>819</v>
      </c>
      <c r="F172" s="81" t="s">
        <v>3768</v>
      </c>
      <c r="G172" s="80" t="s">
        <v>3769</v>
      </c>
      <c r="H172" s="80" t="s">
        <v>3770</v>
      </c>
      <c r="I172" s="80" t="s">
        <v>820</v>
      </c>
      <c r="J172" s="80" t="s">
        <v>821</v>
      </c>
    </row>
    <row r="173" spans="1:10">
      <c r="A173" s="79">
        <v>98701000001</v>
      </c>
      <c r="B173" s="80" t="s">
        <v>3239</v>
      </c>
      <c r="C173" s="80" t="s">
        <v>3764</v>
      </c>
      <c r="D173" s="80" t="s">
        <v>141</v>
      </c>
      <c r="E173" s="80" t="s">
        <v>747</v>
      </c>
      <c r="F173" s="81" t="s">
        <v>3771</v>
      </c>
      <c r="G173" s="80" t="s">
        <v>3772</v>
      </c>
      <c r="H173" s="80" t="s">
        <v>3773</v>
      </c>
      <c r="I173" s="80" t="s">
        <v>741</v>
      </c>
      <c r="J173" s="80" t="s">
        <v>742</v>
      </c>
    </row>
    <row r="174" spans="1:10">
      <c r="A174" s="79">
        <v>98701000126</v>
      </c>
      <c r="B174" s="80" t="s">
        <v>3239</v>
      </c>
      <c r="C174" s="80" t="s">
        <v>3764</v>
      </c>
      <c r="D174" s="80" t="s">
        <v>782</v>
      </c>
      <c r="E174" s="80" t="s">
        <v>754</v>
      </c>
      <c r="F174" s="81" t="s">
        <v>3774</v>
      </c>
      <c r="G174" s="80" t="s">
        <v>3775</v>
      </c>
      <c r="H174" s="80" t="s">
        <v>3776</v>
      </c>
      <c r="I174" s="80" t="s">
        <v>783</v>
      </c>
      <c r="J174" s="80" t="s">
        <v>784</v>
      </c>
    </row>
    <row r="175" spans="1:10">
      <c r="A175" s="79">
        <v>98701000131</v>
      </c>
      <c r="B175" s="80" t="s">
        <v>3239</v>
      </c>
      <c r="C175" s="80" t="s">
        <v>3764</v>
      </c>
      <c r="D175" s="80" t="s">
        <v>3777</v>
      </c>
      <c r="E175" s="80" t="s">
        <v>754</v>
      </c>
      <c r="F175" s="81" t="s">
        <v>3778</v>
      </c>
      <c r="G175" s="80" t="s">
        <v>3779</v>
      </c>
      <c r="H175" s="80" t="s">
        <v>3780</v>
      </c>
      <c r="I175" s="80" t="s">
        <v>789</v>
      </c>
      <c r="J175" s="80" t="s">
        <v>790</v>
      </c>
    </row>
    <row r="176" spans="1:10">
      <c r="A176" s="79">
        <v>98701000106</v>
      </c>
      <c r="B176" s="80" t="s">
        <v>3239</v>
      </c>
      <c r="C176" s="80" t="s">
        <v>3764</v>
      </c>
      <c r="D176" s="80" t="s">
        <v>755</v>
      </c>
      <c r="E176" s="80" t="s">
        <v>754</v>
      </c>
      <c r="F176" s="81" t="s">
        <v>3781</v>
      </c>
      <c r="G176" s="80" t="s">
        <v>3782</v>
      </c>
      <c r="H176" s="80" t="s">
        <v>3783</v>
      </c>
      <c r="I176" s="80" t="s">
        <v>756</v>
      </c>
      <c r="J176" s="80" t="s">
        <v>757</v>
      </c>
    </row>
    <row r="177" spans="1:10">
      <c r="A177" s="79">
        <v>98701000151</v>
      </c>
      <c r="B177" s="80" t="s">
        <v>3239</v>
      </c>
      <c r="C177" s="80" t="s">
        <v>3764</v>
      </c>
      <c r="D177" s="80" t="s">
        <v>811</v>
      </c>
      <c r="E177" s="80" t="s">
        <v>754</v>
      </c>
      <c r="F177" s="81" t="s">
        <v>3784</v>
      </c>
      <c r="G177" s="80" t="s">
        <v>3785</v>
      </c>
      <c r="H177" s="80" t="s">
        <v>3786</v>
      </c>
      <c r="I177" s="80" t="s">
        <v>812</v>
      </c>
      <c r="J177" s="80" t="s">
        <v>813</v>
      </c>
    </row>
    <row r="178" spans="1:10">
      <c r="A178" s="79">
        <v>98701000111</v>
      </c>
      <c r="B178" s="80" t="s">
        <v>3239</v>
      </c>
      <c r="C178" s="80" t="s">
        <v>3764</v>
      </c>
      <c r="D178" s="80" t="s">
        <v>762</v>
      </c>
      <c r="E178" s="80" t="s">
        <v>754</v>
      </c>
      <c r="F178" s="81" t="s">
        <v>3787</v>
      </c>
      <c r="G178" s="80" t="s">
        <v>3788</v>
      </c>
      <c r="H178" s="80" t="s">
        <v>3789</v>
      </c>
      <c r="I178" s="80" t="s">
        <v>763</v>
      </c>
      <c r="J178" s="80" t="s">
        <v>764</v>
      </c>
    </row>
    <row r="179" spans="1:10">
      <c r="A179" s="79">
        <v>98701000136</v>
      </c>
      <c r="B179" s="80" t="s">
        <v>3239</v>
      </c>
      <c r="C179" s="80" t="s">
        <v>3764</v>
      </c>
      <c r="D179" s="80" t="s">
        <v>793</v>
      </c>
      <c r="E179" s="80" t="s">
        <v>754</v>
      </c>
      <c r="F179" s="81" t="s">
        <v>3790</v>
      </c>
      <c r="G179" s="80" t="s">
        <v>3791</v>
      </c>
      <c r="H179" s="80" t="s">
        <v>3792</v>
      </c>
      <c r="I179" s="80" t="s">
        <v>794</v>
      </c>
      <c r="J179" s="80" t="s">
        <v>795</v>
      </c>
    </row>
    <row r="180" spans="1:10">
      <c r="A180" s="79">
        <v>98701000116</v>
      </c>
      <c r="B180" s="80" t="s">
        <v>3239</v>
      </c>
      <c r="C180" s="80" t="s">
        <v>3764</v>
      </c>
      <c r="D180" s="80" t="s">
        <v>111</v>
      </c>
      <c r="E180" s="80" t="s">
        <v>754</v>
      </c>
      <c r="F180" s="81" t="s">
        <v>3793</v>
      </c>
      <c r="G180" s="80" t="s">
        <v>3794</v>
      </c>
      <c r="H180" s="80" t="s">
        <v>3795</v>
      </c>
      <c r="I180" s="80" t="s">
        <v>769</v>
      </c>
      <c r="J180" s="80" t="s">
        <v>770</v>
      </c>
    </row>
    <row r="181" spans="1:10">
      <c r="A181" s="79">
        <v>98701000121</v>
      </c>
      <c r="B181" s="80" t="s">
        <v>3239</v>
      </c>
      <c r="C181" s="80" t="s">
        <v>3764</v>
      </c>
      <c r="D181" s="80" t="s">
        <v>775</v>
      </c>
      <c r="E181" s="80" t="s">
        <v>754</v>
      </c>
      <c r="F181" s="81" t="s">
        <v>3796</v>
      </c>
      <c r="G181" s="80" t="s">
        <v>3797</v>
      </c>
      <c r="H181" s="80" t="s">
        <v>3798</v>
      </c>
      <c r="I181" s="80" t="s">
        <v>776</v>
      </c>
      <c r="J181" s="80" t="s">
        <v>777</v>
      </c>
    </row>
    <row r="182" spans="1:10">
      <c r="A182" s="79">
        <v>98701000141</v>
      </c>
      <c r="B182" s="80" t="s">
        <v>3239</v>
      </c>
      <c r="C182" s="80" t="s">
        <v>3764</v>
      </c>
      <c r="D182" s="80" t="s">
        <v>800</v>
      </c>
      <c r="E182" s="80" t="s">
        <v>754</v>
      </c>
      <c r="F182" s="81" t="s">
        <v>3799</v>
      </c>
      <c r="G182" s="80" t="s">
        <v>3800</v>
      </c>
      <c r="H182" s="80" t="s">
        <v>3801</v>
      </c>
      <c r="I182" s="80" t="s">
        <v>801</v>
      </c>
      <c r="J182" s="80" t="s">
        <v>802</v>
      </c>
    </row>
    <row r="183" spans="1:10">
      <c r="A183" s="79">
        <v>98622422101</v>
      </c>
      <c r="B183" s="80" t="s">
        <v>3239</v>
      </c>
      <c r="C183" s="80" t="s">
        <v>3802</v>
      </c>
      <c r="D183" s="80" t="s">
        <v>1583</v>
      </c>
      <c r="E183" s="80" t="s">
        <v>754</v>
      </c>
      <c r="F183" s="81" t="s">
        <v>3803</v>
      </c>
      <c r="G183" s="80" t="s">
        <v>3804</v>
      </c>
      <c r="H183" s="80" t="s">
        <v>3805</v>
      </c>
      <c r="I183" s="80" t="s">
        <v>1584</v>
      </c>
      <c r="J183" s="80" t="s">
        <v>1585</v>
      </c>
    </row>
    <row r="184" spans="1:10">
      <c r="A184" s="79">
        <v>98622405101</v>
      </c>
      <c r="B184" s="80" t="s">
        <v>3239</v>
      </c>
      <c r="C184" s="80" t="s">
        <v>3802</v>
      </c>
      <c r="D184" s="80" t="s">
        <v>1572</v>
      </c>
      <c r="E184" s="80" t="s">
        <v>754</v>
      </c>
      <c r="F184" s="81" t="s">
        <v>3806</v>
      </c>
      <c r="G184" s="80" t="s">
        <v>3807</v>
      </c>
      <c r="H184" s="80" t="s">
        <v>3808</v>
      </c>
      <c r="I184" s="80" t="s">
        <v>1573</v>
      </c>
      <c r="J184" s="80" t="s">
        <v>1574</v>
      </c>
    </row>
    <row r="185" spans="1:10">
      <c r="A185" s="79">
        <v>98622710</v>
      </c>
      <c r="B185" s="80" t="s">
        <v>3239</v>
      </c>
      <c r="C185" s="80" t="s">
        <v>3802</v>
      </c>
      <c r="D185" s="80" t="s">
        <v>219</v>
      </c>
      <c r="E185" s="80" t="s">
        <v>754</v>
      </c>
      <c r="F185" s="81" t="s">
        <v>3809</v>
      </c>
      <c r="G185" s="80" t="s">
        <v>3810</v>
      </c>
      <c r="H185" s="80" t="s">
        <v>3811</v>
      </c>
      <c r="I185" s="80" t="s">
        <v>3812</v>
      </c>
      <c r="J185" s="80" t="s">
        <v>3813</v>
      </c>
    </row>
    <row r="186" spans="1:10">
      <c r="A186" s="79">
        <v>98622410101</v>
      </c>
      <c r="B186" s="80" t="s">
        <v>3239</v>
      </c>
      <c r="C186" s="80" t="s">
        <v>3802</v>
      </c>
      <c r="D186" s="80" t="s">
        <v>216</v>
      </c>
      <c r="E186" s="80" t="s">
        <v>754</v>
      </c>
      <c r="F186" s="81" t="s">
        <v>3814</v>
      </c>
      <c r="G186" s="80" t="s">
        <v>3815</v>
      </c>
      <c r="H186" s="80" t="s">
        <v>3816</v>
      </c>
      <c r="I186" s="80" t="s">
        <v>1576</v>
      </c>
      <c r="J186" s="80" t="s">
        <v>1577</v>
      </c>
    </row>
    <row r="187" spans="1:10">
      <c r="A187" s="79">
        <v>98622417101</v>
      </c>
      <c r="B187" s="80" t="s">
        <v>3239</v>
      </c>
      <c r="C187" s="80" t="s">
        <v>3802</v>
      </c>
      <c r="D187" s="80" t="s">
        <v>1579</v>
      </c>
      <c r="E187" s="80" t="s">
        <v>754</v>
      </c>
      <c r="F187" s="81" t="s">
        <v>3817</v>
      </c>
      <c r="G187" s="80" t="s">
        <v>3818</v>
      </c>
      <c r="H187" s="80" t="s">
        <v>3819</v>
      </c>
      <c r="I187" s="80" t="s">
        <v>1580</v>
      </c>
      <c r="J187" s="80" t="s">
        <v>1581</v>
      </c>
    </row>
    <row r="188" spans="1:10">
      <c r="A188" s="79">
        <v>98624151106</v>
      </c>
      <c r="B188" s="80" t="s">
        <v>3239</v>
      </c>
      <c r="C188" s="80" t="s">
        <v>3820</v>
      </c>
      <c r="D188" s="80" t="s">
        <v>1593</v>
      </c>
      <c r="E188" s="80" t="s">
        <v>754</v>
      </c>
      <c r="F188" s="81" t="s">
        <v>3821</v>
      </c>
      <c r="G188" s="80" t="s">
        <v>3822</v>
      </c>
      <c r="H188" s="80" t="s">
        <v>3823</v>
      </c>
      <c r="I188" s="80" t="s">
        <v>1594</v>
      </c>
      <c r="J188" s="80" t="s">
        <v>1595</v>
      </c>
    </row>
    <row r="189" spans="1:10">
      <c r="A189" s="79">
        <v>98624424101</v>
      </c>
      <c r="B189" s="80" t="s">
        <v>3239</v>
      </c>
      <c r="C189" s="80" t="s">
        <v>3820</v>
      </c>
      <c r="D189" s="80" t="s">
        <v>1626</v>
      </c>
      <c r="E189" s="80" t="s">
        <v>754</v>
      </c>
      <c r="F189" s="81" t="s">
        <v>3824</v>
      </c>
      <c r="G189" s="80" t="s">
        <v>3825</v>
      </c>
      <c r="H189" s="80" t="s">
        <v>3826</v>
      </c>
      <c r="I189" s="80" t="s">
        <v>1627</v>
      </c>
      <c r="J189" s="80" t="s">
        <v>1628</v>
      </c>
    </row>
    <row r="190" spans="1:10">
      <c r="A190" s="79">
        <v>98624405101</v>
      </c>
      <c r="B190" s="80" t="s">
        <v>3239</v>
      </c>
      <c r="C190" s="80" t="s">
        <v>3820</v>
      </c>
      <c r="D190" s="80" t="s">
        <v>1601</v>
      </c>
      <c r="E190" s="80" t="s">
        <v>754</v>
      </c>
      <c r="F190" s="81" t="s">
        <v>3827</v>
      </c>
      <c r="G190" s="80" t="s">
        <v>3828</v>
      </c>
      <c r="H190" s="80" t="s">
        <v>3829</v>
      </c>
      <c r="I190" s="80" t="s">
        <v>1602</v>
      </c>
      <c r="J190" s="80" t="s">
        <v>1603</v>
      </c>
    </row>
    <row r="191" spans="1:10">
      <c r="A191" s="79">
        <v>98624434106</v>
      </c>
      <c r="B191" s="80" t="s">
        <v>3239</v>
      </c>
      <c r="C191" s="80" t="s">
        <v>3820</v>
      </c>
      <c r="D191" s="80" t="s">
        <v>856</v>
      </c>
      <c r="E191" s="80" t="s">
        <v>754</v>
      </c>
      <c r="F191" s="81" t="s">
        <v>3830</v>
      </c>
      <c r="G191" s="80" t="s">
        <v>3831</v>
      </c>
      <c r="H191" s="80" t="s">
        <v>3832</v>
      </c>
      <c r="I191" s="80" t="s">
        <v>1639</v>
      </c>
      <c r="J191" s="80" t="s">
        <v>1640</v>
      </c>
    </row>
    <row r="192" spans="1:10">
      <c r="A192" s="79">
        <v>98624434101</v>
      </c>
      <c r="B192" s="80" t="s">
        <v>3239</v>
      </c>
      <c r="C192" s="80" t="s">
        <v>3820</v>
      </c>
      <c r="D192" s="80" t="s">
        <v>1273</v>
      </c>
      <c r="E192" s="80" t="s">
        <v>754</v>
      </c>
      <c r="F192" s="81" t="s">
        <v>3833</v>
      </c>
      <c r="G192" s="80" t="s">
        <v>3834</v>
      </c>
      <c r="H192" s="80" t="s">
        <v>3835</v>
      </c>
      <c r="I192" s="80" t="s">
        <v>1637</v>
      </c>
      <c r="J192" s="80" t="s">
        <v>1638</v>
      </c>
    </row>
    <row r="193" spans="1:10">
      <c r="A193" s="79">
        <v>98624414106</v>
      </c>
      <c r="B193" s="80" t="s">
        <v>3239</v>
      </c>
      <c r="C193" s="80" t="s">
        <v>3820</v>
      </c>
      <c r="D193" s="80" t="s">
        <v>387</v>
      </c>
      <c r="E193" s="80" t="s">
        <v>754</v>
      </c>
      <c r="F193" s="81" t="s">
        <v>3836</v>
      </c>
      <c r="G193" s="80" t="s">
        <v>3837</v>
      </c>
      <c r="H193" s="80" t="s">
        <v>3838</v>
      </c>
      <c r="I193" s="80" t="s">
        <v>1613</v>
      </c>
      <c r="J193" s="80" t="s">
        <v>1614</v>
      </c>
    </row>
    <row r="194" spans="1:10">
      <c r="A194" s="79">
        <v>98624435106</v>
      </c>
      <c r="B194" s="80" t="s">
        <v>3239</v>
      </c>
      <c r="C194" s="80" t="s">
        <v>3820</v>
      </c>
      <c r="D194" s="80" t="s">
        <v>1645</v>
      </c>
      <c r="E194" s="80" t="s">
        <v>754</v>
      </c>
      <c r="F194" s="81" t="s">
        <v>3839</v>
      </c>
      <c r="G194" s="80" t="s">
        <v>3840</v>
      </c>
      <c r="H194" s="80" t="s">
        <v>3841</v>
      </c>
      <c r="I194" s="80" t="s">
        <v>1646</v>
      </c>
      <c r="J194" s="80" t="s">
        <v>1647</v>
      </c>
    </row>
    <row r="195" spans="1:10">
      <c r="A195" s="79">
        <v>98624424106</v>
      </c>
      <c r="B195" s="80" t="s">
        <v>3239</v>
      </c>
      <c r="C195" s="80" t="s">
        <v>3820</v>
      </c>
      <c r="D195" s="80" t="s">
        <v>1629</v>
      </c>
      <c r="E195" s="80" t="s">
        <v>754</v>
      </c>
      <c r="F195" s="81" t="s">
        <v>3842</v>
      </c>
      <c r="G195" s="80" t="s">
        <v>3843</v>
      </c>
      <c r="H195" s="80" t="s">
        <v>3844</v>
      </c>
      <c r="I195" s="80" t="s">
        <v>1630</v>
      </c>
      <c r="J195" s="80" t="s">
        <v>1631</v>
      </c>
    </row>
    <row r="196" spans="1:10">
      <c r="A196" s="79">
        <v>98624419101</v>
      </c>
      <c r="B196" s="80" t="s">
        <v>3239</v>
      </c>
      <c r="C196" s="80" t="s">
        <v>3820</v>
      </c>
      <c r="D196" s="80" t="s">
        <v>1616</v>
      </c>
      <c r="E196" s="80" t="s">
        <v>754</v>
      </c>
      <c r="F196" s="81" t="s">
        <v>3845</v>
      </c>
      <c r="G196" s="80" t="s">
        <v>3846</v>
      </c>
      <c r="H196" s="80" t="s">
        <v>3847</v>
      </c>
      <c r="I196" s="80" t="s">
        <v>1617</v>
      </c>
      <c r="J196" s="80" t="s">
        <v>1618</v>
      </c>
    </row>
    <row r="197" spans="1:10">
      <c r="A197" s="79">
        <v>98624405106</v>
      </c>
      <c r="B197" s="80" t="s">
        <v>3239</v>
      </c>
      <c r="C197" s="80" t="s">
        <v>3820</v>
      </c>
      <c r="D197" s="80" t="s">
        <v>1604</v>
      </c>
      <c r="E197" s="80" t="s">
        <v>754</v>
      </c>
      <c r="F197" s="81" t="s">
        <v>3848</v>
      </c>
      <c r="G197" s="80" t="s">
        <v>3849</v>
      </c>
      <c r="H197" s="80" t="s">
        <v>3850</v>
      </c>
      <c r="I197" s="80" t="s">
        <v>1605</v>
      </c>
      <c r="J197" s="80" t="s">
        <v>1606</v>
      </c>
    </row>
    <row r="198" spans="1:10">
      <c r="A198" s="79">
        <v>98624435101</v>
      </c>
      <c r="B198" s="80" t="s">
        <v>3239</v>
      </c>
      <c r="C198" s="80" t="s">
        <v>3820</v>
      </c>
      <c r="D198" s="80" t="s">
        <v>1642</v>
      </c>
      <c r="E198" s="80" t="s">
        <v>754</v>
      </c>
      <c r="F198" s="81" t="s">
        <v>3851</v>
      </c>
      <c r="G198" s="80" t="s">
        <v>3852</v>
      </c>
      <c r="H198" s="80" t="s">
        <v>3853</v>
      </c>
      <c r="I198" s="80" t="s">
        <v>1643</v>
      </c>
      <c r="J198" s="80" t="s">
        <v>1644</v>
      </c>
    </row>
    <row r="199" spans="1:10">
      <c r="A199" s="79">
        <v>98624435111</v>
      </c>
      <c r="B199" s="80" t="s">
        <v>3239</v>
      </c>
      <c r="C199" s="80" t="s">
        <v>3820</v>
      </c>
      <c r="D199" s="80" t="s">
        <v>1648</v>
      </c>
      <c r="E199" s="80" t="s">
        <v>754</v>
      </c>
      <c r="F199" s="81" t="s">
        <v>3854</v>
      </c>
      <c r="G199" s="80" t="s">
        <v>3855</v>
      </c>
      <c r="H199" s="80" t="s">
        <v>3856</v>
      </c>
      <c r="I199" s="80" t="s">
        <v>1649</v>
      </c>
      <c r="J199" s="80" t="s">
        <v>1650</v>
      </c>
    </row>
    <row r="200" spans="1:10">
      <c r="A200" s="79">
        <v>98624419106</v>
      </c>
      <c r="B200" s="80" t="s">
        <v>3239</v>
      </c>
      <c r="C200" s="80" t="s">
        <v>3820</v>
      </c>
      <c r="D200" s="80" t="s">
        <v>1619</v>
      </c>
      <c r="E200" s="80" t="s">
        <v>754</v>
      </c>
      <c r="F200" s="81" t="s">
        <v>3857</v>
      </c>
      <c r="G200" s="80" t="s">
        <v>3858</v>
      </c>
      <c r="H200" s="80" t="s">
        <v>3859</v>
      </c>
      <c r="I200" s="80" t="s">
        <v>1620</v>
      </c>
      <c r="J200" s="80" t="s">
        <v>1621</v>
      </c>
    </row>
    <row r="201" spans="1:10">
      <c r="A201" s="79">
        <v>98624419111</v>
      </c>
      <c r="B201" s="80" t="s">
        <v>3239</v>
      </c>
      <c r="C201" s="80" t="s">
        <v>3820</v>
      </c>
      <c r="D201" s="80" t="s">
        <v>1622</v>
      </c>
      <c r="E201" s="80" t="s">
        <v>754</v>
      </c>
      <c r="F201" s="81" t="s">
        <v>3860</v>
      </c>
      <c r="G201" s="80" t="s">
        <v>3861</v>
      </c>
      <c r="H201" s="80" t="s">
        <v>3862</v>
      </c>
      <c r="I201" s="80" t="s">
        <v>1623</v>
      </c>
      <c r="J201" s="80" t="s">
        <v>1624</v>
      </c>
    </row>
    <row r="202" spans="1:10">
      <c r="A202" s="79">
        <v>98624440101</v>
      </c>
      <c r="B202" s="80" t="s">
        <v>3239</v>
      </c>
      <c r="C202" s="80" t="s">
        <v>3820</v>
      </c>
      <c r="D202" s="80" t="s">
        <v>1251</v>
      </c>
      <c r="E202" s="80" t="s">
        <v>754</v>
      </c>
      <c r="F202" s="81" t="s">
        <v>3863</v>
      </c>
      <c r="G202" s="80" t="s">
        <v>3864</v>
      </c>
      <c r="H202" s="80" t="s">
        <v>3865</v>
      </c>
      <c r="I202" s="80" t="s">
        <v>1652</v>
      </c>
      <c r="J202" s="80" t="s">
        <v>1653</v>
      </c>
    </row>
    <row r="203" spans="1:10">
      <c r="A203" s="79">
        <v>98624151051</v>
      </c>
      <c r="B203" s="80" t="s">
        <v>3239</v>
      </c>
      <c r="C203" s="80" t="s">
        <v>3820</v>
      </c>
      <c r="D203" s="80" t="s">
        <v>1590</v>
      </c>
      <c r="E203" s="80" t="s">
        <v>3106</v>
      </c>
      <c r="F203" s="81" t="s">
        <v>3866</v>
      </c>
      <c r="G203" s="80" t="s">
        <v>3867</v>
      </c>
      <c r="H203" s="80" t="s">
        <v>3868</v>
      </c>
      <c r="I203" s="80" t="s">
        <v>1591</v>
      </c>
      <c r="J203" s="80" t="s">
        <v>1592</v>
      </c>
    </row>
    <row r="204" spans="1:10">
      <c r="A204" s="79">
        <v>98624429101</v>
      </c>
      <c r="B204" s="80" t="s">
        <v>3239</v>
      </c>
      <c r="C204" s="80" t="s">
        <v>3820</v>
      </c>
      <c r="D204" s="80" t="s">
        <v>3869</v>
      </c>
      <c r="E204" s="80" t="s">
        <v>754</v>
      </c>
      <c r="F204" s="81" t="s">
        <v>3870</v>
      </c>
      <c r="G204" s="80" t="s">
        <v>3871</v>
      </c>
      <c r="H204" s="80" t="s">
        <v>3872</v>
      </c>
      <c r="I204" s="80" t="s">
        <v>1634</v>
      </c>
      <c r="J204" s="80" t="s">
        <v>1635</v>
      </c>
    </row>
    <row r="205" spans="1:10">
      <c r="A205" s="79">
        <v>98624414101</v>
      </c>
      <c r="B205" s="80" t="s">
        <v>3239</v>
      </c>
      <c r="C205" s="80" t="s">
        <v>3820</v>
      </c>
      <c r="D205" s="80" t="s">
        <v>3182</v>
      </c>
      <c r="E205" s="80" t="s">
        <v>754</v>
      </c>
      <c r="F205" s="81" t="s">
        <v>3873</v>
      </c>
      <c r="G205" s="80" t="s">
        <v>3874</v>
      </c>
      <c r="H205" s="80" t="s">
        <v>3875</v>
      </c>
      <c r="I205" s="80" t="s">
        <v>1611</v>
      </c>
      <c r="J205" s="80" t="s">
        <v>1612</v>
      </c>
    </row>
    <row r="206" spans="1:10">
      <c r="A206" s="79">
        <v>98624450101</v>
      </c>
      <c r="B206" s="80" t="s">
        <v>3239</v>
      </c>
      <c r="C206" s="80" t="s">
        <v>3820</v>
      </c>
      <c r="D206" s="80" t="s">
        <v>1658</v>
      </c>
      <c r="E206" s="80" t="s">
        <v>754</v>
      </c>
      <c r="F206" s="81" t="s">
        <v>3876</v>
      </c>
      <c r="G206" s="80" t="s">
        <v>3877</v>
      </c>
      <c r="H206" s="80" t="s">
        <v>3878</v>
      </c>
      <c r="I206" s="80" t="s">
        <v>1659</v>
      </c>
      <c r="J206" s="80" t="s">
        <v>1660</v>
      </c>
    </row>
    <row r="207" spans="1:10">
      <c r="A207" s="79">
        <v>98624151111</v>
      </c>
      <c r="B207" s="80" t="s">
        <v>3239</v>
      </c>
      <c r="C207" s="80" t="s">
        <v>3820</v>
      </c>
      <c r="D207" s="80" t="s">
        <v>1596</v>
      </c>
      <c r="E207" s="80" t="s">
        <v>754</v>
      </c>
      <c r="F207" s="81" t="s">
        <v>3879</v>
      </c>
      <c r="G207" s="80" t="s">
        <v>3880</v>
      </c>
      <c r="H207" s="80" t="s">
        <v>3881</v>
      </c>
      <c r="I207" s="80" t="s">
        <v>1597</v>
      </c>
      <c r="J207" s="80" t="s">
        <v>1598</v>
      </c>
    </row>
    <row r="208" spans="1:10">
      <c r="A208" s="79">
        <v>98624455101</v>
      </c>
      <c r="B208" s="80" t="s">
        <v>3239</v>
      </c>
      <c r="C208" s="80" t="s">
        <v>3820</v>
      </c>
      <c r="D208" s="80" t="s">
        <v>1662</v>
      </c>
      <c r="E208" s="80" t="s">
        <v>754</v>
      </c>
      <c r="F208" s="81" t="s">
        <v>3882</v>
      </c>
      <c r="G208" s="80" t="s">
        <v>3883</v>
      </c>
      <c r="H208" s="80" t="s">
        <v>3884</v>
      </c>
      <c r="I208" s="80" t="s">
        <v>1663</v>
      </c>
      <c r="J208" s="80" t="s">
        <v>1664</v>
      </c>
    </row>
    <row r="209" spans="1:10">
      <c r="A209" s="79">
        <v>98624405111</v>
      </c>
      <c r="B209" s="80" t="s">
        <v>3239</v>
      </c>
      <c r="C209" s="80" t="s">
        <v>3820</v>
      </c>
      <c r="D209" s="80" t="s">
        <v>516</v>
      </c>
      <c r="E209" s="80" t="s">
        <v>754</v>
      </c>
      <c r="F209" s="81" t="s">
        <v>3885</v>
      </c>
      <c r="G209" s="80" t="s">
        <v>3886</v>
      </c>
      <c r="H209" s="80" t="s">
        <v>3887</v>
      </c>
      <c r="I209" s="80" t="s">
        <v>1607</v>
      </c>
      <c r="J209" s="80" t="s">
        <v>1608</v>
      </c>
    </row>
    <row r="210" spans="1:10">
      <c r="A210" s="79">
        <v>98624445101</v>
      </c>
      <c r="B210" s="80" t="s">
        <v>3239</v>
      </c>
      <c r="C210" s="80" t="s">
        <v>3820</v>
      </c>
      <c r="D210" s="80" t="s">
        <v>971</v>
      </c>
      <c r="E210" s="80" t="s">
        <v>754</v>
      </c>
      <c r="F210" s="81" t="s">
        <v>3888</v>
      </c>
      <c r="G210" s="80" t="s">
        <v>3889</v>
      </c>
      <c r="H210" s="80" t="s">
        <v>3890</v>
      </c>
      <c r="I210" s="80" t="s">
        <v>1655</v>
      </c>
      <c r="J210" s="80" t="s">
        <v>1656</v>
      </c>
    </row>
    <row r="211" spans="1:10">
      <c r="A211" s="79">
        <v>98627440106</v>
      </c>
      <c r="B211" s="80" t="s">
        <v>3239</v>
      </c>
      <c r="C211" s="80" t="s">
        <v>3891</v>
      </c>
      <c r="D211" s="80" t="s">
        <v>1344</v>
      </c>
      <c r="E211" s="80" t="s">
        <v>754</v>
      </c>
      <c r="F211" s="81" t="s">
        <v>3892</v>
      </c>
      <c r="G211" s="80" t="s">
        <v>3893</v>
      </c>
      <c r="H211" s="80" t="s">
        <v>3894</v>
      </c>
      <c r="I211" s="80" t="s">
        <v>1805</v>
      </c>
      <c r="J211" s="80" t="s">
        <v>1806</v>
      </c>
    </row>
    <row r="212" spans="1:10">
      <c r="A212" s="79">
        <v>98627436106</v>
      </c>
      <c r="B212" s="80" t="s">
        <v>3239</v>
      </c>
      <c r="C212" s="80" t="s">
        <v>3891</v>
      </c>
      <c r="D212" s="80" t="s">
        <v>387</v>
      </c>
      <c r="E212" s="80" t="s">
        <v>754</v>
      </c>
      <c r="F212" s="81" t="s">
        <v>3895</v>
      </c>
      <c r="G212" s="80" t="s">
        <v>3896</v>
      </c>
      <c r="H212" s="80" t="s">
        <v>3897</v>
      </c>
      <c r="I212" s="80" t="s">
        <v>1800</v>
      </c>
      <c r="J212" s="80" t="s">
        <v>1801</v>
      </c>
    </row>
    <row r="213" spans="1:10">
      <c r="A213" s="79">
        <v>98627405101</v>
      </c>
      <c r="B213" s="80" t="s">
        <v>3239</v>
      </c>
      <c r="C213" s="80" t="s">
        <v>3891</v>
      </c>
      <c r="D213" s="80" t="s">
        <v>1769</v>
      </c>
      <c r="E213" s="80" t="s">
        <v>754</v>
      </c>
      <c r="F213" s="81" t="s">
        <v>3898</v>
      </c>
      <c r="G213" s="80" t="s">
        <v>3899</v>
      </c>
      <c r="H213" s="80" t="s">
        <v>3900</v>
      </c>
      <c r="I213" s="80" t="s">
        <v>1770</v>
      </c>
      <c r="J213" s="80" t="s">
        <v>1771</v>
      </c>
    </row>
    <row r="214" spans="1:10">
      <c r="A214" s="79">
        <v>98627153051</v>
      </c>
      <c r="B214" s="80" t="s">
        <v>3239</v>
      </c>
      <c r="C214" s="80" t="s">
        <v>3891</v>
      </c>
      <c r="D214" s="80" t="s">
        <v>24</v>
      </c>
      <c r="E214" s="80" t="s">
        <v>819</v>
      </c>
      <c r="F214" s="81" t="s">
        <v>3901</v>
      </c>
      <c r="G214" s="80" t="s">
        <v>3902</v>
      </c>
      <c r="H214" s="80" t="s">
        <v>3903</v>
      </c>
      <c r="I214" s="80" t="s">
        <v>1759</v>
      </c>
      <c r="J214" s="80" t="s">
        <v>1760</v>
      </c>
    </row>
    <row r="215" spans="1:10">
      <c r="A215" s="79">
        <v>98627420106</v>
      </c>
      <c r="B215" s="80" t="s">
        <v>3239</v>
      </c>
      <c r="C215" s="80" t="s">
        <v>3891</v>
      </c>
      <c r="D215" s="80" t="s">
        <v>1776</v>
      </c>
      <c r="E215" s="80" t="s">
        <v>754</v>
      </c>
      <c r="F215" s="81" t="s">
        <v>3904</v>
      </c>
      <c r="G215" s="80" t="s">
        <v>3905</v>
      </c>
      <c r="H215" s="80" t="s">
        <v>3906</v>
      </c>
      <c r="I215" s="80" t="s">
        <v>1777</v>
      </c>
      <c r="J215" s="80" t="s">
        <v>1778</v>
      </c>
    </row>
    <row r="216" spans="1:10">
      <c r="A216" s="79">
        <v>98627440111</v>
      </c>
      <c r="B216" s="80" t="s">
        <v>3239</v>
      </c>
      <c r="C216" s="80" t="s">
        <v>3891</v>
      </c>
      <c r="D216" s="80" t="s">
        <v>228</v>
      </c>
      <c r="E216" s="80" t="s">
        <v>754</v>
      </c>
      <c r="F216" s="81" t="s">
        <v>3907</v>
      </c>
      <c r="G216" s="80" t="s">
        <v>3908</v>
      </c>
      <c r="H216" s="80" t="s">
        <v>3909</v>
      </c>
      <c r="I216" s="80" t="s">
        <v>1807</v>
      </c>
      <c r="J216" s="80" t="s">
        <v>1808</v>
      </c>
    </row>
    <row r="217" spans="1:10">
      <c r="A217" s="79">
        <v>98627157106</v>
      </c>
      <c r="B217" s="80" t="s">
        <v>3239</v>
      </c>
      <c r="C217" s="80" t="s">
        <v>3891</v>
      </c>
      <c r="D217" s="80" t="s">
        <v>3910</v>
      </c>
      <c r="E217" s="80" t="s">
        <v>754</v>
      </c>
      <c r="F217" s="81" t="s">
        <v>3911</v>
      </c>
      <c r="G217" s="80" t="s">
        <v>3912</v>
      </c>
      <c r="H217" s="80" t="s">
        <v>3913</v>
      </c>
      <c r="I217" s="80" t="s">
        <v>1765</v>
      </c>
      <c r="J217" s="80" t="s">
        <v>1766</v>
      </c>
    </row>
    <row r="218" spans="1:10">
      <c r="A218" s="79">
        <v>98627101001</v>
      </c>
      <c r="B218" s="80" t="s">
        <v>3239</v>
      </c>
      <c r="C218" s="80" t="s">
        <v>3891</v>
      </c>
      <c r="D218" s="80" t="s">
        <v>36</v>
      </c>
      <c r="E218" s="80" t="s">
        <v>740</v>
      </c>
      <c r="F218" s="81" t="s">
        <v>3914</v>
      </c>
      <c r="G218" s="80" t="s">
        <v>3915</v>
      </c>
      <c r="H218" s="80" t="s">
        <v>3916</v>
      </c>
      <c r="I218" s="80" t="s">
        <v>1756</v>
      </c>
      <c r="J218" s="80" t="s">
        <v>1757</v>
      </c>
    </row>
    <row r="219" spans="1:10">
      <c r="A219" s="79">
        <v>98627436101</v>
      </c>
      <c r="B219" s="80" t="s">
        <v>3239</v>
      </c>
      <c r="C219" s="80" t="s">
        <v>3891</v>
      </c>
      <c r="D219" s="80" t="s">
        <v>1797</v>
      </c>
      <c r="E219" s="80" t="s">
        <v>754</v>
      </c>
      <c r="F219" s="81" t="s">
        <v>3917</v>
      </c>
      <c r="G219" s="80" t="s">
        <v>3918</v>
      </c>
      <c r="H219" s="80" t="s">
        <v>3919</v>
      </c>
      <c r="I219" s="80" t="s">
        <v>1798</v>
      </c>
      <c r="J219" s="80" t="s">
        <v>1799</v>
      </c>
    </row>
    <row r="220" spans="1:10">
      <c r="A220" s="79">
        <v>98627428101</v>
      </c>
      <c r="B220" s="80" t="s">
        <v>3239</v>
      </c>
      <c r="C220" s="80" t="s">
        <v>3891</v>
      </c>
      <c r="D220" s="80" t="s">
        <v>1780</v>
      </c>
      <c r="E220" s="80" t="s">
        <v>754</v>
      </c>
      <c r="F220" s="81" t="s">
        <v>3920</v>
      </c>
      <c r="G220" s="80" t="s">
        <v>3921</v>
      </c>
      <c r="H220" s="80" t="s">
        <v>3922</v>
      </c>
      <c r="I220" s="80" t="s">
        <v>1781</v>
      </c>
      <c r="J220" s="80" t="s">
        <v>1782</v>
      </c>
    </row>
    <row r="221" spans="1:10">
      <c r="A221" s="79">
        <v>98627430101</v>
      </c>
      <c r="B221" s="80" t="s">
        <v>3239</v>
      </c>
      <c r="C221" s="80" t="s">
        <v>3891</v>
      </c>
      <c r="D221" s="80" t="s">
        <v>45</v>
      </c>
      <c r="E221" s="80" t="s">
        <v>754</v>
      </c>
      <c r="F221" s="81" t="s">
        <v>3923</v>
      </c>
      <c r="G221" s="80" t="s">
        <v>3924</v>
      </c>
      <c r="H221" s="80" t="s">
        <v>3925</v>
      </c>
      <c r="I221" s="80" t="s">
        <v>1784</v>
      </c>
      <c r="J221" s="80" t="s">
        <v>1785</v>
      </c>
    </row>
    <row r="222" spans="1:10">
      <c r="A222" s="79">
        <v>98627420101</v>
      </c>
      <c r="B222" s="80" t="s">
        <v>3239</v>
      </c>
      <c r="C222" s="80" t="s">
        <v>3891</v>
      </c>
      <c r="D222" s="80" t="s">
        <v>1773</v>
      </c>
      <c r="E222" s="80" t="s">
        <v>754</v>
      </c>
      <c r="F222" s="81" t="s">
        <v>3926</v>
      </c>
      <c r="G222" s="80" t="s">
        <v>3927</v>
      </c>
      <c r="H222" s="80" t="s">
        <v>3928</v>
      </c>
      <c r="I222" s="80" t="s">
        <v>1774</v>
      </c>
      <c r="J222" s="80" t="s">
        <v>1775</v>
      </c>
    </row>
    <row r="223" spans="1:10">
      <c r="A223" s="79">
        <v>98627433101</v>
      </c>
      <c r="B223" s="80" t="s">
        <v>3239</v>
      </c>
      <c r="C223" s="80" t="s">
        <v>3891</v>
      </c>
      <c r="D223" s="80" t="s">
        <v>1790</v>
      </c>
      <c r="E223" s="80" t="s">
        <v>754</v>
      </c>
      <c r="F223" s="81" t="s">
        <v>3929</v>
      </c>
      <c r="G223" s="80" t="s">
        <v>3930</v>
      </c>
      <c r="H223" s="80" t="s">
        <v>3931</v>
      </c>
      <c r="I223" s="80" t="s">
        <v>1791</v>
      </c>
      <c r="J223" s="80" t="s">
        <v>1792</v>
      </c>
    </row>
    <row r="224" spans="1:10">
      <c r="A224" s="79">
        <v>98627157051</v>
      </c>
      <c r="B224" s="80" t="s">
        <v>3239</v>
      </c>
      <c r="C224" s="80" t="s">
        <v>3891</v>
      </c>
      <c r="D224" s="80" t="s">
        <v>27</v>
      </c>
      <c r="E224" s="80" t="s">
        <v>819</v>
      </c>
      <c r="F224" s="81" t="s">
        <v>3932</v>
      </c>
      <c r="G224" s="80" t="s">
        <v>3933</v>
      </c>
      <c r="H224" s="80" t="s">
        <v>3934</v>
      </c>
      <c r="I224" s="80" t="s">
        <v>1762</v>
      </c>
      <c r="J224" s="80" t="s">
        <v>1763</v>
      </c>
    </row>
    <row r="225" spans="1:10">
      <c r="A225" s="79">
        <v>98627440101</v>
      </c>
      <c r="B225" s="80" t="s">
        <v>3239</v>
      </c>
      <c r="C225" s="80" t="s">
        <v>3891</v>
      </c>
      <c r="D225" s="80" t="s">
        <v>864</v>
      </c>
      <c r="E225" s="80" t="s">
        <v>754</v>
      </c>
      <c r="F225" s="81" t="s">
        <v>3935</v>
      </c>
      <c r="G225" s="80" t="s">
        <v>3936</v>
      </c>
      <c r="H225" s="80" t="s">
        <v>3937</v>
      </c>
      <c r="I225" s="80" t="s">
        <v>1803</v>
      </c>
      <c r="J225" s="80" t="s">
        <v>1804</v>
      </c>
    </row>
    <row r="226" spans="1:10">
      <c r="A226" s="79">
        <v>98627430106</v>
      </c>
      <c r="B226" s="80" t="s">
        <v>3239</v>
      </c>
      <c r="C226" s="80" t="s">
        <v>3891</v>
      </c>
      <c r="D226" s="80" t="s">
        <v>1786</v>
      </c>
      <c r="E226" s="80" t="s">
        <v>754</v>
      </c>
      <c r="F226" s="81" t="s">
        <v>3938</v>
      </c>
      <c r="G226" s="80" t="s">
        <v>3939</v>
      </c>
      <c r="H226" s="80" t="s">
        <v>3940</v>
      </c>
      <c r="I226" s="80" t="s">
        <v>1787</v>
      </c>
      <c r="J226" s="80" t="s">
        <v>1788</v>
      </c>
    </row>
    <row r="227" spans="1:10">
      <c r="A227" s="79">
        <v>98627449106</v>
      </c>
      <c r="B227" s="80" t="s">
        <v>3239</v>
      </c>
      <c r="C227" s="80" t="s">
        <v>3891</v>
      </c>
      <c r="D227" s="80" t="s">
        <v>1813</v>
      </c>
      <c r="E227" s="80" t="s">
        <v>754</v>
      </c>
      <c r="F227" s="81" t="s">
        <v>3941</v>
      </c>
      <c r="G227" s="80" t="s">
        <v>3942</v>
      </c>
      <c r="H227" s="80" t="s">
        <v>3943</v>
      </c>
      <c r="I227" s="80" t="s">
        <v>1814</v>
      </c>
      <c r="J227" s="80" t="s">
        <v>1815</v>
      </c>
    </row>
    <row r="228" spans="1:10">
      <c r="A228" s="79">
        <v>98627433106</v>
      </c>
      <c r="B228" s="80" t="s">
        <v>3239</v>
      </c>
      <c r="C228" s="80" t="s">
        <v>3891</v>
      </c>
      <c r="D228" s="80" t="s">
        <v>1793</v>
      </c>
      <c r="E228" s="80" t="s">
        <v>754</v>
      </c>
      <c r="F228" s="81" t="s">
        <v>3944</v>
      </c>
      <c r="G228" s="80" t="s">
        <v>3945</v>
      </c>
      <c r="H228" s="80" t="s">
        <v>3946</v>
      </c>
      <c r="I228" s="80" t="s">
        <v>1794</v>
      </c>
      <c r="J228" s="80" t="s">
        <v>1795</v>
      </c>
    </row>
    <row r="229" spans="1:10">
      <c r="A229" s="79">
        <v>98627449101</v>
      </c>
      <c r="B229" s="80" t="s">
        <v>3239</v>
      </c>
      <c r="C229" s="80" t="s">
        <v>3891</v>
      </c>
      <c r="D229" s="80" t="s">
        <v>1810</v>
      </c>
      <c r="E229" s="80" t="s">
        <v>754</v>
      </c>
      <c r="F229" s="81" t="s">
        <v>3947</v>
      </c>
      <c r="G229" s="80" t="s">
        <v>3948</v>
      </c>
      <c r="H229" s="80" t="s">
        <v>3949</v>
      </c>
      <c r="I229" s="80" t="s">
        <v>1811</v>
      </c>
      <c r="J229" s="80" t="s">
        <v>1812</v>
      </c>
    </row>
    <row r="230" spans="1:10">
      <c r="A230" s="79">
        <v>98629420101</v>
      </c>
      <c r="B230" s="80" t="s">
        <v>3239</v>
      </c>
      <c r="C230" s="80" t="s">
        <v>798</v>
      </c>
      <c r="D230" s="80" t="s">
        <v>1871</v>
      </c>
      <c r="E230" s="80" t="s">
        <v>754</v>
      </c>
      <c r="F230" s="81" t="s">
        <v>3950</v>
      </c>
      <c r="G230" s="80" t="s">
        <v>3951</v>
      </c>
      <c r="H230" s="80" t="s">
        <v>3952</v>
      </c>
      <c r="I230" s="80" t="s">
        <v>1872</v>
      </c>
      <c r="J230" s="80" t="s">
        <v>1873</v>
      </c>
    </row>
    <row r="231" spans="1:10">
      <c r="A231" s="79">
        <v>98629406101</v>
      </c>
      <c r="B231" s="80" t="s">
        <v>3239</v>
      </c>
      <c r="C231" s="80" t="s">
        <v>798</v>
      </c>
      <c r="D231" s="80" t="s">
        <v>3228</v>
      </c>
      <c r="E231" s="80" t="s">
        <v>754</v>
      </c>
      <c r="F231" s="81" t="s">
        <v>3953</v>
      </c>
      <c r="G231" s="80" t="s">
        <v>3954</v>
      </c>
      <c r="H231" s="80" t="s">
        <v>3955</v>
      </c>
      <c r="I231" s="80" t="s">
        <v>1837</v>
      </c>
      <c r="J231" s="80" t="s">
        <v>1838</v>
      </c>
    </row>
    <row r="232" spans="1:10">
      <c r="A232" s="79">
        <v>98629410106</v>
      </c>
      <c r="B232" s="80" t="s">
        <v>3239</v>
      </c>
      <c r="C232" s="80" t="s">
        <v>798</v>
      </c>
      <c r="D232" s="80" t="s">
        <v>1853</v>
      </c>
      <c r="E232" s="80" t="s">
        <v>754</v>
      </c>
      <c r="F232" s="81" t="s">
        <v>3956</v>
      </c>
      <c r="G232" s="80" t="s">
        <v>3957</v>
      </c>
      <c r="H232" s="80" t="s">
        <v>3958</v>
      </c>
      <c r="I232" s="80" t="s">
        <v>1854</v>
      </c>
      <c r="J232" s="80" t="s">
        <v>1855</v>
      </c>
    </row>
    <row r="233" spans="1:10">
      <c r="A233" s="79">
        <v>98629425101</v>
      </c>
      <c r="B233" s="80" t="s">
        <v>3239</v>
      </c>
      <c r="C233" s="80" t="s">
        <v>798</v>
      </c>
      <c r="D233" s="80" t="s">
        <v>3959</v>
      </c>
      <c r="E233" s="80" t="s">
        <v>754</v>
      </c>
      <c r="F233" s="81" t="s">
        <v>3960</v>
      </c>
      <c r="G233" s="80" t="s">
        <v>3961</v>
      </c>
      <c r="H233" s="80" t="s">
        <v>3962</v>
      </c>
      <c r="I233" s="80" t="s">
        <v>1876</v>
      </c>
      <c r="J233" s="80" t="s">
        <v>1877</v>
      </c>
    </row>
    <row r="234" spans="1:10">
      <c r="A234" s="79">
        <v>98629464101</v>
      </c>
      <c r="B234" s="80" t="s">
        <v>3239</v>
      </c>
      <c r="C234" s="80" t="s">
        <v>798</v>
      </c>
      <c r="D234" s="80" t="s">
        <v>1942</v>
      </c>
      <c r="E234" s="80" t="s">
        <v>754</v>
      </c>
      <c r="F234" s="81" t="s">
        <v>3963</v>
      </c>
      <c r="G234" s="80" t="s">
        <v>3964</v>
      </c>
      <c r="H234" s="80" t="s">
        <v>3965</v>
      </c>
      <c r="I234" s="80" t="s">
        <v>1943</v>
      </c>
      <c r="J234" s="80" t="s">
        <v>1944</v>
      </c>
    </row>
    <row r="235" spans="1:10">
      <c r="A235" s="79">
        <v>98629409101</v>
      </c>
      <c r="B235" s="80" t="s">
        <v>3239</v>
      </c>
      <c r="C235" s="80" t="s">
        <v>798</v>
      </c>
      <c r="D235" s="80" t="s">
        <v>1219</v>
      </c>
      <c r="E235" s="80" t="s">
        <v>754</v>
      </c>
      <c r="F235" s="81" t="s">
        <v>3966</v>
      </c>
      <c r="G235" s="80" t="s">
        <v>3967</v>
      </c>
      <c r="H235" s="80" t="s">
        <v>3968</v>
      </c>
      <c r="I235" s="80" t="s">
        <v>1847</v>
      </c>
      <c r="J235" s="80" t="s">
        <v>1848</v>
      </c>
    </row>
    <row r="236" spans="1:10">
      <c r="A236" s="79">
        <v>98629465101</v>
      </c>
      <c r="B236" s="80" t="s">
        <v>3239</v>
      </c>
      <c r="C236" s="80" t="s">
        <v>798</v>
      </c>
      <c r="D236" s="80" t="s">
        <v>1946</v>
      </c>
      <c r="E236" s="80" t="s">
        <v>754</v>
      </c>
      <c r="F236" s="81" t="s">
        <v>3969</v>
      </c>
      <c r="G236" s="80" t="s">
        <v>3970</v>
      </c>
      <c r="H236" s="80" t="s">
        <v>3971</v>
      </c>
      <c r="I236" s="80" t="s">
        <v>1947</v>
      </c>
      <c r="J236" s="80" t="s">
        <v>1948</v>
      </c>
    </row>
    <row r="237" spans="1:10">
      <c r="A237" s="79">
        <v>98629402101</v>
      </c>
      <c r="B237" s="80" t="s">
        <v>3239</v>
      </c>
      <c r="C237" s="80" t="s">
        <v>798</v>
      </c>
      <c r="D237" s="80" t="s">
        <v>3972</v>
      </c>
      <c r="E237" s="80" t="s">
        <v>754</v>
      </c>
      <c r="F237" s="81" t="s">
        <v>3973</v>
      </c>
      <c r="G237" s="80" t="s">
        <v>3974</v>
      </c>
      <c r="H237" s="80" t="s">
        <v>3975</v>
      </c>
      <c r="I237" s="80" t="s">
        <v>1825</v>
      </c>
      <c r="J237" s="80" t="s">
        <v>1826</v>
      </c>
    </row>
    <row r="238" spans="1:10">
      <c r="A238" s="79">
        <v>98629413106</v>
      </c>
      <c r="B238" s="80" t="s">
        <v>3239</v>
      </c>
      <c r="C238" s="80" t="s">
        <v>798</v>
      </c>
      <c r="D238" s="80" t="s">
        <v>1863</v>
      </c>
      <c r="E238" s="80" t="s">
        <v>754</v>
      </c>
      <c r="F238" s="81" t="s">
        <v>3976</v>
      </c>
      <c r="G238" s="80" t="s">
        <v>3977</v>
      </c>
      <c r="H238" s="80" t="s">
        <v>3978</v>
      </c>
      <c r="I238" s="80" t="s">
        <v>1864</v>
      </c>
      <c r="J238" s="80" t="s">
        <v>1865</v>
      </c>
    </row>
    <row r="239" spans="1:10">
      <c r="A239" s="79">
        <v>98629450101</v>
      </c>
      <c r="B239" s="80" t="s">
        <v>3239</v>
      </c>
      <c r="C239" s="80" t="s">
        <v>798</v>
      </c>
      <c r="D239" s="80" t="s">
        <v>1916</v>
      </c>
      <c r="E239" s="80" t="s">
        <v>754</v>
      </c>
      <c r="F239" s="81" t="s">
        <v>3979</v>
      </c>
      <c r="G239" s="80" t="s">
        <v>3980</v>
      </c>
      <c r="H239" s="80" t="s">
        <v>3981</v>
      </c>
      <c r="I239" s="80" t="s">
        <v>1917</v>
      </c>
      <c r="J239" s="80" t="s">
        <v>1918</v>
      </c>
    </row>
    <row r="240" spans="1:10">
      <c r="A240" s="79">
        <v>98629415101</v>
      </c>
      <c r="B240" s="80" t="s">
        <v>3239</v>
      </c>
      <c r="C240" s="80" t="s">
        <v>798</v>
      </c>
      <c r="D240" s="80" t="s">
        <v>1867</v>
      </c>
      <c r="E240" s="80" t="s">
        <v>754</v>
      </c>
      <c r="F240" s="81" t="s">
        <v>3982</v>
      </c>
      <c r="G240" s="80" t="s">
        <v>3983</v>
      </c>
      <c r="H240" s="80" t="s">
        <v>3984</v>
      </c>
      <c r="I240" s="80" t="s">
        <v>1868</v>
      </c>
      <c r="J240" s="80" t="s">
        <v>1869</v>
      </c>
    </row>
    <row r="241" spans="1:10">
      <c r="A241" s="79">
        <v>98629407101</v>
      </c>
      <c r="B241" s="80" t="s">
        <v>3239</v>
      </c>
      <c r="C241" s="80" t="s">
        <v>798</v>
      </c>
      <c r="D241" s="80" t="s">
        <v>293</v>
      </c>
      <c r="E241" s="80" t="s">
        <v>754</v>
      </c>
      <c r="F241" s="81" t="s">
        <v>3985</v>
      </c>
      <c r="G241" s="80" t="s">
        <v>3986</v>
      </c>
      <c r="H241" s="80" t="s">
        <v>3987</v>
      </c>
      <c r="I241" s="80" t="s">
        <v>1840</v>
      </c>
      <c r="J241" s="80" t="s">
        <v>1841</v>
      </c>
    </row>
    <row r="242" spans="1:10">
      <c r="A242" s="79">
        <v>98629155051</v>
      </c>
      <c r="B242" s="80" t="s">
        <v>3239</v>
      </c>
      <c r="C242" s="80" t="s">
        <v>798</v>
      </c>
      <c r="D242" s="80" t="s">
        <v>1820</v>
      </c>
      <c r="E242" s="80" t="s">
        <v>819</v>
      </c>
      <c r="F242" s="81" t="s">
        <v>3988</v>
      </c>
      <c r="G242" s="80" t="s">
        <v>3989</v>
      </c>
      <c r="H242" s="80" t="s">
        <v>3990</v>
      </c>
      <c r="I242" s="80" t="s">
        <v>1821</v>
      </c>
      <c r="J242" s="80" t="s">
        <v>1822</v>
      </c>
    </row>
    <row r="243" spans="1:10">
      <c r="A243" s="79">
        <v>98629408101</v>
      </c>
      <c r="B243" s="80" t="s">
        <v>3239</v>
      </c>
      <c r="C243" s="80" t="s">
        <v>798</v>
      </c>
      <c r="D243" s="80" t="s">
        <v>1843</v>
      </c>
      <c r="E243" s="80" t="s">
        <v>754</v>
      </c>
      <c r="F243" s="81" t="s">
        <v>3991</v>
      </c>
      <c r="G243" s="80" t="s">
        <v>3992</v>
      </c>
      <c r="H243" s="80" t="s">
        <v>3993</v>
      </c>
      <c r="I243" s="80" t="s">
        <v>1844</v>
      </c>
      <c r="J243" s="80" t="s">
        <v>1845</v>
      </c>
    </row>
    <row r="244" spans="1:10">
      <c r="A244" s="79">
        <v>98629445101</v>
      </c>
      <c r="B244" s="80" t="s">
        <v>3239</v>
      </c>
      <c r="C244" s="80" t="s">
        <v>798</v>
      </c>
      <c r="D244" s="80" t="s">
        <v>1899</v>
      </c>
      <c r="E244" s="80" t="s">
        <v>754</v>
      </c>
      <c r="F244" s="81" t="s">
        <v>3994</v>
      </c>
      <c r="G244" s="80" t="s">
        <v>3995</v>
      </c>
      <c r="H244" s="80" t="s">
        <v>3996</v>
      </c>
      <c r="I244" s="80" t="s">
        <v>1900</v>
      </c>
      <c r="J244" s="80" t="s">
        <v>1901</v>
      </c>
    </row>
    <row r="245" spans="1:10">
      <c r="A245" s="79">
        <v>98629462101</v>
      </c>
      <c r="B245" s="80" t="s">
        <v>3239</v>
      </c>
      <c r="C245" s="80" t="s">
        <v>798</v>
      </c>
      <c r="D245" s="80" t="s">
        <v>1934</v>
      </c>
      <c r="E245" s="80" t="s">
        <v>754</v>
      </c>
      <c r="F245" s="81" t="s">
        <v>3997</v>
      </c>
      <c r="G245" s="80" t="s">
        <v>3998</v>
      </c>
      <c r="H245" s="80" t="s">
        <v>3999</v>
      </c>
      <c r="I245" s="80" t="s">
        <v>1935</v>
      </c>
      <c r="J245" s="80" t="s">
        <v>1936</v>
      </c>
    </row>
    <row r="246" spans="1:10">
      <c r="A246" s="79">
        <v>98629447101</v>
      </c>
      <c r="B246" s="80" t="s">
        <v>3239</v>
      </c>
      <c r="C246" s="80" t="s">
        <v>798</v>
      </c>
      <c r="D246" s="80" t="s">
        <v>1905</v>
      </c>
      <c r="E246" s="80" t="s">
        <v>754</v>
      </c>
      <c r="F246" s="81" t="s">
        <v>4000</v>
      </c>
      <c r="G246" s="80" t="s">
        <v>4001</v>
      </c>
      <c r="H246" s="80" t="s">
        <v>4002</v>
      </c>
      <c r="I246" s="80" t="s">
        <v>1906</v>
      </c>
      <c r="J246" s="80" t="s">
        <v>1907</v>
      </c>
    </row>
    <row r="247" spans="1:10">
      <c r="A247" s="79">
        <v>98629425106</v>
      </c>
      <c r="B247" s="80" t="s">
        <v>3239</v>
      </c>
      <c r="C247" s="80" t="s">
        <v>798</v>
      </c>
      <c r="D247" s="80" t="s">
        <v>1878</v>
      </c>
      <c r="E247" s="80" t="s">
        <v>754</v>
      </c>
      <c r="F247" s="81" t="s">
        <v>4003</v>
      </c>
      <c r="G247" s="80" t="s">
        <v>4004</v>
      </c>
      <c r="H247" s="80" t="s">
        <v>4005</v>
      </c>
      <c r="I247" s="80" t="s">
        <v>1879</v>
      </c>
      <c r="J247" s="80" t="s">
        <v>1880</v>
      </c>
    </row>
    <row r="248" spans="1:10">
      <c r="A248" s="79">
        <v>98629436101</v>
      </c>
      <c r="B248" s="80" t="s">
        <v>3239</v>
      </c>
      <c r="C248" s="80" t="s">
        <v>798</v>
      </c>
      <c r="D248" s="80" t="s">
        <v>304</v>
      </c>
      <c r="E248" s="80" t="s">
        <v>754</v>
      </c>
      <c r="F248" s="81" t="s">
        <v>4006</v>
      </c>
      <c r="G248" s="80" t="s">
        <v>4007</v>
      </c>
      <c r="H248" s="80" t="s">
        <v>4008</v>
      </c>
      <c r="I248" s="80" t="s">
        <v>1892</v>
      </c>
      <c r="J248" s="80" t="s">
        <v>1893</v>
      </c>
    </row>
    <row r="249" spans="1:10">
      <c r="A249" s="79">
        <v>98629405101</v>
      </c>
      <c r="B249" s="80" t="s">
        <v>3239</v>
      </c>
      <c r="C249" s="80" t="s">
        <v>798</v>
      </c>
      <c r="D249" s="80" t="s">
        <v>1832</v>
      </c>
      <c r="E249" s="80" t="s">
        <v>754</v>
      </c>
      <c r="F249" s="81" t="s">
        <v>4009</v>
      </c>
      <c r="G249" s="80" t="s">
        <v>4010</v>
      </c>
      <c r="H249" s="80" t="s">
        <v>4011</v>
      </c>
      <c r="I249" s="80" t="s">
        <v>1833</v>
      </c>
      <c r="J249" s="80" t="s">
        <v>1834</v>
      </c>
    </row>
    <row r="250" spans="1:10">
      <c r="A250" s="79">
        <v>98629448101</v>
      </c>
      <c r="B250" s="80" t="s">
        <v>3239</v>
      </c>
      <c r="C250" s="80" t="s">
        <v>798</v>
      </c>
      <c r="D250" s="80" t="s">
        <v>111</v>
      </c>
      <c r="E250" s="80" t="s">
        <v>754</v>
      </c>
      <c r="F250" s="81" t="s">
        <v>4012</v>
      </c>
      <c r="G250" s="80" t="s">
        <v>4013</v>
      </c>
      <c r="H250" s="80" t="s">
        <v>4014</v>
      </c>
      <c r="I250" s="80" t="s">
        <v>1909</v>
      </c>
      <c r="J250" s="80" t="s">
        <v>1910</v>
      </c>
    </row>
    <row r="251" spans="1:10">
      <c r="A251" s="79">
        <v>98629403101</v>
      </c>
      <c r="B251" s="80" t="s">
        <v>3239</v>
      </c>
      <c r="C251" s="80" t="s">
        <v>798</v>
      </c>
      <c r="D251" s="80" t="s">
        <v>1828</v>
      </c>
      <c r="E251" s="80" t="s">
        <v>754</v>
      </c>
      <c r="F251" s="81" t="s">
        <v>4015</v>
      </c>
      <c r="G251" s="80" t="s">
        <v>4016</v>
      </c>
      <c r="H251" s="80" t="s">
        <v>4017</v>
      </c>
      <c r="I251" s="80" t="s">
        <v>1829</v>
      </c>
      <c r="J251" s="80" t="s">
        <v>1830</v>
      </c>
    </row>
    <row r="252" spans="1:10">
      <c r="A252" s="79">
        <v>98629410101</v>
      </c>
      <c r="B252" s="80" t="s">
        <v>3239</v>
      </c>
      <c r="C252" s="80" t="s">
        <v>798</v>
      </c>
      <c r="D252" s="80" t="s">
        <v>1850</v>
      </c>
      <c r="E252" s="80" t="s">
        <v>754</v>
      </c>
      <c r="F252" s="81" t="s">
        <v>4018</v>
      </c>
      <c r="G252" s="80" t="s">
        <v>4019</v>
      </c>
      <c r="H252" s="80" t="s">
        <v>4020</v>
      </c>
      <c r="I252" s="80" t="s">
        <v>1851</v>
      </c>
      <c r="J252" s="80" t="s">
        <v>1852</v>
      </c>
    </row>
    <row r="253" spans="1:10">
      <c r="A253" s="79">
        <v>98629449101</v>
      </c>
      <c r="B253" s="80" t="s">
        <v>3239</v>
      </c>
      <c r="C253" s="80" t="s">
        <v>798</v>
      </c>
      <c r="D253" s="80" t="s">
        <v>1912</v>
      </c>
      <c r="E253" s="80" t="s">
        <v>754</v>
      </c>
      <c r="F253" s="81" t="s">
        <v>4021</v>
      </c>
      <c r="G253" s="80" t="s">
        <v>4022</v>
      </c>
      <c r="H253" s="80" t="s">
        <v>4023</v>
      </c>
      <c r="I253" s="80" t="s">
        <v>1913</v>
      </c>
      <c r="J253" s="80" t="s">
        <v>1914</v>
      </c>
    </row>
    <row r="254" spans="1:10">
      <c r="A254" s="79">
        <v>98629451101</v>
      </c>
      <c r="B254" s="80" t="s">
        <v>3239</v>
      </c>
      <c r="C254" s="80" t="s">
        <v>798</v>
      </c>
      <c r="D254" s="80" t="s">
        <v>618</v>
      </c>
      <c r="E254" s="80" t="s">
        <v>754</v>
      </c>
      <c r="F254" s="81" t="s">
        <v>4024</v>
      </c>
      <c r="G254" s="80" t="s">
        <v>4025</v>
      </c>
      <c r="H254" s="80" t="s">
        <v>4026</v>
      </c>
      <c r="I254" s="80" t="s">
        <v>1920</v>
      </c>
      <c r="J254" s="80" t="s">
        <v>1921</v>
      </c>
    </row>
    <row r="255" spans="1:10">
      <c r="A255" s="79">
        <v>98629411101</v>
      </c>
      <c r="B255" s="80" t="s">
        <v>3239</v>
      </c>
      <c r="C255" s="80" t="s">
        <v>798</v>
      </c>
      <c r="D255" s="80" t="s">
        <v>873</v>
      </c>
      <c r="E255" s="80" t="s">
        <v>754</v>
      </c>
      <c r="F255" s="81" t="s">
        <v>4027</v>
      </c>
      <c r="G255" s="80" t="s">
        <v>4028</v>
      </c>
      <c r="H255" s="80" t="s">
        <v>4029</v>
      </c>
      <c r="I255" s="80" t="s">
        <v>1857</v>
      </c>
      <c r="J255" s="80" t="s">
        <v>1858</v>
      </c>
    </row>
    <row r="256" spans="1:10">
      <c r="A256" s="79">
        <v>98629455101</v>
      </c>
      <c r="B256" s="80" t="s">
        <v>3239</v>
      </c>
      <c r="C256" s="80" t="s">
        <v>798</v>
      </c>
      <c r="D256" s="80" t="s">
        <v>1927</v>
      </c>
      <c r="E256" s="80" t="s">
        <v>754</v>
      </c>
      <c r="F256" s="81" t="s">
        <v>4030</v>
      </c>
      <c r="G256" s="80" t="s">
        <v>4031</v>
      </c>
      <c r="H256" s="80" t="s">
        <v>4032</v>
      </c>
      <c r="I256" s="80" t="s">
        <v>1019</v>
      </c>
      <c r="J256" s="80" t="s">
        <v>1928</v>
      </c>
    </row>
    <row r="257" spans="1:10">
      <c r="A257" s="79">
        <v>98629460101</v>
      </c>
      <c r="B257" s="80" t="s">
        <v>3239</v>
      </c>
      <c r="C257" s="80" t="s">
        <v>798</v>
      </c>
      <c r="D257" s="80" t="s">
        <v>1930</v>
      </c>
      <c r="E257" s="80" t="s">
        <v>754</v>
      </c>
      <c r="F257" s="81" t="s">
        <v>4033</v>
      </c>
      <c r="G257" s="80" t="s">
        <v>4034</v>
      </c>
      <c r="H257" s="80" t="s">
        <v>4035</v>
      </c>
      <c r="I257" s="80" t="s">
        <v>1931</v>
      </c>
      <c r="J257" s="80" t="s">
        <v>1932</v>
      </c>
    </row>
    <row r="258" spans="1:10">
      <c r="A258" s="79">
        <v>98629413101</v>
      </c>
      <c r="B258" s="80" t="s">
        <v>3239</v>
      </c>
      <c r="C258" s="80" t="s">
        <v>798</v>
      </c>
      <c r="D258" s="80" t="s">
        <v>1860</v>
      </c>
      <c r="E258" s="80" t="s">
        <v>754</v>
      </c>
      <c r="F258" s="81" t="s">
        <v>4036</v>
      </c>
      <c r="G258" s="80" t="s">
        <v>4037</v>
      </c>
      <c r="H258" s="80" t="s">
        <v>4038</v>
      </c>
      <c r="I258" s="80" t="s">
        <v>1861</v>
      </c>
      <c r="J258" s="80" t="s">
        <v>1862</v>
      </c>
    </row>
    <row r="259" spans="1:10">
      <c r="A259" s="79">
        <v>98629430106</v>
      </c>
      <c r="B259" s="80" t="s">
        <v>3239</v>
      </c>
      <c r="C259" s="80" t="s">
        <v>798</v>
      </c>
      <c r="D259" s="80" t="s">
        <v>1888</v>
      </c>
      <c r="E259" s="80" t="s">
        <v>754</v>
      </c>
      <c r="F259" s="81" t="s">
        <v>4039</v>
      </c>
      <c r="G259" s="80" t="s">
        <v>4040</v>
      </c>
      <c r="H259" s="80" t="s">
        <v>4041</v>
      </c>
      <c r="I259" s="80" t="s">
        <v>1889</v>
      </c>
      <c r="J259" s="80" t="s">
        <v>1890</v>
      </c>
    </row>
    <row r="260" spans="1:10">
      <c r="A260" s="79">
        <v>98629452101</v>
      </c>
      <c r="B260" s="80" t="s">
        <v>3239</v>
      </c>
      <c r="C260" s="80" t="s">
        <v>798</v>
      </c>
      <c r="D260" s="80" t="s">
        <v>1923</v>
      </c>
      <c r="E260" s="80" t="s">
        <v>754</v>
      </c>
      <c r="F260" s="81" t="s">
        <v>4042</v>
      </c>
      <c r="G260" s="80" t="s">
        <v>4043</v>
      </c>
      <c r="H260" s="80" t="s">
        <v>4044</v>
      </c>
      <c r="I260" s="80" t="s">
        <v>1924</v>
      </c>
      <c r="J260" s="80" t="s">
        <v>1925</v>
      </c>
    </row>
    <row r="261" spans="1:10">
      <c r="A261" s="79">
        <v>98629445106</v>
      </c>
      <c r="B261" s="80" t="s">
        <v>3239</v>
      </c>
      <c r="C261" s="80" t="s">
        <v>798</v>
      </c>
      <c r="D261" s="80" t="s">
        <v>760</v>
      </c>
      <c r="E261" s="80" t="s">
        <v>754</v>
      </c>
      <c r="F261" s="81" t="s">
        <v>4045</v>
      </c>
      <c r="G261" s="80" t="s">
        <v>4046</v>
      </c>
      <c r="H261" s="80" t="s">
        <v>4047</v>
      </c>
      <c r="I261" s="80" t="s">
        <v>1902</v>
      </c>
      <c r="J261" s="80" t="s">
        <v>1903</v>
      </c>
    </row>
    <row r="262" spans="1:10">
      <c r="A262" s="79">
        <v>98629430101</v>
      </c>
      <c r="B262" s="80" t="s">
        <v>3239</v>
      </c>
      <c r="C262" s="80" t="s">
        <v>798</v>
      </c>
      <c r="D262" s="80" t="s">
        <v>1885</v>
      </c>
      <c r="E262" s="80" t="s">
        <v>754</v>
      </c>
      <c r="F262" s="81" t="s">
        <v>4048</v>
      </c>
      <c r="G262" s="80" t="s">
        <v>4049</v>
      </c>
      <c r="H262" s="80" t="s">
        <v>4050</v>
      </c>
      <c r="I262" s="80" t="s">
        <v>1886</v>
      </c>
      <c r="J262" s="80" t="s">
        <v>1887</v>
      </c>
    </row>
    <row r="263" spans="1:10">
      <c r="A263" s="79">
        <v>98629440101</v>
      </c>
      <c r="B263" s="80" t="s">
        <v>3239</v>
      </c>
      <c r="C263" s="80" t="s">
        <v>798</v>
      </c>
      <c r="D263" s="80" t="s">
        <v>1895</v>
      </c>
      <c r="E263" s="80" t="s">
        <v>754</v>
      </c>
      <c r="F263" s="81" t="s">
        <v>4051</v>
      </c>
      <c r="G263" s="80" t="s">
        <v>4052</v>
      </c>
      <c r="H263" s="80" t="s">
        <v>4053</v>
      </c>
      <c r="I263" s="80" t="s">
        <v>1896</v>
      </c>
      <c r="J263" s="80" t="s">
        <v>1897</v>
      </c>
    </row>
    <row r="264" spans="1:10">
      <c r="A264" s="79">
        <v>98629463101</v>
      </c>
      <c r="B264" s="80" t="s">
        <v>3239</v>
      </c>
      <c r="C264" s="80" t="s">
        <v>798</v>
      </c>
      <c r="D264" s="80" t="s">
        <v>1938</v>
      </c>
      <c r="E264" s="80" t="s">
        <v>754</v>
      </c>
      <c r="F264" s="81" t="s">
        <v>4054</v>
      </c>
      <c r="G264" s="80" t="s">
        <v>4055</v>
      </c>
      <c r="H264" s="80" t="s">
        <v>4056</v>
      </c>
      <c r="I264" s="80" t="s">
        <v>1939</v>
      </c>
      <c r="J264" s="80" t="s">
        <v>1940</v>
      </c>
    </row>
    <row r="265" spans="1:10">
      <c r="A265" s="79">
        <v>98631152051</v>
      </c>
      <c r="B265" s="80" t="s">
        <v>3239</v>
      </c>
      <c r="C265" s="80" t="s">
        <v>808</v>
      </c>
      <c r="D265" s="80" t="s">
        <v>1963</v>
      </c>
      <c r="E265" s="80" t="s">
        <v>819</v>
      </c>
      <c r="F265" s="81" t="s">
        <v>4057</v>
      </c>
      <c r="G265" s="80" t="s">
        <v>4058</v>
      </c>
      <c r="H265" s="80" t="s">
        <v>4059</v>
      </c>
      <c r="I265" s="80" t="s">
        <v>1964</v>
      </c>
      <c r="J265" s="80" t="s">
        <v>1965</v>
      </c>
    </row>
    <row r="266" spans="1:10">
      <c r="A266" s="79">
        <v>98631155051</v>
      </c>
      <c r="B266" s="80" t="s">
        <v>3239</v>
      </c>
      <c r="C266" s="80" t="s">
        <v>808</v>
      </c>
      <c r="D266" s="80" t="s">
        <v>1969</v>
      </c>
      <c r="E266" s="80" t="s">
        <v>819</v>
      </c>
      <c r="F266" s="81" t="s">
        <v>4060</v>
      </c>
      <c r="G266" s="80" t="s">
        <v>4061</v>
      </c>
      <c r="H266" s="80" t="s">
        <v>4062</v>
      </c>
      <c r="I266" s="80" t="s">
        <v>1970</v>
      </c>
      <c r="J266" s="80" t="s">
        <v>1971</v>
      </c>
    </row>
    <row r="267" spans="1:10">
      <c r="A267" s="79">
        <v>98631450101</v>
      </c>
      <c r="B267" s="80" t="s">
        <v>3239</v>
      </c>
      <c r="C267" s="80" t="s">
        <v>808</v>
      </c>
      <c r="D267" s="80" t="s">
        <v>856</v>
      </c>
      <c r="E267" s="80" t="s">
        <v>754</v>
      </c>
      <c r="F267" s="81" t="s">
        <v>4063</v>
      </c>
      <c r="G267" s="80" t="s">
        <v>4064</v>
      </c>
      <c r="H267" s="80" t="s">
        <v>4065</v>
      </c>
      <c r="I267" s="80" t="s">
        <v>1991</v>
      </c>
      <c r="J267" s="80" t="s">
        <v>1992</v>
      </c>
    </row>
    <row r="268" spans="1:10">
      <c r="A268" s="79">
        <v>98631155106</v>
      </c>
      <c r="B268" s="80" t="s">
        <v>3239</v>
      </c>
      <c r="C268" s="80" t="s">
        <v>808</v>
      </c>
      <c r="D268" s="80" t="s">
        <v>810</v>
      </c>
      <c r="E268" s="80" t="s">
        <v>754</v>
      </c>
      <c r="F268" s="81" t="s">
        <v>4066</v>
      </c>
      <c r="G268" s="80" t="s">
        <v>4067</v>
      </c>
      <c r="H268" s="80" t="s">
        <v>4068</v>
      </c>
      <c r="I268" s="80" t="s">
        <v>4069</v>
      </c>
      <c r="J268" s="80" t="s">
        <v>4070</v>
      </c>
    </row>
    <row r="269" spans="1:10">
      <c r="A269" s="79">
        <v>98631450106</v>
      </c>
      <c r="B269" s="80" t="s">
        <v>3239</v>
      </c>
      <c r="C269" s="80" t="s">
        <v>808</v>
      </c>
      <c r="D269" s="80" t="s">
        <v>1993</v>
      </c>
      <c r="E269" s="80" t="s">
        <v>819</v>
      </c>
      <c r="F269" s="81" t="s">
        <v>4071</v>
      </c>
      <c r="G269" s="80" t="s">
        <v>4072</v>
      </c>
      <c r="H269" s="80" t="s">
        <v>4073</v>
      </c>
      <c r="I269" s="80" t="s">
        <v>1994</v>
      </c>
      <c r="J269" s="80" t="s">
        <v>1995</v>
      </c>
    </row>
    <row r="270" spans="1:10">
      <c r="A270" s="79">
        <v>98631101001</v>
      </c>
      <c r="B270" s="80" t="s">
        <v>3239</v>
      </c>
      <c r="C270" s="80" t="s">
        <v>808</v>
      </c>
      <c r="D270" s="80" t="s">
        <v>1950</v>
      </c>
      <c r="E270" s="80" t="s">
        <v>740</v>
      </c>
      <c r="F270" s="81" t="s">
        <v>4074</v>
      </c>
      <c r="G270" s="80" t="s">
        <v>4075</v>
      </c>
      <c r="H270" s="80" t="s">
        <v>4076</v>
      </c>
      <c r="I270" s="80" t="s">
        <v>1951</v>
      </c>
      <c r="J270" s="80" t="s">
        <v>1952</v>
      </c>
    </row>
    <row r="271" spans="1:10">
      <c r="A271" s="79">
        <v>98631152106</v>
      </c>
      <c r="B271" s="80" t="s">
        <v>3239</v>
      </c>
      <c r="C271" s="80" t="s">
        <v>808</v>
      </c>
      <c r="D271" s="80" t="s">
        <v>558</v>
      </c>
      <c r="E271" s="80" t="s">
        <v>754</v>
      </c>
      <c r="F271" s="81" t="s">
        <v>4077</v>
      </c>
      <c r="G271" s="80" t="s">
        <v>4078</v>
      </c>
      <c r="H271" s="80" t="s">
        <v>4079</v>
      </c>
      <c r="I271" s="80" t="s">
        <v>1966</v>
      </c>
      <c r="J271" s="80" t="s">
        <v>1967</v>
      </c>
    </row>
    <row r="272" spans="1:10">
      <c r="A272" s="79">
        <v>98631155111</v>
      </c>
      <c r="B272" s="80" t="s">
        <v>3239</v>
      </c>
      <c r="C272" s="80" t="s">
        <v>808</v>
      </c>
      <c r="D272" s="80" t="s">
        <v>1972</v>
      </c>
      <c r="E272" s="80" t="s">
        <v>819</v>
      </c>
      <c r="F272" s="81" t="s">
        <v>4080</v>
      </c>
      <c r="G272" s="80" t="s">
        <v>4081</v>
      </c>
      <c r="H272" s="80" t="s">
        <v>4082</v>
      </c>
      <c r="I272" s="80" t="s">
        <v>1973</v>
      </c>
      <c r="J272" s="80" t="s">
        <v>1974</v>
      </c>
    </row>
    <row r="273" spans="1:10">
      <c r="A273" s="79">
        <v>98631109106</v>
      </c>
      <c r="B273" s="80" t="s">
        <v>3239</v>
      </c>
      <c r="C273" s="80" t="s">
        <v>808</v>
      </c>
      <c r="D273" s="80" t="s">
        <v>1959</v>
      </c>
      <c r="E273" s="80" t="s">
        <v>754</v>
      </c>
      <c r="F273" s="81" t="s">
        <v>4083</v>
      </c>
      <c r="G273" s="80" t="s">
        <v>4084</v>
      </c>
      <c r="H273" s="80" t="s">
        <v>4085</v>
      </c>
      <c r="I273" s="80" t="s">
        <v>1960</v>
      </c>
      <c r="J273" s="80" t="s">
        <v>1961</v>
      </c>
    </row>
    <row r="274" spans="1:10">
      <c r="A274" s="79">
        <v>98631157051</v>
      </c>
      <c r="B274" s="80" t="s">
        <v>3239</v>
      </c>
      <c r="C274" s="80" t="s">
        <v>808</v>
      </c>
      <c r="D274" s="80" t="s">
        <v>1976</v>
      </c>
      <c r="E274" s="80" t="s">
        <v>819</v>
      </c>
      <c r="F274" s="81" t="s">
        <v>4086</v>
      </c>
      <c r="G274" s="80" t="s">
        <v>4087</v>
      </c>
      <c r="H274" s="80" t="s">
        <v>4088</v>
      </c>
      <c r="I274" s="80" t="s">
        <v>1977</v>
      </c>
      <c r="J274" s="80" t="s">
        <v>1978</v>
      </c>
    </row>
    <row r="275" spans="1:10">
      <c r="A275" s="79">
        <v>98631428101</v>
      </c>
      <c r="B275" s="80" t="s">
        <v>3239</v>
      </c>
      <c r="C275" s="80" t="s">
        <v>808</v>
      </c>
      <c r="D275" s="80" t="s">
        <v>495</v>
      </c>
      <c r="E275" s="80" t="s">
        <v>754</v>
      </c>
      <c r="F275" s="81" t="s">
        <v>4089</v>
      </c>
      <c r="G275" s="80" t="s">
        <v>4090</v>
      </c>
      <c r="H275" s="80" t="s">
        <v>4091</v>
      </c>
      <c r="I275" s="80" t="s">
        <v>1988</v>
      </c>
      <c r="J275" s="80" t="s">
        <v>1989</v>
      </c>
    </row>
    <row r="276" spans="1:10">
      <c r="A276" s="79">
        <v>98631404101</v>
      </c>
      <c r="B276" s="80" t="s">
        <v>3239</v>
      </c>
      <c r="C276" s="80" t="s">
        <v>808</v>
      </c>
      <c r="D276" s="80" t="s">
        <v>1984</v>
      </c>
      <c r="E276" s="80" t="s">
        <v>754</v>
      </c>
      <c r="F276" s="81" t="s">
        <v>4092</v>
      </c>
      <c r="G276" s="80" t="s">
        <v>4093</v>
      </c>
      <c r="H276" s="80" t="s">
        <v>4094</v>
      </c>
      <c r="I276" s="80" t="s">
        <v>1985</v>
      </c>
      <c r="J276" s="80" t="s">
        <v>1986</v>
      </c>
    </row>
    <row r="277" spans="1:10">
      <c r="A277" s="79">
        <v>98631109001</v>
      </c>
      <c r="B277" s="80" t="s">
        <v>3239</v>
      </c>
      <c r="C277" s="80" t="s">
        <v>808</v>
      </c>
      <c r="D277" s="80" t="s">
        <v>1956</v>
      </c>
      <c r="E277" s="80" t="s">
        <v>740</v>
      </c>
      <c r="F277" s="81" t="s">
        <v>4095</v>
      </c>
      <c r="G277" s="80" t="s">
        <v>4096</v>
      </c>
      <c r="H277" s="80" t="s">
        <v>4097</v>
      </c>
      <c r="I277" s="80" t="s">
        <v>1957</v>
      </c>
      <c r="J277" s="80" t="s">
        <v>1958</v>
      </c>
    </row>
    <row r="278" spans="1:10">
      <c r="A278" s="79">
        <v>98631162051</v>
      </c>
      <c r="B278" s="80" t="s">
        <v>3239</v>
      </c>
      <c r="C278" s="80" t="s">
        <v>808</v>
      </c>
      <c r="D278" s="80" t="s">
        <v>1980</v>
      </c>
      <c r="E278" s="80" t="s">
        <v>819</v>
      </c>
      <c r="F278" s="81" t="s">
        <v>4098</v>
      </c>
      <c r="G278" s="80" t="s">
        <v>4099</v>
      </c>
      <c r="H278" s="80" t="s">
        <v>4100</v>
      </c>
      <c r="I278" s="80" t="s">
        <v>978</v>
      </c>
      <c r="J278" s="80" t="s">
        <v>1981</v>
      </c>
    </row>
    <row r="279" spans="1:10">
      <c r="A279" s="79">
        <v>98633414101</v>
      </c>
      <c r="B279" s="80" t="s">
        <v>3239</v>
      </c>
      <c r="C279" s="80" t="s">
        <v>4101</v>
      </c>
      <c r="D279" s="80" t="s">
        <v>2004</v>
      </c>
      <c r="E279" s="80" t="s">
        <v>754</v>
      </c>
      <c r="F279" s="81" t="s">
        <v>4102</v>
      </c>
      <c r="G279" s="80" t="s">
        <v>4103</v>
      </c>
      <c r="H279" s="80" t="s">
        <v>4104</v>
      </c>
      <c r="I279" s="80" t="s">
        <v>2005</v>
      </c>
      <c r="J279" s="80" t="s">
        <v>2006</v>
      </c>
    </row>
    <row r="280" spans="1:10">
      <c r="A280" s="79">
        <v>98633405101</v>
      </c>
      <c r="B280" s="80" t="s">
        <v>3239</v>
      </c>
      <c r="C280" s="80" t="s">
        <v>4101</v>
      </c>
      <c r="D280" s="80" t="s">
        <v>2000</v>
      </c>
      <c r="E280" s="80" t="s">
        <v>754</v>
      </c>
      <c r="F280" s="81" t="s">
        <v>4105</v>
      </c>
      <c r="G280" s="80" t="s">
        <v>4106</v>
      </c>
      <c r="H280" s="80" t="s">
        <v>4107</v>
      </c>
      <c r="I280" s="80" t="s">
        <v>2001</v>
      </c>
      <c r="J280" s="80" t="s">
        <v>2002</v>
      </c>
    </row>
    <row r="281" spans="1:10">
      <c r="A281" s="79">
        <v>98633435101</v>
      </c>
      <c r="B281" s="80" t="s">
        <v>3239</v>
      </c>
      <c r="C281" s="80" t="s">
        <v>4101</v>
      </c>
      <c r="D281" s="80" t="s">
        <v>2022</v>
      </c>
      <c r="E281" s="80" t="s">
        <v>754</v>
      </c>
      <c r="F281" s="81" t="s">
        <v>4108</v>
      </c>
      <c r="G281" s="80" t="s">
        <v>4109</v>
      </c>
      <c r="H281" s="80" t="s">
        <v>4110</v>
      </c>
      <c r="I281" s="80" t="s">
        <v>2023</v>
      </c>
      <c r="J281" s="80" t="s">
        <v>2024</v>
      </c>
    </row>
    <row r="282" spans="1:10">
      <c r="A282" s="79">
        <v>98633428101</v>
      </c>
      <c r="B282" s="80" t="s">
        <v>3239</v>
      </c>
      <c r="C282" s="80" t="s">
        <v>4101</v>
      </c>
      <c r="D282" s="80" t="s">
        <v>2014</v>
      </c>
      <c r="E282" s="80" t="s">
        <v>754</v>
      </c>
      <c r="F282" s="81" t="s">
        <v>4111</v>
      </c>
      <c r="G282" s="80" t="s">
        <v>4112</v>
      </c>
      <c r="H282" s="80" t="s">
        <v>4113</v>
      </c>
      <c r="I282" s="80" t="s">
        <v>2015</v>
      </c>
      <c r="J282" s="80" t="s">
        <v>2016</v>
      </c>
    </row>
    <row r="283" spans="1:10">
      <c r="A283" s="79">
        <v>98633423106</v>
      </c>
      <c r="B283" s="80" t="s">
        <v>3239</v>
      </c>
      <c r="C283" s="80" t="s">
        <v>4101</v>
      </c>
      <c r="D283" s="80" t="s">
        <v>318</v>
      </c>
      <c r="E283" s="80" t="s">
        <v>754</v>
      </c>
      <c r="F283" s="81" t="s">
        <v>4114</v>
      </c>
      <c r="G283" s="80" t="s">
        <v>4115</v>
      </c>
      <c r="H283" s="80" t="s">
        <v>4116</v>
      </c>
      <c r="I283" s="80" t="s">
        <v>2011</v>
      </c>
      <c r="J283" s="80" t="s">
        <v>2012</v>
      </c>
    </row>
    <row r="284" spans="1:10">
      <c r="A284" s="79">
        <v>98633423101</v>
      </c>
      <c r="B284" s="80" t="s">
        <v>3239</v>
      </c>
      <c r="C284" s="80" t="s">
        <v>4101</v>
      </c>
      <c r="D284" s="80" t="s">
        <v>2008</v>
      </c>
      <c r="E284" s="80" t="s">
        <v>754</v>
      </c>
      <c r="F284" s="81" t="s">
        <v>4117</v>
      </c>
      <c r="G284" s="80" t="s">
        <v>4118</v>
      </c>
      <c r="H284" s="80" t="s">
        <v>4119</v>
      </c>
      <c r="I284" s="80" t="s">
        <v>2009</v>
      </c>
      <c r="J284" s="80" t="s">
        <v>2010</v>
      </c>
    </row>
    <row r="285" spans="1:10">
      <c r="A285" s="79">
        <v>98633430101</v>
      </c>
      <c r="B285" s="80" t="s">
        <v>3239</v>
      </c>
      <c r="C285" s="80" t="s">
        <v>4101</v>
      </c>
      <c r="D285" s="80" t="s">
        <v>2018</v>
      </c>
      <c r="E285" s="80" t="s">
        <v>754</v>
      </c>
      <c r="F285" s="81" t="s">
        <v>4120</v>
      </c>
      <c r="G285" s="80" t="s">
        <v>4121</v>
      </c>
      <c r="H285" s="80" t="s">
        <v>4122</v>
      </c>
      <c r="I285" s="80" t="s">
        <v>2019</v>
      </c>
      <c r="J285" s="80" t="s">
        <v>2020</v>
      </c>
    </row>
    <row r="286" spans="1:10">
      <c r="A286" s="79">
        <v>98635455101</v>
      </c>
      <c r="B286" s="80" t="s">
        <v>3239</v>
      </c>
      <c r="C286" s="80" t="s">
        <v>759</v>
      </c>
      <c r="D286" s="80" t="s">
        <v>2079</v>
      </c>
      <c r="E286" s="80" t="s">
        <v>754</v>
      </c>
      <c r="F286" s="81" t="s">
        <v>4123</v>
      </c>
      <c r="G286" s="80" t="s">
        <v>4124</v>
      </c>
      <c r="H286" s="80" t="s">
        <v>4125</v>
      </c>
      <c r="I286" s="80" t="s">
        <v>2080</v>
      </c>
      <c r="J286" s="80" t="s">
        <v>2081</v>
      </c>
    </row>
    <row r="287" spans="1:10">
      <c r="A287" s="79">
        <v>98635445101</v>
      </c>
      <c r="B287" s="80" t="s">
        <v>3239</v>
      </c>
      <c r="C287" s="80" t="s">
        <v>759</v>
      </c>
      <c r="D287" s="80" t="s">
        <v>2067</v>
      </c>
      <c r="E287" s="80" t="s">
        <v>754</v>
      </c>
      <c r="F287" s="81" t="s">
        <v>4126</v>
      </c>
      <c r="G287" s="80" t="s">
        <v>4127</v>
      </c>
      <c r="H287" s="80" t="s">
        <v>4128</v>
      </c>
      <c r="I287" s="80" t="s">
        <v>2068</v>
      </c>
      <c r="J287" s="80" t="s">
        <v>2069</v>
      </c>
    </row>
    <row r="288" spans="1:10">
      <c r="A288" s="79">
        <v>98635410101</v>
      </c>
      <c r="B288" s="80" t="s">
        <v>3239</v>
      </c>
      <c r="C288" s="80" t="s">
        <v>759</v>
      </c>
      <c r="D288" s="80" t="s">
        <v>2030</v>
      </c>
      <c r="E288" s="80" t="s">
        <v>754</v>
      </c>
      <c r="F288" s="81" t="s">
        <v>4129</v>
      </c>
      <c r="G288" s="80" t="s">
        <v>4130</v>
      </c>
      <c r="H288" s="80" t="s">
        <v>4131</v>
      </c>
      <c r="I288" s="80" t="s">
        <v>2031</v>
      </c>
      <c r="J288" s="80" t="s">
        <v>2032</v>
      </c>
    </row>
    <row r="289" spans="1:10">
      <c r="A289" s="79">
        <v>98635466106</v>
      </c>
      <c r="B289" s="80" t="s">
        <v>3239</v>
      </c>
      <c r="C289" s="80" t="s">
        <v>759</v>
      </c>
      <c r="D289" s="80" t="s">
        <v>2098</v>
      </c>
      <c r="E289" s="80" t="s">
        <v>754</v>
      </c>
      <c r="F289" s="81" t="s">
        <v>4132</v>
      </c>
      <c r="G289" s="80" t="s">
        <v>4133</v>
      </c>
      <c r="H289" s="80" t="s">
        <v>4134</v>
      </c>
      <c r="I289" s="80" t="s">
        <v>2099</v>
      </c>
      <c r="J289" s="80" t="s">
        <v>2100</v>
      </c>
    </row>
    <row r="290" spans="1:10">
      <c r="A290" s="79">
        <v>98635455106</v>
      </c>
      <c r="B290" s="80" t="s">
        <v>3239</v>
      </c>
      <c r="C290" s="80" t="s">
        <v>759</v>
      </c>
      <c r="D290" s="80" t="s">
        <v>2082</v>
      </c>
      <c r="E290" s="80" t="s">
        <v>754</v>
      </c>
      <c r="F290" s="81" t="s">
        <v>4135</v>
      </c>
      <c r="G290" s="80" t="s">
        <v>4136</v>
      </c>
      <c r="H290" s="80" t="s">
        <v>4137</v>
      </c>
      <c r="I290" s="80" t="s">
        <v>2083</v>
      </c>
      <c r="J290" s="80" t="s">
        <v>2084</v>
      </c>
    </row>
    <row r="291" spans="1:10">
      <c r="A291" s="79">
        <v>98635443101</v>
      </c>
      <c r="B291" s="80" t="s">
        <v>3239</v>
      </c>
      <c r="C291" s="80" t="s">
        <v>759</v>
      </c>
      <c r="D291" s="80" t="s">
        <v>4138</v>
      </c>
      <c r="E291" s="80" t="s">
        <v>754</v>
      </c>
      <c r="F291" s="81" t="s">
        <v>4139</v>
      </c>
      <c r="G291" s="80" t="s">
        <v>4140</v>
      </c>
      <c r="H291" s="80" t="s">
        <v>4141</v>
      </c>
      <c r="I291" s="80" t="s">
        <v>2064</v>
      </c>
      <c r="J291" s="80" t="s">
        <v>2065</v>
      </c>
    </row>
    <row r="292" spans="1:10">
      <c r="A292" s="79">
        <v>98635450101</v>
      </c>
      <c r="B292" s="80" t="s">
        <v>3239</v>
      </c>
      <c r="C292" s="80" t="s">
        <v>759</v>
      </c>
      <c r="D292" s="80" t="s">
        <v>2075</v>
      </c>
      <c r="E292" s="80" t="s">
        <v>754</v>
      </c>
      <c r="F292" s="81" t="s">
        <v>4142</v>
      </c>
      <c r="G292" s="80" t="s">
        <v>4143</v>
      </c>
      <c r="H292" s="80" t="s">
        <v>4144</v>
      </c>
      <c r="I292" s="80" t="s">
        <v>2076</v>
      </c>
      <c r="J292" s="80" t="s">
        <v>2077</v>
      </c>
    </row>
    <row r="293" spans="1:10">
      <c r="A293" s="79">
        <v>98635455111</v>
      </c>
      <c r="B293" s="80" t="s">
        <v>3239</v>
      </c>
      <c r="C293" s="80" t="s">
        <v>759</v>
      </c>
      <c r="D293" s="80" t="s">
        <v>2085</v>
      </c>
      <c r="E293" s="80" t="s">
        <v>754</v>
      </c>
      <c r="F293" s="81" t="s">
        <v>4145</v>
      </c>
      <c r="G293" s="80" t="s">
        <v>4146</v>
      </c>
      <c r="H293" s="80" t="s">
        <v>4147</v>
      </c>
      <c r="I293" s="80" t="s">
        <v>2086</v>
      </c>
      <c r="J293" s="80" t="s">
        <v>2087</v>
      </c>
    </row>
    <row r="294" spans="1:10">
      <c r="A294" s="79">
        <v>98635465101</v>
      </c>
      <c r="B294" s="80" t="s">
        <v>3239</v>
      </c>
      <c r="C294" s="80" t="s">
        <v>759</v>
      </c>
      <c r="D294" s="80" t="s">
        <v>1427</v>
      </c>
      <c r="E294" s="80" t="s">
        <v>754</v>
      </c>
      <c r="F294" s="81" t="s">
        <v>4148</v>
      </c>
      <c r="G294" s="80" t="s">
        <v>4149</v>
      </c>
      <c r="H294" s="80" t="s">
        <v>4150</v>
      </c>
      <c r="I294" s="80" t="s">
        <v>2092</v>
      </c>
      <c r="J294" s="80" t="s">
        <v>2093</v>
      </c>
    </row>
    <row r="295" spans="1:10">
      <c r="A295" s="79">
        <v>98635417101</v>
      </c>
      <c r="B295" s="80" t="s">
        <v>3239</v>
      </c>
      <c r="C295" s="80" t="s">
        <v>759</v>
      </c>
      <c r="D295" s="80" t="s">
        <v>2037</v>
      </c>
      <c r="E295" s="80" t="s">
        <v>754</v>
      </c>
      <c r="F295" s="81" t="s">
        <v>4151</v>
      </c>
      <c r="G295" s="80" t="s">
        <v>4152</v>
      </c>
      <c r="H295" s="80" t="s">
        <v>4153</v>
      </c>
      <c r="I295" s="80" t="s">
        <v>2038</v>
      </c>
      <c r="J295" s="80" t="s">
        <v>2039</v>
      </c>
    </row>
    <row r="296" spans="1:10">
      <c r="A296" s="79">
        <v>98635470101</v>
      </c>
      <c r="B296" s="80" t="s">
        <v>3239</v>
      </c>
      <c r="C296" s="80" t="s">
        <v>759</v>
      </c>
      <c r="D296" s="80" t="s">
        <v>2108</v>
      </c>
      <c r="E296" s="80" t="s">
        <v>754</v>
      </c>
      <c r="F296" s="81" t="s">
        <v>4154</v>
      </c>
      <c r="G296" s="80" t="s">
        <v>4155</v>
      </c>
      <c r="H296" s="80" t="s">
        <v>4156</v>
      </c>
      <c r="I296" s="80" t="s">
        <v>2109</v>
      </c>
      <c r="J296" s="80" t="s">
        <v>2110</v>
      </c>
    </row>
    <row r="297" spans="1:10">
      <c r="A297" s="79">
        <v>98635425101</v>
      </c>
      <c r="B297" s="80" t="s">
        <v>3239</v>
      </c>
      <c r="C297" s="80" t="s">
        <v>759</v>
      </c>
      <c r="D297" s="80" t="s">
        <v>2044</v>
      </c>
      <c r="E297" s="80" t="s">
        <v>754</v>
      </c>
      <c r="F297" s="81" t="s">
        <v>4157</v>
      </c>
      <c r="G297" s="80" t="s">
        <v>4158</v>
      </c>
      <c r="H297" s="80" t="s">
        <v>4159</v>
      </c>
      <c r="I297" s="80" t="s">
        <v>2045</v>
      </c>
      <c r="J297" s="80" t="s">
        <v>2046</v>
      </c>
    </row>
    <row r="298" spans="1:10">
      <c r="A298" s="79">
        <v>98635432101</v>
      </c>
      <c r="B298" s="80" t="s">
        <v>3239</v>
      </c>
      <c r="C298" s="80" t="s">
        <v>759</v>
      </c>
      <c r="D298" s="80" t="s">
        <v>2051</v>
      </c>
      <c r="E298" s="80" t="s">
        <v>754</v>
      </c>
      <c r="F298" s="81" t="s">
        <v>4160</v>
      </c>
      <c r="G298" s="80" t="s">
        <v>4161</v>
      </c>
      <c r="H298" s="80" t="s">
        <v>4162</v>
      </c>
      <c r="I298" s="80" t="s">
        <v>2052</v>
      </c>
      <c r="J298" s="80" t="s">
        <v>2053</v>
      </c>
    </row>
    <row r="299" spans="1:10">
      <c r="A299" s="79">
        <v>98635435101</v>
      </c>
      <c r="B299" s="80" t="s">
        <v>3239</v>
      </c>
      <c r="C299" s="80" t="s">
        <v>759</v>
      </c>
      <c r="D299" s="80" t="s">
        <v>2055</v>
      </c>
      <c r="E299" s="80" t="s">
        <v>754</v>
      </c>
      <c r="F299" s="81" t="s">
        <v>4163</v>
      </c>
      <c r="G299" s="80" t="s">
        <v>4164</v>
      </c>
      <c r="H299" s="80" t="s">
        <v>4165</v>
      </c>
      <c r="I299" s="80" t="s">
        <v>2056</v>
      </c>
      <c r="J299" s="80" t="s">
        <v>2057</v>
      </c>
    </row>
    <row r="300" spans="1:10">
      <c r="A300" s="79">
        <v>98635460101</v>
      </c>
      <c r="B300" s="80" t="s">
        <v>3239</v>
      </c>
      <c r="C300" s="80" t="s">
        <v>759</v>
      </c>
      <c r="D300" s="80" t="s">
        <v>1375</v>
      </c>
      <c r="E300" s="80" t="s">
        <v>754</v>
      </c>
      <c r="F300" s="81" t="s">
        <v>4166</v>
      </c>
      <c r="G300" s="80" t="s">
        <v>4167</v>
      </c>
      <c r="H300" s="80" t="s">
        <v>4168</v>
      </c>
      <c r="I300" s="80" t="s">
        <v>2089</v>
      </c>
      <c r="J300" s="80" t="s">
        <v>2090</v>
      </c>
    </row>
    <row r="301" spans="1:10">
      <c r="A301" s="79">
        <v>98635405101</v>
      </c>
      <c r="B301" s="80" t="s">
        <v>3239</v>
      </c>
      <c r="C301" s="80" t="s">
        <v>759</v>
      </c>
      <c r="D301" s="80" t="s">
        <v>2027</v>
      </c>
      <c r="E301" s="80" t="s">
        <v>754</v>
      </c>
      <c r="F301" s="81" t="s">
        <v>4169</v>
      </c>
      <c r="G301" s="80" t="s">
        <v>4170</v>
      </c>
      <c r="H301" s="80" t="s">
        <v>4171</v>
      </c>
      <c r="I301" s="80" t="s">
        <v>2028</v>
      </c>
      <c r="J301" s="80" t="s">
        <v>2029</v>
      </c>
    </row>
    <row r="302" spans="1:10">
      <c r="A302" s="79">
        <v>98635466111</v>
      </c>
      <c r="B302" s="80" t="s">
        <v>3239</v>
      </c>
      <c r="C302" s="80" t="s">
        <v>759</v>
      </c>
      <c r="D302" s="80" t="s">
        <v>2101</v>
      </c>
      <c r="E302" s="80" t="s">
        <v>754</v>
      </c>
      <c r="F302" s="81" t="s">
        <v>4172</v>
      </c>
      <c r="G302" s="80" t="s">
        <v>4173</v>
      </c>
      <c r="H302" s="80" t="s">
        <v>4174</v>
      </c>
      <c r="I302" s="80" t="s">
        <v>2102</v>
      </c>
      <c r="J302" s="80" t="s">
        <v>2103</v>
      </c>
    </row>
    <row r="303" spans="1:10">
      <c r="A303" s="79">
        <v>98635430101</v>
      </c>
      <c r="B303" s="80" t="s">
        <v>3239</v>
      </c>
      <c r="C303" s="80" t="s">
        <v>759</v>
      </c>
      <c r="D303" s="80" t="s">
        <v>873</v>
      </c>
      <c r="E303" s="80" t="s">
        <v>754</v>
      </c>
      <c r="F303" s="81" t="s">
        <v>4175</v>
      </c>
      <c r="G303" s="80" t="s">
        <v>4176</v>
      </c>
      <c r="H303" s="80" t="s">
        <v>4177</v>
      </c>
      <c r="I303" s="80" t="s">
        <v>2048</v>
      </c>
      <c r="J303" s="80" t="s">
        <v>2049</v>
      </c>
    </row>
    <row r="304" spans="1:10">
      <c r="A304" s="79">
        <v>98635447101</v>
      </c>
      <c r="B304" s="80" t="s">
        <v>3239</v>
      </c>
      <c r="C304" s="80" t="s">
        <v>759</v>
      </c>
      <c r="D304" s="80" t="s">
        <v>2071</v>
      </c>
      <c r="E304" s="80" t="s">
        <v>754</v>
      </c>
      <c r="F304" s="81" t="s">
        <v>4178</v>
      </c>
      <c r="G304" s="80" t="s">
        <v>4179</v>
      </c>
      <c r="H304" s="80" t="s">
        <v>4180</v>
      </c>
      <c r="I304" s="80" t="s">
        <v>2072</v>
      </c>
      <c r="J304" s="80" t="s">
        <v>2073</v>
      </c>
    </row>
    <row r="305" spans="1:10">
      <c r="A305" s="79">
        <v>98635420101</v>
      </c>
      <c r="B305" s="80" t="s">
        <v>3239</v>
      </c>
      <c r="C305" s="80" t="s">
        <v>759</v>
      </c>
      <c r="D305" s="80" t="s">
        <v>1240</v>
      </c>
      <c r="E305" s="80" t="s">
        <v>754</v>
      </c>
      <c r="F305" s="81" t="s">
        <v>4181</v>
      </c>
      <c r="G305" s="80" t="s">
        <v>4182</v>
      </c>
      <c r="H305" s="80" t="s">
        <v>4183</v>
      </c>
      <c r="I305" s="80" t="s">
        <v>2041</v>
      </c>
      <c r="J305" s="80" t="s">
        <v>2042</v>
      </c>
    </row>
    <row r="306" spans="1:10">
      <c r="A306" s="79">
        <v>98635466101</v>
      </c>
      <c r="B306" s="80" t="s">
        <v>3239</v>
      </c>
      <c r="C306" s="80" t="s">
        <v>759</v>
      </c>
      <c r="D306" s="80" t="s">
        <v>2095</v>
      </c>
      <c r="E306" s="80" t="s">
        <v>754</v>
      </c>
      <c r="F306" s="81" t="s">
        <v>4184</v>
      </c>
      <c r="G306" s="80" t="s">
        <v>4185</v>
      </c>
      <c r="H306" s="80" t="s">
        <v>4186</v>
      </c>
      <c r="I306" s="80" t="s">
        <v>2096</v>
      </c>
      <c r="J306" s="80" t="s">
        <v>2097</v>
      </c>
    </row>
    <row r="307" spans="1:10">
      <c r="A307" s="79">
        <v>98635440101</v>
      </c>
      <c r="B307" s="80" t="s">
        <v>3239</v>
      </c>
      <c r="C307" s="80" t="s">
        <v>759</v>
      </c>
      <c r="D307" s="80" t="s">
        <v>2059</v>
      </c>
      <c r="E307" s="80" t="s">
        <v>754</v>
      </c>
      <c r="F307" s="81" t="s">
        <v>4187</v>
      </c>
      <c r="G307" s="80" t="s">
        <v>4188</v>
      </c>
      <c r="H307" s="80" t="s">
        <v>4189</v>
      </c>
      <c r="I307" s="80" t="s">
        <v>2060</v>
      </c>
      <c r="J307" s="80" t="s">
        <v>2061</v>
      </c>
    </row>
    <row r="308" spans="1:10">
      <c r="A308" s="79">
        <v>98635415101</v>
      </c>
      <c r="B308" s="80" t="s">
        <v>3239</v>
      </c>
      <c r="C308" s="80" t="s">
        <v>759</v>
      </c>
      <c r="D308" s="80" t="s">
        <v>2033</v>
      </c>
      <c r="E308" s="80" t="s">
        <v>754</v>
      </c>
      <c r="F308" s="81" t="s">
        <v>4190</v>
      </c>
      <c r="G308" s="80" t="s">
        <v>4191</v>
      </c>
      <c r="H308" s="80" t="s">
        <v>4192</v>
      </c>
      <c r="I308" s="80" t="s">
        <v>2034</v>
      </c>
      <c r="J308" s="80" t="s">
        <v>2035</v>
      </c>
    </row>
    <row r="309" spans="1:10">
      <c r="A309" s="79">
        <v>98635466116</v>
      </c>
      <c r="B309" s="80" t="s">
        <v>3239</v>
      </c>
      <c r="C309" s="80" t="s">
        <v>759</v>
      </c>
      <c r="D309" s="80" t="s">
        <v>2104</v>
      </c>
      <c r="E309" s="80" t="s">
        <v>754</v>
      </c>
      <c r="F309" s="81" t="s">
        <v>4193</v>
      </c>
      <c r="G309" s="80" t="s">
        <v>4194</v>
      </c>
      <c r="H309" s="80" t="s">
        <v>4195</v>
      </c>
      <c r="I309" s="80" t="s">
        <v>2105</v>
      </c>
      <c r="J309" s="80" t="s">
        <v>2106</v>
      </c>
    </row>
    <row r="310" spans="1:10">
      <c r="A310" s="79">
        <v>98660152051</v>
      </c>
      <c r="B310" s="80" t="s">
        <v>3239</v>
      </c>
      <c r="C310" s="80" t="s">
        <v>4196</v>
      </c>
      <c r="D310" s="80" t="s">
        <v>3027</v>
      </c>
      <c r="E310" s="80" t="s">
        <v>819</v>
      </c>
      <c r="F310" s="81" t="s">
        <v>4197</v>
      </c>
      <c r="G310" s="80" t="s">
        <v>4198</v>
      </c>
      <c r="H310" s="80" t="s">
        <v>4199</v>
      </c>
      <c r="I310" s="80" t="s">
        <v>3028</v>
      </c>
      <c r="J310" s="80" t="s">
        <v>3029</v>
      </c>
    </row>
    <row r="311" spans="1:10">
      <c r="A311" s="79">
        <v>98660165106</v>
      </c>
      <c r="B311" s="80" t="s">
        <v>3239</v>
      </c>
      <c r="C311" s="80" t="s">
        <v>4196</v>
      </c>
      <c r="D311" s="80" t="s">
        <v>3044</v>
      </c>
      <c r="E311" s="80" t="s">
        <v>754</v>
      </c>
      <c r="F311" s="81" t="s">
        <v>4200</v>
      </c>
      <c r="G311" s="80" t="s">
        <v>4201</v>
      </c>
      <c r="H311" s="80" t="s">
        <v>4202</v>
      </c>
      <c r="I311" s="80" t="s">
        <v>3045</v>
      </c>
      <c r="J311" s="80" t="s">
        <v>3046</v>
      </c>
    </row>
    <row r="312" spans="1:10">
      <c r="A312" s="79">
        <v>98660154051</v>
      </c>
      <c r="B312" s="80" t="s">
        <v>3239</v>
      </c>
      <c r="C312" s="80" t="s">
        <v>4196</v>
      </c>
      <c r="D312" s="80" t="s">
        <v>411</v>
      </c>
      <c r="E312" s="80" t="s">
        <v>819</v>
      </c>
      <c r="F312" s="81" t="s">
        <v>4203</v>
      </c>
      <c r="G312" s="80" t="s">
        <v>4204</v>
      </c>
      <c r="H312" s="80" t="s">
        <v>4205</v>
      </c>
      <c r="I312" s="80" t="s">
        <v>3031</v>
      </c>
      <c r="J312" s="80" t="s">
        <v>3032</v>
      </c>
    </row>
    <row r="313" spans="1:10">
      <c r="A313" s="79">
        <v>98660405101</v>
      </c>
      <c r="B313" s="80" t="s">
        <v>3239</v>
      </c>
      <c r="C313" s="80" t="s">
        <v>4196</v>
      </c>
      <c r="D313" s="80" t="s">
        <v>410</v>
      </c>
      <c r="E313" s="80" t="s">
        <v>754</v>
      </c>
      <c r="F313" s="81" t="s">
        <v>4206</v>
      </c>
      <c r="G313" s="80" t="s">
        <v>4207</v>
      </c>
      <c r="H313" s="80" t="s">
        <v>4208</v>
      </c>
      <c r="I313" s="80" t="s">
        <v>3049</v>
      </c>
      <c r="J313" s="80" t="s">
        <v>3050</v>
      </c>
    </row>
    <row r="314" spans="1:10">
      <c r="A314" s="79">
        <v>98660154056</v>
      </c>
      <c r="B314" s="80" t="s">
        <v>3239</v>
      </c>
      <c r="C314" s="80" t="s">
        <v>4196</v>
      </c>
      <c r="D314" s="80" t="s">
        <v>401</v>
      </c>
      <c r="E314" s="80" t="s">
        <v>819</v>
      </c>
      <c r="F314" s="81" t="s">
        <v>4209</v>
      </c>
      <c r="G314" s="80" t="s">
        <v>4210</v>
      </c>
      <c r="H314" s="80" t="s">
        <v>4211</v>
      </c>
      <c r="I314" s="80" t="s">
        <v>4212</v>
      </c>
      <c r="J314" s="80" t="s">
        <v>4213</v>
      </c>
    </row>
    <row r="315" spans="1:10">
      <c r="A315" s="79">
        <v>98660101001</v>
      </c>
      <c r="B315" s="80" t="s">
        <v>3239</v>
      </c>
      <c r="C315" s="80" t="s">
        <v>4196</v>
      </c>
      <c r="D315" s="80" t="s">
        <v>418</v>
      </c>
      <c r="E315" s="80" t="s">
        <v>740</v>
      </c>
      <c r="F315" s="81" t="s">
        <v>4214</v>
      </c>
      <c r="G315" s="80" t="s">
        <v>4215</v>
      </c>
      <c r="H315" s="80" t="s">
        <v>4216</v>
      </c>
      <c r="I315" s="80" t="s">
        <v>3024</v>
      </c>
      <c r="J315" s="80" t="s">
        <v>3025</v>
      </c>
    </row>
    <row r="316" spans="1:10">
      <c r="A316" s="79">
        <v>98660158051</v>
      </c>
      <c r="B316" s="80" t="s">
        <v>3239</v>
      </c>
      <c r="C316" s="80" t="s">
        <v>4196</v>
      </c>
      <c r="D316" s="80" t="s">
        <v>3034</v>
      </c>
      <c r="E316" s="80" t="s">
        <v>819</v>
      </c>
      <c r="F316" s="81" t="s">
        <v>4217</v>
      </c>
      <c r="G316" s="80" t="s">
        <v>4218</v>
      </c>
      <c r="H316" s="80" t="s">
        <v>4219</v>
      </c>
      <c r="I316" s="80" t="s">
        <v>3035</v>
      </c>
      <c r="J316" s="80" t="s">
        <v>3036</v>
      </c>
    </row>
    <row r="317" spans="1:10">
      <c r="A317" s="79">
        <v>98660164051</v>
      </c>
      <c r="B317" s="80" t="s">
        <v>3239</v>
      </c>
      <c r="C317" s="80" t="s">
        <v>4196</v>
      </c>
      <c r="D317" s="80" t="s">
        <v>3038</v>
      </c>
      <c r="E317" s="80" t="s">
        <v>819</v>
      </c>
      <c r="F317" s="81" t="s">
        <v>4220</v>
      </c>
      <c r="G317" s="80" t="s">
        <v>4221</v>
      </c>
      <c r="H317" s="80" t="s">
        <v>4222</v>
      </c>
      <c r="I317" s="80" t="s">
        <v>3039</v>
      </c>
      <c r="J317" s="80" t="s">
        <v>3040</v>
      </c>
    </row>
    <row r="318" spans="1:10">
      <c r="A318" s="79">
        <v>98660165051</v>
      </c>
      <c r="B318" s="80" t="s">
        <v>3239</v>
      </c>
      <c r="C318" s="80" t="s">
        <v>4196</v>
      </c>
      <c r="D318" s="80" t="s">
        <v>414</v>
      </c>
      <c r="E318" s="80" t="s">
        <v>819</v>
      </c>
      <c r="F318" s="81" t="s">
        <v>4223</v>
      </c>
      <c r="G318" s="80" t="s">
        <v>4224</v>
      </c>
      <c r="H318" s="80" t="s">
        <v>4225</v>
      </c>
      <c r="I318" s="80" t="s">
        <v>3042</v>
      </c>
      <c r="J318" s="80" t="s">
        <v>3043</v>
      </c>
    </row>
    <row r="319" spans="1:10">
      <c r="A319" s="79">
        <v>98637424106</v>
      </c>
      <c r="B319" s="80" t="s">
        <v>3239</v>
      </c>
      <c r="C319" s="80" t="s">
        <v>4226</v>
      </c>
      <c r="D319" s="80" t="s">
        <v>2123</v>
      </c>
      <c r="E319" s="80" t="s">
        <v>754</v>
      </c>
      <c r="F319" s="81" t="s">
        <v>4227</v>
      </c>
      <c r="G319" s="80" t="s">
        <v>4228</v>
      </c>
      <c r="H319" s="80" t="s">
        <v>4229</v>
      </c>
      <c r="I319" s="80" t="s">
        <v>2124</v>
      </c>
      <c r="J319" s="80" t="s">
        <v>2125</v>
      </c>
    </row>
    <row r="320" spans="1:10">
      <c r="A320" s="79">
        <v>98637411101</v>
      </c>
      <c r="B320" s="80" t="s">
        <v>3239</v>
      </c>
      <c r="C320" s="80" t="s">
        <v>4226</v>
      </c>
      <c r="D320" s="80" t="s">
        <v>714</v>
      </c>
      <c r="E320" s="80" t="s">
        <v>754</v>
      </c>
      <c r="F320" s="81" t="s">
        <v>4230</v>
      </c>
      <c r="G320" s="80" t="s">
        <v>4231</v>
      </c>
      <c r="H320" s="80" t="s">
        <v>4232</v>
      </c>
      <c r="I320" s="80" t="s">
        <v>2117</v>
      </c>
      <c r="J320" s="80" t="s">
        <v>2118</v>
      </c>
    </row>
    <row r="321" spans="1:10">
      <c r="A321" s="79">
        <v>98637424111</v>
      </c>
      <c r="B321" s="80" t="s">
        <v>3239</v>
      </c>
      <c r="C321" s="80" t="s">
        <v>4226</v>
      </c>
      <c r="D321" s="80" t="s">
        <v>4233</v>
      </c>
      <c r="E321" s="80" t="s">
        <v>754</v>
      </c>
      <c r="F321" s="81" t="s">
        <v>4234</v>
      </c>
      <c r="G321" s="80" t="s">
        <v>4235</v>
      </c>
      <c r="H321" s="80" t="s">
        <v>4236</v>
      </c>
      <c r="I321" s="80" t="s">
        <v>2127</v>
      </c>
      <c r="J321" s="80" t="s">
        <v>2128</v>
      </c>
    </row>
    <row r="322" spans="1:10">
      <c r="A322" s="79">
        <v>98637424116</v>
      </c>
      <c r="B322" s="80" t="s">
        <v>3239</v>
      </c>
      <c r="C322" s="80" t="s">
        <v>4226</v>
      </c>
      <c r="D322" s="80" t="s">
        <v>2129</v>
      </c>
      <c r="E322" s="80" t="s">
        <v>754</v>
      </c>
      <c r="F322" s="81" t="s">
        <v>4237</v>
      </c>
      <c r="G322" s="80" t="s">
        <v>4238</v>
      </c>
      <c r="H322" s="80" t="s">
        <v>4239</v>
      </c>
      <c r="I322" s="80" t="s">
        <v>2130</v>
      </c>
      <c r="J322" s="80" t="s">
        <v>2131</v>
      </c>
    </row>
    <row r="323" spans="1:10">
      <c r="A323" s="79">
        <v>98637437101</v>
      </c>
      <c r="B323" s="80" t="s">
        <v>3239</v>
      </c>
      <c r="C323" s="80" t="s">
        <v>4226</v>
      </c>
      <c r="D323" s="80" t="s">
        <v>2148</v>
      </c>
      <c r="E323" s="80" t="s">
        <v>754</v>
      </c>
      <c r="F323" s="81" t="s">
        <v>4240</v>
      </c>
      <c r="G323" s="80" t="s">
        <v>4241</v>
      </c>
      <c r="H323" s="80" t="s">
        <v>4242</v>
      </c>
      <c r="I323" s="80" t="s">
        <v>2149</v>
      </c>
      <c r="J323" s="80" t="s">
        <v>2150</v>
      </c>
    </row>
    <row r="324" spans="1:10">
      <c r="A324" s="79">
        <v>98637424121</v>
      </c>
      <c r="B324" s="80" t="s">
        <v>3239</v>
      </c>
      <c r="C324" s="80" t="s">
        <v>4226</v>
      </c>
      <c r="D324" s="80" t="s">
        <v>2132</v>
      </c>
      <c r="E324" s="80" t="s">
        <v>754</v>
      </c>
      <c r="F324" s="81" t="s">
        <v>4243</v>
      </c>
      <c r="G324" s="80" t="s">
        <v>4244</v>
      </c>
      <c r="H324" s="80" t="s">
        <v>4245</v>
      </c>
      <c r="I324" s="80" t="s">
        <v>2133</v>
      </c>
      <c r="J324" s="80" t="s">
        <v>2134</v>
      </c>
    </row>
    <row r="325" spans="1:10">
      <c r="A325" s="79">
        <v>98637424126</v>
      </c>
      <c r="B325" s="80" t="s">
        <v>3239</v>
      </c>
      <c r="C325" s="80" t="s">
        <v>4226</v>
      </c>
      <c r="D325" s="80" t="s">
        <v>2135</v>
      </c>
      <c r="E325" s="80" t="s">
        <v>754</v>
      </c>
      <c r="F325" s="81" t="s">
        <v>4246</v>
      </c>
      <c r="G325" s="80" t="s">
        <v>4247</v>
      </c>
      <c r="H325" s="80" t="s">
        <v>4248</v>
      </c>
      <c r="I325" s="80" t="s">
        <v>2136</v>
      </c>
      <c r="J325" s="80" t="s">
        <v>2137</v>
      </c>
    </row>
    <row r="326" spans="1:10">
      <c r="A326" s="79">
        <v>98637424131</v>
      </c>
      <c r="B326" s="80" t="s">
        <v>3239</v>
      </c>
      <c r="C326" s="80" t="s">
        <v>4226</v>
      </c>
      <c r="D326" s="80" t="s">
        <v>2138</v>
      </c>
      <c r="E326" s="80" t="s">
        <v>754</v>
      </c>
      <c r="F326" s="81" t="s">
        <v>4249</v>
      </c>
      <c r="G326" s="80" t="s">
        <v>4250</v>
      </c>
      <c r="H326" s="80" t="s">
        <v>4251</v>
      </c>
      <c r="I326" s="80" t="s">
        <v>2139</v>
      </c>
      <c r="J326" s="80" t="s">
        <v>2140</v>
      </c>
    </row>
    <row r="327" spans="1:10">
      <c r="A327" s="79">
        <v>98637424101</v>
      </c>
      <c r="B327" s="80" t="s">
        <v>3239</v>
      </c>
      <c r="C327" s="80" t="s">
        <v>4226</v>
      </c>
      <c r="D327" s="80" t="s">
        <v>2120</v>
      </c>
      <c r="E327" s="80" t="s">
        <v>754</v>
      </c>
      <c r="F327" s="81" t="s">
        <v>4252</v>
      </c>
      <c r="G327" s="80" t="s">
        <v>4253</v>
      </c>
      <c r="H327" s="80" t="s">
        <v>4254</v>
      </c>
      <c r="I327" s="80" t="s">
        <v>2121</v>
      </c>
      <c r="J327" s="80" t="s">
        <v>2122</v>
      </c>
    </row>
    <row r="328" spans="1:10">
      <c r="A328" s="79">
        <v>98637424136</v>
      </c>
      <c r="B328" s="80" t="s">
        <v>3239</v>
      </c>
      <c r="C328" s="80" t="s">
        <v>4226</v>
      </c>
      <c r="D328" s="80" t="s">
        <v>2141</v>
      </c>
      <c r="E328" s="80" t="s">
        <v>754</v>
      </c>
      <c r="F328" s="81" t="s">
        <v>4255</v>
      </c>
      <c r="G328" s="80" t="s">
        <v>4256</v>
      </c>
      <c r="H328" s="80" t="s">
        <v>4257</v>
      </c>
      <c r="I328" s="80" t="s">
        <v>2142</v>
      </c>
      <c r="J328" s="80" t="s">
        <v>2143</v>
      </c>
    </row>
    <row r="329" spans="1:10">
      <c r="A329" s="79">
        <v>98637151051</v>
      </c>
      <c r="B329" s="80" t="s">
        <v>3239</v>
      </c>
      <c r="C329" s="80" t="s">
        <v>4226</v>
      </c>
      <c r="D329" s="80" t="s">
        <v>691</v>
      </c>
      <c r="E329" s="80" t="s">
        <v>819</v>
      </c>
      <c r="F329" s="81" t="s">
        <v>4258</v>
      </c>
      <c r="G329" s="80" t="s">
        <v>4259</v>
      </c>
      <c r="H329" s="80" t="s">
        <v>4260</v>
      </c>
      <c r="I329" s="80" t="s">
        <v>2113</v>
      </c>
      <c r="J329" s="80" t="s">
        <v>2114</v>
      </c>
    </row>
    <row r="330" spans="1:10">
      <c r="A330" s="79">
        <v>98637424141</v>
      </c>
      <c r="B330" s="80" t="s">
        <v>3239</v>
      </c>
      <c r="C330" s="80" t="s">
        <v>4226</v>
      </c>
      <c r="D330" s="80" t="s">
        <v>2144</v>
      </c>
      <c r="E330" s="80" t="s">
        <v>754</v>
      </c>
      <c r="F330" s="81" t="s">
        <v>4261</v>
      </c>
      <c r="G330" s="80" t="s">
        <v>4262</v>
      </c>
      <c r="H330" s="80" t="s">
        <v>4263</v>
      </c>
      <c r="I330" s="80" t="s">
        <v>2145</v>
      </c>
      <c r="J330" s="80" t="s">
        <v>2146</v>
      </c>
    </row>
    <row r="331" spans="1:10">
      <c r="A331" s="79">
        <v>98626405101</v>
      </c>
      <c r="B331" s="80" t="s">
        <v>3239</v>
      </c>
      <c r="C331" s="80" t="s">
        <v>4264</v>
      </c>
      <c r="D331" s="80" t="s">
        <v>1673</v>
      </c>
      <c r="E331" s="80" t="s">
        <v>754</v>
      </c>
      <c r="F331" s="81" t="s">
        <v>4265</v>
      </c>
      <c r="G331" s="80" t="s">
        <v>4266</v>
      </c>
      <c r="H331" s="80" t="s">
        <v>4267</v>
      </c>
      <c r="I331" s="80" t="s">
        <v>1674</v>
      </c>
      <c r="J331" s="80" t="s">
        <v>1675</v>
      </c>
    </row>
    <row r="332" spans="1:10">
      <c r="A332" s="79">
        <v>98626445101</v>
      </c>
      <c r="B332" s="80" t="s">
        <v>3239</v>
      </c>
      <c r="C332" s="80" t="s">
        <v>4264</v>
      </c>
      <c r="D332" s="80" t="s">
        <v>1715</v>
      </c>
      <c r="E332" s="80" t="s">
        <v>754</v>
      </c>
      <c r="F332" s="81" t="s">
        <v>4268</v>
      </c>
      <c r="G332" s="80" t="s">
        <v>4269</v>
      </c>
      <c r="H332" s="80" t="s">
        <v>4270</v>
      </c>
      <c r="I332" s="80" t="s">
        <v>1716</v>
      </c>
      <c r="J332" s="80" t="s">
        <v>1717</v>
      </c>
    </row>
    <row r="333" spans="1:10">
      <c r="A333" s="79">
        <v>98626425106</v>
      </c>
      <c r="B333" s="80" t="s">
        <v>3239</v>
      </c>
      <c r="C333" s="80" t="s">
        <v>4264</v>
      </c>
      <c r="D333" s="80" t="s">
        <v>1700</v>
      </c>
      <c r="E333" s="80" t="s">
        <v>754</v>
      </c>
      <c r="F333" s="81" t="s">
        <v>4271</v>
      </c>
      <c r="G333" s="80" t="s">
        <v>4272</v>
      </c>
      <c r="H333" s="80" t="s">
        <v>4273</v>
      </c>
      <c r="I333" s="80" t="s">
        <v>1701</v>
      </c>
      <c r="J333" s="80" t="s">
        <v>1702</v>
      </c>
    </row>
    <row r="334" spans="1:10">
      <c r="A334" s="79">
        <v>98626430101</v>
      </c>
      <c r="B334" s="80" t="s">
        <v>3239</v>
      </c>
      <c r="C334" s="80" t="s">
        <v>4264</v>
      </c>
      <c r="D334" s="80" t="s">
        <v>1704</v>
      </c>
      <c r="E334" s="80" t="s">
        <v>754</v>
      </c>
      <c r="F334" s="81" t="s">
        <v>4274</v>
      </c>
      <c r="G334" s="80" t="s">
        <v>4275</v>
      </c>
      <c r="H334" s="80" t="s">
        <v>4276</v>
      </c>
      <c r="I334" s="80" t="s">
        <v>1705</v>
      </c>
      <c r="J334" s="80" t="s">
        <v>1706</v>
      </c>
    </row>
    <row r="335" spans="1:10">
      <c r="A335" s="79">
        <v>98626413101</v>
      </c>
      <c r="B335" s="80" t="s">
        <v>3239</v>
      </c>
      <c r="C335" s="80" t="s">
        <v>4264</v>
      </c>
      <c r="D335" s="80" t="s">
        <v>1549</v>
      </c>
      <c r="E335" s="80" t="s">
        <v>754</v>
      </c>
      <c r="F335" s="81" t="s">
        <v>4277</v>
      </c>
      <c r="G335" s="80" t="s">
        <v>4278</v>
      </c>
      <c r="H335" s="80" t="s">
        <v>4279</v>
      </c>
      <c r="I335" s="80" t="s">
        <v>1682</v>
      </c>
      <c r="J335" s="80" t="s">
        <v>1683</v>
      </c>
    </row>
    <row r="336" spans="1:10">
      <c r="A336" s="79">
        <v>98626414101</v>
      </c>
      <c r="B336" s="80" t="s">
        <v>3239</v>
      </c>
      <c r="C336" s="80" t="s">
        <v>4264</v>
      </c>
      <c r="D336" s="80" t="s">
        <v>1685</v>
      </c>
      <c r="E336" s="80" t="s">
        <v>754</v>
      </c>
      <c r="F336" s="81" t="s">
        <v>4280</v>
      </c>
      <c r="G336" s="80" t="s">
        <v>4281</v>
      </c>
      <c r="H336" s="80" t="s">
        <v>4282</v>
      </c>
      <c r="I336" s="80" t="s">
        <v>1686</v>
      </c>
      <c r="J336" s="80" t="s">
        <v>1687</v>
      </c>
    </row>
    <row r="337" spans="1:10">
      <c r="A337" s="79">
        <v>98626415101</v>
      </c>
      <c r="B337" s="80" t="s">
        <v>3239</v>
      </c>
      <c r="C337" s="80" t="s">
        <v>4264</v>
      </c>
      <c r="D337" s="80" t="s">
        <v>1689</v>
      </c>
      <c r="E337" s="80" t="s">
        <v>754</v>
      </c>
      <c r="F337" s="81" t="s">
        <v>4283</v>
      </c>
      <c r="G337" s="80" t="s">
        <v>4284</v>
      </c>
      <c r="H337" s="80" t="s">
        <v>4285</v>
      </c>
      <c r="I337" s="80" t="s">
        <v>1690</v>
      </c>
      <c r="J337" s="80" t="s">
        <v>1691</v>
      </c>
    </row>
    <row r="338" spans="1:10">
      <c r="A338" s="79">
        <v>98626455106</v>
      </c>
      <c r="B338" s="80" t="s">
        <v>3239</v>
      </c>
      <c r="C338" s="80" t="s">
        <v>4264</v>
      </c>
      <c r="D338" s="80" t="s">
        <v>1733</v>
      </c>
      <c r="E338" s="80" t="s">
        <v>754</v>
      </c>
      <c r="F338" s="81" t="s">
        <v>4286</v>
      </c>
      <c r="G338" s="80" t="s">
        <v>4287</v>
      </c>
      <c r="H338" s="80" t="s">
        <v>4288</v>
      </c>
      <c r="I338" s="80" t="s">
        <v>1734</v>
      </c>
      <c r="J338" s="80" t="s">
        <v>1735</v>
      </c>
    </row>
    <row r="339" spans="1:10">
      <c r="A339" s="79">
        <v>98626425101</v>
      </c>
      <c r="B339" s="80" t="s">
        <v>3239</v>
      </c>
      <c r="C339" s="80" t="s">
        <v>4264</v>
      </c>
      <c r="D339" s="80" t="s">
        <v>1697</v>
      </c>
      <c r="E339" s="80" t="s">
        <v>754</v>
      </c>
      <c r="F339" s="81" t="s">
        <v>4289</v>
      </c>
      <c r="G339" s="80" t="s">
        <v>4290</v>
      </c>
      <c r="H339" s="80" t="s">
        <v>4291</v>
      </c>
      <c r="I339" s="80" t="s">
        <v>1698</v>
      </c>
      <c r="J339" s="80" t="s">
        <v>1699</v>
      </c>
    </row>
    <row r="340" spans="1:10">
      <c r="A340" s="79">
        <v>98626410101</v>
      </c>
      <c r="B340" s="80" t="s">
        <v>3239</v>
      </c>
      <c r="C340" s="80" t="s">
        <v>4264</v>
      </c>
      <c r="D340" s="80" t="s">
        <v>555</v>
      </c>
      <c r="E340" s="80" t="s">
        <v>754</v>
      </c>
      <c r="F340" s="81" t="s">
        <v>4292</v>
      </c>
      <c r="G340" s="80" t="s">
        <v>4293</v>
      </c>
      <c r="H340" s="80" t="s">
        <v>4294</v>
      </c>
      <c r="I340" s="80" t="s">
        <v>1679</v>
      </c>
      <c r="J340" s="80" t="s">
        <v>1680</v>
      </c>
    </row>
    <row r="341" spans="1:10">
      <c r="A341" s="79">
        <v>98626460101</v>
      </c>
      <c r="B341" s="80" t="s">
        <v>3239</v>
      </c>
      <c r="C341" s="80" t="s">
        <v>4264</v>
      </c>
      <c r="D341" s="80" t="s">
        <v>1737</v>
      </c>
      <c r="E341" s="80" t="s">
        <v>754</v>
      </c>
      <c r="F341" s="81" t="s">
        <v>4295</v>
      </c>
      <c r="G341" s="80" t="s">
        <v>4296</v>
      </c>
      <c r="H341" s="80" t="s">
        <v>4297</v>
      </c>
      <c r="I341" s="80" t="s">
        <v>1738</v>
      </c>
      <c r="J341" s="80" t="s">
        <v>1739</v>
      </c>
    </row>
    <row r="342" spans="1:10">
      <c r="A342" s="79">
        <v>98626445106</v>
      </c>
      <c r="B342" s="80" t="s">
        <v>3239</v>
      </c>
      <c r="C342" s="80" t="s">
        <v>4264</v>
      </c>
      <c r="D342" s="80" t="s">
        <v>1718</v>
      </c>
      <c r="E342" s="80" t="s">
        <v>754</v>
      </c>
      <c r="F342" s="81" t="s">
        <v>4298</v>
      </c>
      <c r="G342" s="80" t="s">
        <v>4299</v>
      </c>
      <c r="H342" s="80" t="s">
        <v>4300</v>
      </c>
      <c r="I342" s="80" t="s">
        <v>1719</v>
      </c>
      <c r="J342" s="80" t="s">
        <v>1720</v>
      </c>
    </row>
    <row r="343" spans="1:10">
      <c r="A343" s="79">
        <v>98626101001</v>
      </c>
      <c r="B343" s="80" t="s">
        <v>3239</v>
      </c>
      <c r="C343" s="80" t="s">
        <v>4264</v>
      </c>
      <c r="D343" s="80" t="s">
        <v>504</v>
      </c>
      <c r="E343" s="80" t="s">
        <v>740</v>
      </c>
      <c r="F343" s="81" t="s">
        <v>4301</v>
      </c>
      <c r="G343" s="80" t="s">
        <v>4302</v>
      </c>
      <c r="H343" s="80" t="s">
        <v>4303</v>
      </c>
      <c r="I343" s="80" t="s">
        <v>1669</v>
      </c>
      <c r="J343" s="80" t="s">
        <v>1670</v>
      </c>
    </row>
    <row r="344" spans="1:10">
      <c r="A344" s="79">
        <v>98626450101</v>
      </c>
      <c r="B344" s="80" t="s">
        <v>3239</v>
      </c>
      <c r="C344" s="80" t="s">
        <v>4264</v>
      </c>
      <c r="D344" s="80" t="s">
        <v>1722</v>
      </c>
      <c r="E344" s="80" t="s">
        <v>754</v>
      </c>
      <c r="F344" s="81" t="s">
        <v>4304</v>
      </c>
      <c r="G344" s="80" t="s">
        <v>4305</v>
      </c>
      <c r="H344" s="80" t="s">
        <v>4306</v>
      </c>
      <c r="I344" s="80" t="s">
        <v>1723</v>
      </c>
      <c r="J344" s="80" t="s">
        <v>1724</v>
      </c>
    </row>
    <row r="345" spans="1:10">
      <c r="A345" s="79">
        <v>98626465101</v>
      </c>
      <c r="B345" s="80" t="s">
        <v>3239</v>
      </c>
      <c r="C345" s="80" t="s">
        <v>4264</v>
      </c>
      <c r="D345" s="80" t="s">
        <v>1251</v>
      </c>
      <c r="E345" s="80" t="s">
        <v>754</v>
      </c>
      <c r="F345" s="81" t="s">
        <v>4307</v>
      </c>
      <c r="G345" s="80" t="s">
        <v>4308</v>
      </c>
      <c r="H345" s="80" t="s">
        <v>4309</v>
      </c>
      <c r="I345" s="80" t="s">
        <v>1741</v>
      </c>
      <c r="J345" s="80" t="s">
        <v>1742</v>
      </c>
    </row>
    <row r="346" spans="1:10">
      <c r="A346" s="79">
        <v>98626470106</v>
      </c>
      <c r="B346" s="80" t="s">
        <v>3239</v>
      </c>
      <c r="C346" s="80" t="s">
        <v>4264</v>
      </c>
      <c r="D346" s="80" t="s">
        <v>1747</v>
      </c>
      <c r="E346" s="80" t="s">
        <v>754</v>
      </c>
      <c r="F346" s="81" t="s">
        <v>4310</v>
      </c>
      <c r="G346" s="80" t="s">
        <v>4311</v>
      </c>
      <c r="H346" s="80" t="s">
        <v>4312</v>
      </c>
      <c r="I346" s="80" t="s">
        <v>1748</v>
      </c>
      <c r="J346" s="80" t="s">
        <v>1749</v>
      </c>
    </row>
    <row r="347" spans="1:10">
      <c r="A347" s="79">
        <v>98626452101</v>
      </c>
      <c r="B347" s="80" t="s">
        <v>3239</v>
      </c>
      <c r="C347" s="80" t="s">
        <v>4264</v>
      </c>
      <c r="D347" s="80" t="s">
        <v>1726</v>
      </c>
      <c r="E347" s="80" t="s">
        <v>754</v>
      </c>
      <c r="F347" s="81" t="s">
        <v>4313</v>
      </c>
      <c r="G347" s="80" t="s">
        <v>4314</v>
      </c>
      <c r="H347" s="80" t="s">
        <v>4315</v>
      </c>
      <c r="I347" s="80" t="s">
        <v>1727</v>
      </c>
      <c r="J347" s="80" t="s">
        <v>1728</v>
      </c>
    </row>
    <row r="348" spans="1:10">
      <c r="A348" s="79">
        <v>98626440101</v>
      </c>
      <c r="B348" s="80" t="s">
        <v>3239</v>
      </c>
      <c r="C348" s="80" t="s">
        <v>4264</v>
      </c>
      <c r="D348" s="80" t="s">
        <v>1712</v>
      </c>
      <c r="E348" s="80" t="s">
        <v>754</v>
      </c>
      <c r="F348" s="81" t="s">
        <v>4316</v>
      </c>
      <c r="G348" s="80" t="s">
        <v>4317</v>
      </c>
      <c r="H348" s="80" t="s">
        <v>4318</v>
      </c>
      <c r="I348" s="80" t="s">
        <v>1713</v>
      </c>
      <c r="J348" s="80" t="s">
        <v>1714</v>
      </c>
    </row>
    <row r="349" spans="1:10">
      <c r="A349" s="79">
        <v>98626455101</v>
      </c>
      <c r="B349" s="80" t="s">
        <v>3239</v>
      </c>
      <c r="C349" s="80" t="s">
        <v>4264</v>
      </c>
      <c r="D349" s="80" t="s">
        <v>1730</v>
      </c>
      <c r="E349" s="80" t="s">
        <v>754</v>
      </c>
      <c r="F349" s="81" t="s">
        <v>4319</v>
      </c>
      <c r="G349" s="80" t="s">
        <v>4320</v>
      </c>
      <c r="H349" s="80" t="s">
        <v>4321</v>
      </c>
      <c r="I349" s="80" t="s">
        <v>1731</v>
      </c>
      <c r="J349" s="80" t="s">
        <v>1732</v>
      </c>
    </row>
    <row r="350" spans="1:10">
      <c r="A350" s="79">
        <v>98626470101</v>
      </c>
      <c r="B350" s="80" t="s">
        <v>3239</v>
      </c>
      <c r="C350" s="80" t="s">
        <v>4264</v>
      </c>
      <c r="D350" s="80" t="s">
        <v>1744</v>
      </c>
      <c r="E350" s="80" t="s">
        <v>754</v>
      </c>
      <c r="F350" s="81" t="s">
        <v>4322</v>
      </c>
      <c r="G350" s="80" t="s">
        <v>4323</v>
      </c>
      <c r="H350" s="80" t="s">
        <v>4324</v>
      </c>
      <c r="I350" s="80" t="s">
        <v>1745</v>
      </c>
      <c r="J350" s="80" t="s">
        <v>1746</v>
      </c>
    </row>
    <row r="351" spans="1:10">
      <c r="A351" s="79">
        <v>98626405106</v>
      </c>
      <c r="B351" s="80" t="s">
        <v>3239</v>
      </c>
      <c r="C351" s="80" t="s">
        <v>4264</v>
      </c>
      <c r="D351" s="80" t="s">
        <v>1047</v>
      </c>
      <c r="E351" s="80" t="s">
        <v>754</v>
      </c>
      <c r="F351" s="81" t="s">
        <v>4325</v>
      </c>
      <c r="G351" s="80" t="s">
        <v>4326</v>
      </c>
      <c r="H351" s="80" t="s">
        <v>4327</v>
      </c>
      <c r="I351" s="80" t="s">
        <v>1676</v>
      </c>
      <c r="J351" s="80" t="s">
        <v>1677</v>
      </c>
    </row>
    <row r="352" spans="1:10">
      <c r="A352" s="79">
        <v>98626475101</v>
      </c>
      <c r="B352" s="80" t="s">
        <v>3239</v>
      </c>
      <c r="C352" s="80" t="s">
        <v>4264</v>
      </c>
      <c r="D352" s="80" t="s">
        <v>1751</v>
      </c>
      <c r="E352" s="80" t="s">
        <v>754</v>
      </c>
      <c r="F352" s="81" t="s">
        <v>4328</v>
      </c>
      <c r="G352" s="80" t="s">
        <v>4329</v>
      </c>
      <c r="H352" s="80" t="s">
        <v>4330</v>
      </c>
      <c r="I352" s="80" t="s">
        <v>1752</v>
      </c>
      <c r="J352" s="80" t="s">
        <v>1753</v>
      </c>
    </row>
    <row r="353" spans="1:10">
      <c r="A353" s="79">
        <v>98626420101</v>
      </c>
      <c r="B353" s="80" t="s">
        <v>3239</v>
      </c>
      <c r="C353" s="80" t="s">
        <v>4264</v>
      </c>
      <c r="D353" s="80" t="s">
        <v>1693</v>
      </c>
      <c r="E353" s="80" t="s">
        <v>754</v>
      </c>
      <c r="F353" s="81" t="s">
        <v>4331</v>
      </c>
      <c r="G353" s="80" t="s">
        <v>4332</v>
      </c>
      <c r="H353" s="80" t="s">
        <v>4333</v>
      </c>
      <c r="I353" s="80" t="s">
        <v>1694</v>
      </c>
      <c r="J353" s="80" t="s">
        <v>1695</v>
      </c>
    </row>
    <row r="354" spans="1:10">
      <c r="A354" s="79">
        <v>98626435101</v>
      </c>
      <c r="B354" s="80" t="s">
        <v>3239</v>
      </c>
      <c r="C354" s="80" t="s">
        <v>4264</v>
      </c>
      <c r="D354" s="80" t="s">
        <v>1708</v>
      </c>
      <c r="E354" s="80" t="s">
        <v>754</v>
      </c>
      <c r="F354" s="81" t="s">
        <v>4334</v>
      </c>
      <c r="G354" s="80" t="s">
        <v>4335</v>
      </c>
      <c r="H354" s="80" t="s">
        <v>4336</v>
      </c>
      <c r="I354" s="80" t="s">
        <v>1709</v>
      </c>
      <c r="J354" s="80" t="s">
        <v>1710</v>
      </c>
    </row>
    <row r="355" spans="1:10">
      <c r="A355" s="79">
        <v>98639410106</v>
      </c>
      <c r="B355" s="80" t="s">
        <v>3239</v>
      </c>
      <c r="C355" s="80" t="s">
        <v>4337</v>
      </c>
      <c r="D355" s="80" t="s">
        <v>651</v>
      </c>
      <c r="E355" s="80" t="s">
        <v>754</v>
      </c>
      <c r="F355" s="81" t="s">
        <v>4338</v>
      </c>
      <c r="G355" s="80" t="s">
        <v>4339</v>
      </c>
      <c r="H355" s="80" t="s">
        <v>4340</v>
      </c>
      <c r="I355" s="80" t="s">
        <v>2177</v>
      </c>
      <c r="J355" s="80" t="s">
        <v>2178</v>
      </c>
    </row>
    <row r="356" spans="1:10">
      <c r="A356" s="79">
        <v>98639153051</v>
      </c>
      <c r="B356" s="80" t="s">
        <v>3239</v>
      </c>
      <c r="C356" s="80" t="s">
        <v>4337</v>
      </c>
      <c r="D356" s="80" t="s">
        <v>2157</v>
      </c>
      <c r="E356" s="80" t="s">
        <v>819</v>
      </c>
      <c r="F356" s="81" t="s">
        <v>4341</v>
      </c>
      <c r="G356" s="80" t="s">
        <v>4342</v>
      </c>
      <c r="H356" s="80" t="s">
        <v>4343</v>
      </c>
      <c r="I356" s="80" t="s">
        <v>2158</v>
      </c>
      <c r="J356" s="80" t="s">
        <v>2159</v>
      </c>
    </row>
    <row r="357" spans="1:10">
      <c r="A357" s="79">
        <v>98639410111</v>
      </c>
      <c r="B357" s="80" t="s">
        <v>3239</v>
      </c>
      <c r="C357" s="80" t="s">
        <v>4337</v>
      </c>
      <c r="D357" s="80" t="s">
        <v>2179</v>
      </c>
      <c r="E357" s="80" t="s">
        <v>754</v>
      </c>
      <c r="F357" s="81" t="s">
        <v>4344</v>
      </c>
      <c r="G357" s="80" t="s">
        <v>4345</v>
      </c>
      <c r="H357" s="80" t="s">
        <v>4346</v>
      </c>
      <c r="I357" s="80" t="s">
        <v>2180</v>
      </c>
      <c r="J357" s="80" t="s">
        <v>2181</v>
      </c>
    </row>
    <row r="358" spans="1:10">
      <c r="A358" s="79">
        <v>98639405106</v>
      </c>
      <c r="B358" s="80" t="s">
        <v>3239</v>
      </c>
      <c r="C358" s="80" t="s">
        <v>4337</v>
      </c>
      <c r="D358" s="80" t="s">
        <v>2168</v>
      </c>
      <c r="E358" s="80" t="s">
        <v>754</v>
      </c>
      <c r="F358" s="81" t="s">
        <v>4347</v>
      </c>
      <c r="G358" s="80" t="s">
        <v>4348</v>
      </c>
      <c r="H358" s="80" t="s">
        <v>4349</v>
      </c>
      <c r="I358" s="80" t="s">
        <v>2169</v>
      </c>
      <c r="J358" s="80" t="s">
        <v>2170</v>
      </c>
    </row>
    <row r="359" spans="1:10">
      <c r="A359" s="79">
        <v>98639153106</v>
      </c>
      <c r="B359" s="80" t="s">
        <v>3239</v>
      </c>
      <c r="C359" s="80" t="s">
        <v>4337</v>
      </c>
      <c r="D359" s="80" t="s">
        <v>2160</v>
      </c>
      <c r="E359" s="80" t="s">
        <v>754</v>
      </c>
      <c r="F359" s="81" t="s">
        <v>4350</v>
      </c>
      <c r="G359" s="80" t="s">
        <v>4351</v>
      </c>
      <c r="H359" s="80" t="s">
        <v>4352</v>
      </c>
      <c r="I359" s="80" t="s">
        <v>2161</v>
      </c>
      <c r="J359" s="80" t="s">
        <v>2162</v>
      </c>
    </row>
    <row r="360" spans="1:10">
      <c r="A360" s="79">
        <v>98639410116</v>
      </c>
      <c r="B360" s="80" t="s">
        <v>3239</v>
      </c>
      <c r="C360" s="80" t="s">
        <v>4337</v>
      </c>
      <c r="D360" s="80" t="s">
        <v>2182</v>
      </c>
      <c r="E360" s="80" t="s">
        <v>754</v>
      </c>
      <c r="F360" s="81" t="s">
        <v>4353</v>
      </c>
      <c r="G360" s="80" t="s">
        <v>4354</v>
      </c>
      <c r="H360" s="80" t="s">
        <v>4355</v>
      </c>
      <c r="I360" s="80" t="s">
        <v>2183</v>
      </c>
      <c r="J360" s="80" t="s">
        <v>2184</v>
      </c>
    </row>
    <row r="361" spans="1:10">
      <c r="A361" s="79">
        <v>98639427106</v>
      </c>
      <c r="B361" s="80" t="s">
        <v>3239</v>
      </c>
      <c r="C361" s="80" t="s">
        <v>4337</v>
      </c>
      <c r="D361" s="80" t="s">
        <v>2189</v>
      </c>
      <c r="E361" s="80" t="s">
        <v>754</v>
      </c>
      <c r="F361" s="81" t="s">
        <v>4356</v>
      </c>
      <c r="G361" s="80" t="s">
        <v>4357</v>
      </c>
      <c r="H361" s="80" t="s">
        <v>4358</v>
      </c>
      <c r="I361" s="80" t="s">
        <v>2190</v>
      </c>
      <c r="J361" s="80" t="s">
        <v>2191</v>
      </c>
    </row>
    <row r="362" spans="1:10">
      <c r="A362" s="79">
        <v>98639445106</v>
      </c>
      <c r="B362" s="80" t="s">
        <v>3239</v>
      </c>
      <c r="C362" s="80" t="s">
        <v>4337</v>
      </c>
      <c r="D362" s="80" t="s">
        <v>2200</v>
      </c>
      <c r="E362" s="80" t="s">
        <v>754</v>
      </c>
      <c r="F362" s="81" t="s">
        <v>4359</v>
      </c>
      <c r="G362" s="80" t="s">
        <v>4360</v>
      </c>
      <c r="H362" s="80" t="s">
        <v>4361</v>
      </c>
      <c r="I362" s="80" t="s">
        <v>2201</v>
      </c>
      <c r="J362" s="80" t="s">
        <v>2202</v>
      </c>
    </row>
    <row r="363" spans="1:10">
      <c r="A363" s="79">
        <v>98639405101</v>
      </c>
      <c r="B363" s="80" t="s">
        <v>3239</v>
      </c>
      <c r="C363" s="80" t="s">
        <v>4337</v>
      </c>
      <c r="D363" s="80" t="s">
        <v>2165</v>
      </c>
      <c r="E363" s="80" t="s">
        <v>754</v>
      </c>
      <c r="F363" s="81" t="s">
        <v>4362</v>
      </c>
      <c r="G363" s="80" t="s">
        <v>4363</v>
      </c>
      <c r="H363" s="80" t="s">
        <v>4364</v>
      </c>
      <c r="I363" s="80" t="s">
        <v>2166</v>
      </c>
      <c r="J363" s="80" t="s">
        <v>2167</v>
      </c>
    </row>
    <row r="364" spans="1:10">
      <c r="A364" s="79">
        <v>98639427101</v>
      </c>
      <c r="B364" s="80" t="s">
        <v>3239</v>
      </c>
      <c r="C364" s="80" t="s">
        <v>4337</v>
      </c>
      <c r="D364" s="80" t="s">
        <v>2186</v>
      </c>
      <c r="E364" s="80" t="s">
        <v>754</v>
      </c>
      <c r="F364" s="81" t="s">
        <v>4365</v>
      </c>
      <c r="G364" s="80" t="s">
        <v>4366</v>
      </c>
      <c r="H364" s="80" t="s">
        <v>4367</v>
      </c>
      <c r="I364" s="80" t="s">
        <v>2187</v>
      </c>
      <c r="J364" s="80" t="s">
        <v>2188</v>
      </c>
    </row>
    <row r="365" spans="1:10">
      <c r="A365" s="79">
        <v>98639432101</v>
      </c>
      <c r="B365" s="80" t="s">
        <v>3239</v>
      </c>
      <c r="C365" s="80" t="s">
        <v>4337</v>
      </c>
      <c r="D365" s="80" t="s">
        <v>2193</v>
      </c>
      <c r="E365" s="80" t="s">
        <v>754</v>
      </c>
      <c r="F365" s="81" t="s">
        <v>4368</v>
      </c>
      <c r="G365" s="80" t="s">
        <v>4369</v>
      </c>
      <c r="H365" s="80" t="s">
        <v>4370</v>
      </c>
      <c r="I365" s="80" t="s">
        <v>2194</v>
      </c>
      <c r="J365" s="80" t="s">
        <v>2195</v>
      </c>
    </row>
    <row r="366" spans="1:10">
      <c r="A366" s="79">
        <v>98639410101</v>
      </c>
      <c r="B366" s="80" t="s">
        <v>3239</v>
      </c>
      <c r="C366" s="80" t="s">
        <v>4337</v>
      </c>
      <c r="D366" s="80" t="s">
        <v>618</v>
      </c>
      <c r="E366" s="80" t="s">
        <v>754</v>
      </c>
      <c r="F366" s="81" t="s">
        <v>4371</v>
      </c>
      <c r="G366" s="80" t="s">
        <v>4372</v>
      </c>
      <c r="H366" s="80" t="s">
        <v>4373</v>
      </c>
      <c r="I366" s="80" t="s">
        <v>2175</v>
      </c>
      <c r="J366" s="80" t="s">
        <v>2176</v>
      </c>
    </row>
    <row r="367" spans="1:10">
      <c r="A367" s="79">
        <v>98639151051</v>
      </c>
      <c r="B367" s="80" t="s">
        <v>3239</v>
      </c>
      <c r="C367" s="80" t="s">
        <v>4337</v>
      </c>
      <c r="D367" s="80" t="s">
        <v>2153</v>
      </c>
      <c r="E367" s="80" t="s">
        <v>3106</v>
      </c>
      <c r="F367" s="81" t="s">
        <v>4374</v>
      </c>
      <c r="G367" s="80" t="s">
        <v>4375</v>
      </c>
      <c r="H367" s="80" t="s">
        <v>4376</v>
      </c>
      <c r="I367" s="80" t="s">
        <v>2154</v>
      </c>
      <c r="J367" s="80" t="s">
        <v>2155</v>
      </c>
    </row>
    <row r="368" spans="1:10">
      <c r="A368" s="79">
        <v>98639405111</v>
      </c>
      <c r="B368" s="80" t="s">
        <v>3239</v>
      </c>
      <c r="C368" s="80" t="s">
        <v>4337</v>
      </c>
      <c r="D368" s="80" t="s">
        <v>2171</v>
      </c>
      <c r="E368" s="80" t="s">
        <v>754</v>
      </c>
      <c r="F368" s="81" t="s">
        <v>4377</v>
      </c>
      <c r="G368" s="80" t="s">
        <v>4378</v>
      </c>
      <c r="H368" s="80" t="s">
        <v>4379</v>
      </c>
      <c r="I368" s="80" t="s">
        <v>2172</v>
      </c>
      <c r="J368" s="80" t="s">
        <v>2173</v>
      </c>
    </row>
    <row r="369" spans="1:10">
      <c r="A369" s="79">
        <v>98639445101</v>
      </c>
      <c r="B369" s="80" t="s">
        <v>3239</v>
      </c>
      <c r="C369" s="80" t="s">
        <v>4337</v>
      </c>
      <c r="D369" s="80" t="s">
        <v>2197</v>
      </c>
      <c r="E369" s="80" t="s">
        <v>754</v>
      </c>
      <c r="F369" s="81" t="s">
        <v>4380</v>
      </c>
      <c r="G369" s="80" t="s">
        <v>4381</v>
      </c>
      <c r="H369" s="80" t="s">
        <v>4382</v>
      </c>
      <c r="I369" s="80" t="s">
        <v>2198</v>
      </c>
      <c r="J369" s="80" t="s">
        <v>2199</v>
      </c>
    </row>
    <row r="370" spans="1:10">
      <c r="A370" s="79">
        <v>98641405101</v>
      </c>
      <c r="B370" s="80" t="s">
        <v>3239</v>
      </c>
      <c r="C370" s="80" t="s">
        <v>2309</v>
      </c>
      <c r="D370" s="80" t="s">
        <v>1072</v>
      </c>
      <c r="E370" s="80" t="s">
        <v>754</v>
      </c>
      <c r="F370" s="81" t="s">
        <v>4383</v>
      </c>
      <c r="G370" s="80" t="s">
        <v>4384</v>
      </c>
      <c r="H370" s="80" t="s">
        <v>4385</v>
      </c>
      <c r="I370" s="80" t="s">
        <v>2220</v>
      </c>
      <c r="J370" s="80" t="s">
        <v>2221</v>
      </c>
    </row>
    <row r="371" spans="1:10">
      <c r="A371" s="79">
        <v>98641405106</v>
      </c>
      <c r="B371" s="80" t="s">
        <v>3239</v>
      </c>
      <c r="C371" s="80" t="s">
        <v>2309</v>
      </c>
      <c r="D371" s="80" t="s">
        <v>4386</v>
      </c>
      <c r="E371" s="80" t="s">
        <v>754</v>
      </c>
      <c r="F371" s="81" t="s">
        <v>4387</v>
      </c>
      <c r="G371" s="80" t="s">
        <v>4388</v>
      </c>
      <c r="H371" s="80" t="s">
        <v>4389</v>
      </c>
      <c r="I371" s="80" t="s">
        <v>2223</v>
      </c>
      <c r="J371" s="80" t="s">
        <v>2224</v>
      </c>
    </row>
    <row r="372" spans="1:10">
      <c r="A372" s="79">
        <v>98641101106</v>
      </c>
      <c r="B372" s="80" t="s">
        <v>3239</v>
      </c>
      <c r="C372" s="80" t="s">
        <v>2309</v>
      </c>
      <c r="D372" s="80" t="s">
        <v>1593</v>
      </c>
      <c r="E372" s="80" t="s">
        <v>754</v>
      </c>
      <c r="F372" s="81" t="s">
        <v>4390</v>
      </c>
      <c r="G372" s="80" t="s">
        <v>4391</v>
      </c>
      <c r="H372" s="80" t="s">
        <v>4392</v>
      </c>
      <c r="I372" s="80" t="s">
        <v>2209</v>
      </c>
      <c r="J372" s="80" t="s">
        <v>2210</v>
      </c>
    </row>
    <row r="373" spans="1:10">
      <c r="A373" s="79">
        <v>98641460106</v>
      </c>
      <c r="B373" s="80" t="s">
        <v>3239</v>
      </c>
      <c r="C373" s="80" t="s">
        <v>2309</v>
      </c>
      <c r="D373" s="80" t="s">
        <v>2315</v>
      </c>
      <c r="E373" s="80" t="s">
        <v>754</v>
      </c>
      <c r="F373" s="81" t="s">
        <v>4393</v>
      </c>
      <c r="G373" s="80" t="s">
        <v>4394</v>
      </c>
      <c r="H373" s="80" t="s">
        <v>4395</v>
      </c>
      <c r="I373" s="80" t="s">
        <v>2316</v>
      </c>
      <c r="J373" s="80" t="s">
        <v>2317</v>
      </c>
    </row>
    <row r="374" spans="1:10">
      <c r="A374" s="79">
        <v>98641485106</v>
      </c>
      <c r="B374" s="80" t="s">
        <v>3239</v>
      </c>
      <c r="C374" s="80" t="s">
        <v>2309</v>
      </c>
      <c r="D374" s="80" t="s">
        <v>1194</v>
      </c>
      <c r="E374" s="80" t="s">
        <v>754</v>
      </c>
      <c r="F374" s="81" t="s">
        <v>4396</v>
      </c>
      <c r="G374" s="80" t="s">
        <v>4397</v>
      </c>
      <c r="H374" s="80" t="s">
        <v>4398</v>
      </c>
      <c r="I374" s="80" t="s">
        <v>2351</v>
      </c>
      <c r="J374" s="80" t="s">
        <v>2352</v>
      </c>
    </row>
    <row r="375" spans="1:10">
      <c r="A375" s="79">
        <v>98641450106</v>
      </c>
      <c r="B375" s="80" t="s">
        <v>3239</v>
      </c>
      <c r="C375" s="80" t="s">
        <v>2309</v>
      </c>
      <c r="D375" s="80" t="s">
        <v>2302</v>
      </c>
      <c r="E375" s="80" t="s">
        <v>754</v>
      </c>
      <c r="F375" s="81" t="s">
        <v>4399</v>
      </c>
      <c r="G375" s="80" t="s">
        <v>4400</v>
      </c>
      <c r="H375" s="80" t="s">
        <v>4401</v>
      </c>
      <c r="I375" s="80" t="s">
        <v>2303</v>
      </c>
      <c r="J375" s="80" t="s">
        <v>2304</v>
      </c>
    </row>
    <row r="376" spans="1:10">
      <c r="A376" s="79">
        <v>98641445106</v>
      </c>
      <c r="B376" s="80" t="s">
        <v>3239</v>
      </c>
      <c r="C376" s="80" t="s">
        <v>2309</v>
      </c>
      <c r="D376" s="80" t="s">
        <v>2290</v>
      </c>
      <c r="E376" s="80" t="s">
        <v>754</v>
      </c>
      <c r="F376" s="81" t="s">
        <v>4402</v>
      </c>
      <c r="G376" s="80" t="s">
        <v>4403</v>
      </c>
      <c r="H376" s="80" t="s">
        <v>4404</v>
      </c>
      <c r="I376" s="80" t="s">
        <v>2291</v>
      </c>
      <c r="J376" s="80" t="s">
        <v>2292</v>
      </c>
    </row>
    <row r="377" spans="1:10">
      <c r="A377" s="79">
        <v>98641490101</v>
      </c>
      <c r="B377" s="80" t="s">
        <v>3239</v>
      </c>
      <c r="C377" s="80" t="s">
        <v>2309</v>
      </c>
      <c r="D377" s="80" t="s">
        <v>1518</v>
      </c>
      <c r="E377" s="80" t="s">
        <v>754</v>
      </c>
      <c r="F377" s="81" t="s">
        <v>4405</v>
      </c>
      <c r="G377" s="80" t="s">
        <v>4406</v>
      </c>
      <c r="H377" s="80" t="s">
        <v>4407</v>
      </c>
      <c r="I377" s="80" t="s">
        <v>2365</v>
      </c>
      <c r="J377" s="80" t="s">
        <v>2366</v>
      </c>
    </row>
    <row r="378" spans="1:10">
      <c r="A378" s="79">
        <v>98641410101</v>
      </c>
      <c r="B378" s="80" t="s">
        <v>3239</v>
      </c>
      <c r="C378" s="80" t="s">
        <v>2309</v>
      </c>
      <c r="D378" s="80" t="s">
        <v>2226</v>
      </c>
      <c r="E378" s="80" t="s">
        <v>754</v>
      </c>
      <c r="F378" s="81" t="s">
        <v>4408</v>
      </c>
      <c r="G378" s="80" t="s">
        <v>4409</v>
      </c>
      <c r="H378" s="80" t="s">
        <v>4410</v>
      </c>
      <c r="I378" s="80" t="s">
        <v>2227</v>
      </c>
      <c r="J378" s="80" t="s">
        <v>2228</v>
      </c>
    </row>
    <row r="379" spans="1:10">
      <c r="A379" s="79">
        <v>98641430106</v>
      </c>
      <c r="B379" s="80" t="s">
        <v>3239</v>
      </c>
      <c r="C379" s="80" t="s">
        <v>2309</v>
      </c>
      <c r="D379" s="80" t="s">
        <v>2259</v>
      </c>
      <c r="E379" s="80" t="s">
        <v>754</v>
      </c>
      <c r="F379" s="81" t="s">
        <v>4411</v>
      </c>
      <c r="G379" s="80" t="s">
        <v>4412</v>
      </c>
      <c r="H379" s="80" t="s">
        <v>4413</v>
      </c>
      <c r="I379" s="80" t="s">
        <v>2260</v>
      </c>
      <c r="J379" s="80" t="s">
        <v>2261</v>
      </c>
    </row>
    <row r="380" spans="1:10">
      <c r="A380" s="79">
        <v>98641415101</v>
      </c>
      <c r="B380" s="80" t="s">
        <v>3239</v>
      </c>
      <c r="C380" s="80" t="s">
        <v>2309</v>
      </c>
      <c r="D380" s="80" t="s">
        <v>2236</v>
      </c>
      <c r="E380" s="80" t="s">
        <v>754</v>
      </c>
      <c r="F380" s="81" t="s">
        <v>4414</v>
      </c>
      <c r="G380" s="80" t="s">
        <v>4415</v>
      </c>
      <c r="H380" s="80" t="s">
        <v>4416</v>
      </c>
      <c r="I380" s="80" t="s">
        <v>2237</v>
      </c>
      <c r="J380" s="80" t="s">
        <v>2238</v>
      </c>
    </row>
    <row r="381" spans="1:10">
      <c r="A381" s="79">
        <v>98641425106</v>
      </c>
      <c r="B381" s="80" t="s">
        <v>3239</v>
      </c>
      <c r="C381" s="80" t="s">
        <v>2309</v>
      </c>
      <c r="D381" s="80" t="s">
        <v>1549</v>
      </c>
      <c r="E381" s="80" t="s">
        <v>754</v>
      </c>
      <c r="F381" s="81" t="s">
        <v>4417</v>
      </c>
      <c r="G381" s="80" t="s">
        <v>4418</v>
      </c>
      <c r="H381" s="80" t="s">
        <v>4419</v>
      </c>
      <c r="I381" s="80" t="s">
        <v>2254</v>
      </c>
      <c r="J381" s="80" t="s">
        <v>2255</v>
      </c>
    </row>
    <row r="382" spans="1:10">
      <c r="A382" s="79">
        <v>98641420106</v>
      </c>
      <c r="B382" s="80" t="s">
        <v>3239</v>
      </c>
      <c r="C382" s="80" t="s">
        <v>2309</v>
      </c>
      <c r="D382" s="80" t="s">
        <v>1689</v>
      </c>
      <c r="E382" s="80" t="s">
        <v>754</v>
      </c>
      <c r="F382" s="81" t="s">
        <v>4420</v>
      </c>
      <c r="G382" s="80" t="s">
        <v>4421</v>
      </c>
      <c r="H382" s="80" t="s">
        <v>4422</v>
      </c>
      <c r="I382" s="80" t="s">
        <v>2245</v>
      </c>
      <c r="J382" s="80" t="s">
        <v>2246</v>
      </c>
    </row>
    <row r="383" spans="1:10">
      <c r="A383" s="79">
        <v>98641493101</v>
      </c>
      <c r="B383" s="80" t="s">
        <v>3239</v>
      </c>
      <c r="C383" s="80" t="s">
        <v>2309</v>
      </c>
      <c r="D383" s="80" t="s">
        <v>2368</v>
      </c>
      <c r="E383" s="80" t="s">
        <v>754</v>
      </c>
      <c r="F383" s="81" t="s">
        <v>4423</v>
      </c>
      <c r="G383" s="80" t="s">
        <v>4424</v>
      </c>
      <c r="H383" s="80" t="s">
        <v>4425</v>
      </c>
      <c r="I383" s="80" t="s">
        <v>2369</v>
      </c>
      <c r="J383" s="80" t="s">
        <v>2370</v>
      </c>
    </row>
    <row r="384" spans="1:10">
      <c r="A384" s="79">
        <v>98641101111</v>
      </c>
      <c r="B384" s="80" t="s">
        <v>3239</v>
      </c>
      <c r="C384" s="80" t="s">
        <v>2309</v>
      </c>
      <c r="D384" s="80" t="s">
        <v>4426</v>
      </c>
      <c r="E384" s="80" t="s">
        <v>754</v>
      </c>
      <c r="F384" s="81" t="s">
        <v>4427</v>
      </c>
      <c r="G384" s="80" t="s">
        <v>4428</v>
      </c>
      <c r="H384" s="80" t="s">
        <v>4429</v>
      </c>
      <c r="I384" s="80" t="s">
        <v>2212</v>
      </c>
      <c r="J384" s="80" t="s">
        <v>2213</v>
      </c>
    </row>
    <row r="385" spans="1:10">
      <c r="A385" s="79">
        <v>98641415106</v>
      </c>
      <c r="B385" s="80" t="s">
        <v>3239</v>
      </c>
      <c r="C385" s="80" t="s">
        <v>2309</v>
      </c>
      <c r="D385" s="80" t="s">
        <v>2239</v>
      </c>
      <c r="E385" s="80" t="s">
        <v>754</v>
      </c>
      <c r="F385" s="81" t="s">
        <v>4430</v>
      </c>
      <c r="G385" s="80" t="s">
        <v>4431</v>
      </c>
      <c r="H385" s="80" t="s">
        <v>4432</v>
      </c>
      <c r="I385" s="80" t="s">
        <v>2240</v>
      </c>
      <c r="J385" s="80" t="s">
        <v>2241</v>
      </c>
    </row>
    <row r="386" spans="1:10">
      <c r="A386" s="79">
        <v>98641434106</v>
      </c>
      <c r="B386" s="80" t="s">
        <v>3239</v>
      </c>
      <c r="C386" s="80" t="s">
        <v>2309</v>
      </c>
      <c r="D386" s="80" t="s">
        <v>2266</v>
      </c>
      <c r="E386" s="80" t="s">
        <v>754</v>
      </c>
      <c r="F386" s="81" t="s">
        <v>4433</v>
      </c>
      <c r="G386" s="80" t="s">
        <v>4434</v>
      </c>
      <c r="H386" s="80" t="s">
        <v>4435</v>
      </c>
      <c r="I386" s="80" t="s">
        <v>2267</v>
      </c>
      <c r="J386" s="80" t="s">
        <v>2268</v>
      </c>
    </row>
    <row r="387" spans="1:10">
      <c r="A387" s="79">
        <v>98641410106</v>
      </c>
      <c r="B387" s="80" t="s">
        <v>3239</v>
      </c>
      <c r="C387" s="80" t="s">
        <v>2309</v>
      </c>
      <c r="D387" s="80" t="s">
        <v>2229</v>
      </c>
      <c r="E387" s="80" t="s">
        <v>754</v>
      </c>
      <c r="F387" s="81" t="s">
        <v>4436</v>
      </c>
      <c r="G387" s="80" t="s">
        <v>4437</v>
      </c>
      <c r="H387" s="80" t="s">
        <v>4438</v>
      </c>
      <c r="I387" s="80" t="s">
        <v>2230</v>
      </c>
      <c r="J387" s="80" t="s">
        <v>2231</v>
      </c>
    </row>
    <row r="388" spans="1:10">
      <c r="A388" s="79">
        <v>98641445111</v>
      </c>
      <c r="B388" s="80" t="s">
        <v>3239</v>
      </c>
      <c r="C388" s="80" t="s">
        <v>2309</v>
      </c>
      <c r="D388" s="80" t="s">
        <v>2293</v>
      </c>
      <c r="E388" s="80" t="s">
        <v>754</v>
      </c>
      <c r="F388" s="81" t="s">
        <v>4439</v>
      </c>
      <c r="G388" s="80" t="s">
        <v>4440</v>
      </c>
      <c r="H388" s="80" t="s">
        <v>4441</v>
      </c>
      <c r="I388" s="80" t="s">
        <v>2294</v>
      </c>
      <c r="J388" s="80" t="s">
        <v>2295</v>
      </c>
    </row>
    <row r="389" spans="1:10">
      <c r="A389" s="79">
        <v>98641425101</v>
      </c>
      <c r="B389" s="80" t="s">
        <v>3239</v>
      </c>
      <c r="C389" s="80" t="s">
        <v>2309</v>
      </c>
      <c r="D389" s="80" t="s">
        <v>263</v>
      </c>
      <c r="E389" s="80" t="s">
        <v>754</v>
      </c>
      <c r="F389" s="81" t="s">
        <v>4442</v>
      </c>
      <c r="G389" s="80" t="s">
        <v>4443</v>
      </c>
      <c r="H389" s="80" t="s">
        <v>4444</v>
      </c>
      <c r="I389" s="80" t="s">
        <v>2252</v>
      </c>
      <c r="J389" s="80" t="s">
        <v>2253</v>
      </c>
    </row>
    <row r="390" spans="1:10">
      <c r="A390" s="79">
        <v>98641435106</v>
      </c>
      <c r="B390" s="80" t="s">
        <v>3239</v>
      </c>
      <c r="C390" s="80" t="s">
        <v>2309</v>
      </c>
      <c r="D390" s="80" t="s">
        <v>2277</v>
      </c>
      <c r="E390" s="80" t="s">
        <v>754</v>
      </c>
      <c r="F390" s="81" t="s">
        <v>4445</v>
      </c>
      <c r="G390" s="80" t="s">
        <v>4446</v>
      </c>
      <c r="H390" s="80" t="s">
        <v>4447</v>
      </c>
      <c r="I390" s="80" t="s">
        <v>2278</v>
      </c>
      <c r="J390" s="80" t="s">
        <v>2279</v>
      </c>
    </row>
    <row r="391" spans="1:10">
      <c r="A391" s="79">
        <v>98641434101</v>
      </c>
      <c r="B391" s="80" t="s">
        <v>3239</v>
      </c>
      <c r="C391" s="80" t="s">
        <v>2309</v>
      </c>
      <c r="D391" s="80" t="s">
        <v>2263</v>
      </c>
      <c r="E391" s="80" t="s">
        <v>754</v>
      </c>
      <c r="F391" s="81" t="s">
        <v>4448</v>
      </c>
      <c r="G391" s="80" t="s">
        <v>4449</v>
      </c>
      <c r="H391" s="80" t="s">
        <v>4450</v>
      </c>
      <c r="I391" s="80" t="s">
        <v>2264</v>
      </c>
      <c r="J391" s="80" t="s">
        <v>2265</v>
      </c>
    </row>
    <row r="392" spans="1:10">
      <c r="A392" s="79">
        <v>98641460111</v>
      </c>
      <c r="B392" s="80" t="s">
        <v>3239</v>
      </c>
      <c r="C392" s="80" t="s">
        <v>2309</v>
      </c>
      <c r="D392" s="80" t="s">
        <v>2318</v>
      </c>
      <c r="E392" s="80" t="s">
        <v>754</v>
      </c>
      <c r="F392" s="81" t="s">
        <v>4451</v>
      </c>
      <c r="G392" s="80" t="s">
        <v>4452</v>
      </c>
      <c r="H392" s="80" t="s">
        <v>4453</v>
      </c>
      <c r="I392" s="80" t="s">
        <v>2319</v>
      </c>
      <c r="J392" s="80" t="s">
        <v>2320</v>
      </c>
    </row>
    <row r="393" spans="1:10">
      <c r="A393" s="79">
        <v>98641460116</v>
      </c>
      <c r="B393" s="80" t="s">
        <v>3239</v>
      </c>
      <c r="C393" s="80" t="s">
        <v>2309</v>
      </c>
      <c r="D393" s="80" t="s">
        <v>548</v>
      </c>
      <c r="E393" s="80" t="s">
        <v>754</v>
      </c>
      <c r="F393" s="81" t="s">
        <v>4454</v>
      </c>
      <c r="G393" s="80" t="s">
        <v>4455</v>
      </c>
      <c r="H393" s="80" t="s">
        <v>4456</v>
      </c>
      <c r="I393" s="80" t="s">
        <v>2321</v>
      </c>
      <c r="J393" s="80" t="s">
        <v>2322</v>
      </c>
    </row>
    <row r="394" spans="1:10">
      <c r="A394" s="79">
        <v>98641440101</v>
      </c>
      <c r="B394" s="80" t="s">
        <v>3239</v>
      </c>
      <c r="C394" s="80" t="s">
        <v>2309</v>
      </c>
      <c r="D394" s="80" t="s">
        <v>51</v>
      </c>
      <c r="E394" s="80" t="s">
        <v>754</v>
      </c>
      <c r="F394" s="81" t="s">
        <v>4457</v>
      </c>
      <c r="G394" s="80" t="s">
        <v>4458</v>
      </c>
      <c r="H394" s="80" t="s">
        <v>4459</v>
      </c>
      <c r="I394" s="80" t="s">
        <v>2284</v>
      </c>
      <c r="J394" s="80" t="s">
        <v>2285</v>
      </c>
    </row>
    <row r="395" spans="1:10">
      <c r="A395" s="79">
        <v>98641485111</v>
      </c>
      <c r="B395" s="80" t="s">
        <v>3239</v>
      </c>
      <c r="C395" s="80" t="s">
        <v>2309</v>
      </c>
      <c r="D395" s="80" t="s">
        <v>2353</v>
      </c>
      <c r="E395" s="80" t="s">
        <v>754</v>
      </c>
      <c r="F395" s="81" t="s">
        <v>4460</v>
      </c>
      <c r="G395" s="80" t="s">
        <v>4461</v>
      </c>
      <c r="H395" s="80" t="s">
        <v>4462</v>
      </c>
      <c r="I395" s="80" t="s">
        <v>2354</v>
      </c>
      <c r="J395" s="80" t="s">
        <v>2355</v>
      </c>
    </row>
    <row r="396" spans="1:10">
      <c r="A396" s="79">
        <v>98641445101</v>
      </c>
      <c r="B396" s="80" t="s">
        <v>3239</v>
      </c>
      <c r="C396" s="80" t="s">
        <v>2309</v>
      </c>
      <c r="D396" s="80" t="s">
        <v>2287</v>
      </c>
      <c r="E396" s="80" t="s">
        <v>754</v>
      </c>
      <c r="F396" s="81" t="s">
        <v>4463</v>
      </c>
      <c r="G396" s="80" t="s">
        <v>4464</v>
      </c>
      <c r="H396" s="80" t="s">
        <v>4465</v>
      </c>
      <c r="I396" s="80" t="s">
        <v>2288</v>
      </c>
      <c r="J396" s="80" t="s">
        <v>2289</v>
      </c>
    </row>
    <row r="397" spans="1:10">
      <c r="A397" s="79">
        <v>98641450101</v>
      </c>
      <c r="B397" s="80" t="s">
        <v>3239</v>
      </c>
      <c r="C397" s="80" t="s">
        <v>2309</v>
      </c>
      <c r="D397" s="80" t="s">
        <v>2299</v>
      </c>
      <c r="E397" s="80" t="s">
        <v>754</v>
      </c>
      <c r="F397" s="81" t="s">
        <v>4466</v>
      </c>
      <c r="G397" s="80" t="s">
        <v>4467</v>
      </c>
      <c r="H397" s="80" t="s">
        <v>4468</v>
      </c>
      <c r="I397" s="80" t="s">
        <v>2300</v>
      </c>
      <c r="J397" s="80" t="s">
        <v>2301</v>
      </c>
    </row>
    <row r="398" spans="1:10">
      <c r="A398" s="79">
        <v>98641101116</v>
      </c>
      <c r="B398" s="80" t="s">
        <v>3239</v>
      </c>
      <c r="C398" s="80" t="s">
        <v>2309</v>
      </c>
      <c r="D398" s="80" t="s">
        <v>1718</v>
      </c>
      <c r="E398" s="80" t="s">
        <v>754</v>
      </c>
      <c r="F398" s="81" t="s">
        <v>4469</v>
      </c>
      <c r="G398" s="80" t="s">
        <v>4470</v>
      </c>
      <c r="H398" s="80" t="s">
        <v>4471</v>
      </c>
      <c r="I398" s="80" t="s">
        <v>2214</v>
      </c>
      <c r="J398" s="80" t="s">
        <v>2215</v>
      </c>
    </row>
    <row r="399" spans="1:10">
      <c r="A399" s="79">
        <v>98641101001</v>
      </c>
      <c r="B399" s="80" t="s">
        <v>3239</v>
      </c>
      <c r="C399" s="80" t="s">
        <v>2309</v>
      </c>
      <c r="D399" s="80" t="s">
        <v>3146</v>
      </c>
      <c r="E399" s="80" t="s">
        <v>740</v>
      </c>
      <c r="F399" s="81" t="s">
        <v>4472</v>
      </c>
      <c r="G399" s="80" t="s">
        <v>4473</v>
      </c>
      <c r="H399" s="80" t="s">
        <v>4474</v>
      </c>
      <c r="I399" s="80" t="s">
        <v>2207</v>
      </c>
      <c r="J399" s="80" t="s">
        <v>2208</v>
      </c>
    </row>
    <row r="400" spans="1:10">
      <c r="A400" s="79">
        <v>98641453101</v>
      </c>
      <c r="B400" s="80" t="s">
        <v>3239</v>
      </c>
      <c r="C400" s="80" t="s">
        <v>2309</v>
      </c>
      <c r="D400" s="80" t="s">
        <v>4475</v>
      </c>
      <c r="E400" s="80" t="s">
        <v>754</v>
      </c>
      <c r="F400" s="81" t="s">
        <v>4476</v>
      </c>
      <c r="G400" s="80" t="s">
        <v>4477</v>
      </c>
      <c r="H400" s="80" t="s">
        <v>4478</v>
      </c>
      <c r="I400" s="80" t="s">
        <v>2310</v>
      </c>
      <c r="J400" s="80" t="s">
        <v>2311</v>
      </c>
    </row>
    <row r="401" spans="1:10">
      <c r="A401" s="79">
        <v>98641434111</v>
      </c>
      <c r="B401" s="80" t="s">
        <v>3239</v>
      </c>
      <c r="C401" s="80" t="s">
        <v>2309</v>
      </c>
      <c r="D401" s="80" t="s">
        <v>2269</v>
      </c>
      <c r="E401" s="80" t="s">
        <v>754</v>
      </c>
      <c r="F401" s="81" t="s">
        <v>4479</v>
      </c>
      <c r="G401" s="80" t="s">
        <v>4480</v>
      </c>
      <c r="H401" s="80" t="s">
        <v>4481</v>
      </c>
      <c r="I401" s="80" t="s">
        <v>2270</v>
      </c>
      <c r="J401" s="80" t="s">
        <v>2271</v>
      </c>
    </row>
    <row r="402" spans="1:10">
      <c r="A402" s="79">
        <v>98641460101</v>
      </c>
      <c r="B402" s="80" t="s">
        <v>3239</v>
      </c>
      <c r="C402" s="80" t="s">
        <v>2309</v>
      </c>
      <c r="D402" s="80" t="s">
        <v>78</v>
      </c>
      <c r="E402" s="80" t="s">
        <v>754</v>
      </c>
      <c r="F402" s="81" t="s">
        <v>4482</v>
      </c>
      <c r="G402" s="80" t="s">
        <v>4483</v>
      </c>
      <c r="H402" s="80" t="s">
        <v>4484</v>
      </c>
      <c r="I402" s="80" t="s">
        <v>2313</v>
      </c>
      <c r="J402" s="80" t="s">
        <v>2314</v>
      </c>
    </row>
    <row r="403" spans="1:10">
      <c r="A403" s="79">
        <v>98641101121</v>
      </c>
      <c r="B403" s="80" t="s">
        <v>3239</v>
      </c>
      <c r="C403" s="80" t="s">
        <v>2309</v>
      </c>
      <c r="D403" s="80" t="s">
        <v>2216</v>
      </c>
      <c r="E403" s="80" t="s">
        <v>754</v>
      </c>
      <c r="F403" s="81" t="s">
        <v>4485</v>
      </c>
      <c r="G403" s="80" t="s">
        <v>4486</v>
      </c>
      <c r="H403" s="80" t="s">
        <v>4487</v>
      </c>
      <c r="I403" s="80" t="s">
        <v>2217</v>
      </c>
      <c r="J403" s="80" t="s">
        <v>2218</v>
      </c>
    </row>
    <row r="404" spans="1:10">
      <c r="A404" s="79">
        <v>98641465101</v>
      </c>
      <c r="B404" s="80" t="s">
        <v>3239</v>
      </c>
      <c r="C404" s="80" t="s">
        <v>2309</v>
      </c>
      <c r="D404" s="80" t="s">
        <v>69</v>
      </c>
      <c r="E404" s="80" t="s">
        <v>754</v>
      </c>
      <c r="F404" s="81" t="s">
        <v>4488</v>
      </c>
      <c r="G404" s="80" t="s">
        <v>4489</v>
      </c>
      <c r="H404" s="80" t="s">
        <v>4490</v>
      </c>
      <c r="I404" s="80" t="s">
        <v>2324</v>
      </c>
      <c r="J404" s="80" t="s">
        <v>2325</v>
      </c>
    </row>
    <row r="405" spans="1:10">
      <c r="A405" s="79">
        <v>98641445116</v>
      </c>
      <c r="B405" s="80" t="s">
        <v>3239</v>
      </c>
      <c r="C405" s="80" t="s">
        <v>2309</v>
      </c>
      <c r="D405" s="80" t="s">
        <v>4491</v>
      </c>
      <c r="E405" s="80" t="s">
        <v>754</v>
      </c>
      <c r="F405" s="81" t="s">
        <v>4492</v>
      </c>
      <c r="G405" s="80" t="s">
        <v>4464</v>
      </c>
      <c r="H405" s="80" t="s">
        <v>4493</v>
      </c>
      <c r="I405" s="80" t="s">
        <v>2288</v>
      </c>
      <c r="J405" s="80" t="s">
        <v>2297</v>
      </c>
    </row>
    <row r="406" spans="1:10">
      <c r="A406" s="79">
        <v>98641487106</v>
      </c>
      <c r="B406" s="80" t="s">
        <v>3239</v>
      </c>
      <c r="C406" s="80" t="s">
        <v>2309</v>
      </c>
      <c r="D406" s="80" t="s">
        <v>2360</v>
      </c>
      <c r="E406" s="80" t="s">
        <v>754</v>
      </c>
      <c r="F406" s="81" t="s">
        <v>4494</v>
      </c>
      <c r="G406" s="80" t="s">
        <v>4495</v>
      </c>
      <c r="H406" s="80" t="s">
        <v>4496</v>
      </c>
      <c r="I406" s="80" t="s">
        <v>2361</v>
      </c>
      <c r="J406" s="80" t="s">
        <v>2362</v>
      </c>
    </row>
    <row r="407" spans="1:10">
      <c r="A407" s="79">
        <v>98641420101</v>
      </c>
      <c r="B407" s="80" t="s">
        <v>3239</v>
      </c>
      <c r="C407" s="80" t="s">
        <v>2309</v>
      </c>
      <c r="D407" s="80" t="s">
        <v>275</v>
      </c>
      <c r="E407" s="80" t="s">
        <v>754</v>
      </c>
      <c r="F407" s="81" t="s">
        <v>4497</v>
      </c>
      <c r="G407" s="80" t="s">
        <v>4498</v>
      </c>
      <c r="H407" s="80" t="s">
        <v>4499</v>
      </c>
      <c r="I407" s="80" t="s">
        <v>2243</v>
      </c>
      <c r="J407" s="80" t="s">
        <v>2244</v>
      </c>
    </row>
    <row r="408" spans="1:10">
      <c r="A408" s="79">
        <v>98641475056</v>
      </c>
      <c r="B408" s="80" t="s">
        <v>3239</v>
      </c>
      <c r="C408" s="80" t="s">
        <v>2309</v>
      </c>
      <c r="D408" s="80" t="s">
        <v>2333</v>
      </c>
      <c r="E408" s="80" t="s">
        <v>819</v>
      </c>
      <c r="F408" s="81" t="s">
        <v>4500</v>
      </c>
      <c r="G408" s="80" t="s">
        <v>4501</v>
      </c>
      <c r="H408" s="80" t="s">
        <v>4502</v>
      </c>
      <c r="I408" s="80" t="s">
        <v>2334</v>
      </c>
      <c r="J408" s="80" t="s">
        <v>2335</v>
      </c>
    </row>
    <row r="409" spans="1:10">
      <c r="A409" s="79">
        <v>98641470101</v>
      </c>
      <c r="B409" s="80" t="s">
        <v>3239</v>
      </c>
      <c r="C409" s="80" t="s">
        <v>2309</v>
      </c>
      <c r="D409" s="80" t="s">
        <v>2329</v>
      </c>
      <c r="E409" s="80" t="s">
        <v>754</v>
      </c>
      <c r="F409" s="81" t="s">
        <v>4503</v>
      </c>
      <c r="G409" s="80" t="s">
        <v>4504</v>
      </c>
      <c r="H409" s="80" t="s">
        <v>4505</v>
      </c>
      <c r="I409" s="80" t="s">
        <v>2330</v>
      </c>
      <c r="J409" s="80" t="s">
        <v>2331</v>
      </c>
    </row>
    <row r="410" spans="1:10">
      <c r="A410" s="79">
        <v>98641434116</v>
      </c>
      <c r="B410" s="80" t="s">
        <v>3239</v>
      </c>
      <c r="C410" s="80" t="s">
        <v>2309</v>
      </c>
      <c r="D410" s="80" t="s">
        <v>2272</v>
      </c>
      <c r="E410" s="80" t="s">
        <v>754</v>
      </c>
      <c r="F410" s="81" t="s">
        <v>4506</v>
      </c>
      <c r="G410" s="80" t="s">
        <v>4507</v>
      </c>
      <c r="H410" s="80" t="s">
        <v>4508</v>
      </c>
      <c r="I410" s="80" t="s">
        <v>2273</v>
      </c>
      <c r="J410" s="80" t="s">
        <v>2274</v>
      </c>
    </row>
    <row r="411" spans="1:10">
      <c r="A411" s="79">
        <v>98641435111</v>
      </c>
      <c r="B411" s="80" t="s">
        <v>3239</v>
      </c>
      <c r="C411" s="80" t="s">
        <v>2309</v>
      </c>
      <c r="D411" s="80" t="s">
        <v>2280</v>
      </c>
      <c r="E411" s="80" t="s">
        <v>754</v>
      </c>
      <c r="F411" s="81" t="s">
        <v>4509</v>
      </c>
      <c r="G411" s="80" t="s">
        <v>4510</v>
      </c>
      <c r="H411" s="80" t="s">
        <v>4511</v>
      </c>
      <c r="I411" s="80" t="s">
        <v>2281</v>
      </c>
      <c r="J411" s="80" t="s">
        <v>2282</v>
      </c>
    </row>
    <row r="412" spans="1:10">
      <c r="A412" s="79">
        <v>98641475101</v>
      </c>
      <c r="B412" s="80" t="s">
        <v>3239</v>
      </c>
      <c r="C412" s="80" t="s">
        <v>2309</v>
      </c>
      <c r="D412" s="80" t="s">
        <v>279</v>
      </c>
      <c r="E412" s="80" t="s">
        <v>754</v>
      </c>
      <c r="F412" s="81" t="s">
        <v>4512</v>
      </c>
      <c r="G412" s="80" t="s">
        <v>4513</v>
      </c>
      <c r="H412" s="80" t="s">
        <v>4514</v>
      </c>
      <c r="I412" s="80" t="s">
        <v>2336</v>
      </c>
      <c r="J412" s="80" t="s">
        <v>2337</v>
      </c>
    </row>
    <row r="413" spans="1:10">
      <c r="A413" s="79">
        <v>98641477101</v>
      </c>
      <c r="B413" s="80" t="s">
        <v>3239</v>
      </c>
      <c r="C413" s="80" t="s">
        <v>2309</v>
      </c>
      <c r="D413" s="80" t="s">
        <v>2339</v>
      </c>
      <c r="E413" s="80" t="s">
        <v>754</v>
      </c>
      <c r="F413" s="81" t="s">
        <v>4515</v>
      </c>
      <c r="G413" s="80" t="s">
        <v>4516</v>
      </c>
      <c r="H413" s="80" t="s">
        <v>4517</v>
      </c>
      <c r="I413" s="80" t="s">
        <v>2340</v>
      </c>
      <c r="J413" s="80" t="s">
        <v>2341</v>
      </c>
    </row>
    <row r="414" spans="1:10">
      <c r="A414" s="79">
        <v>98641420111</v>
      </c>
      <c r="B414" s="80" t="s">
        <v>3239</v>
      </c>
      <c r="C414" s="80" t="s">
        <v>2309</v>
      </c>
      <c r="D414" s="80" t="s">
        <v>2247</v>
      </c>
      <c r="E414" s="80" t="s">
        <v>754</v>
      </c>
      <c r="F414" s="81" t="s">
        <v>4518</v>
      </c>
      <c r="G414" s="80" t="s">
        <v>4519</v>
      </c>
      <c r="H414" s="80" t="s">
        <v>4520</v>
      </c>
      <c r="I414" s="80" t="s">
        <v>2248</v>
      </c>
      <c r="J414" s="80" t="s">
        <v>2249</v>
      </c>
    </row>
    <row r="415" spans="1:10">
      <c r="A415" s="79">
        <v>98641480101</v>
      </c>
      <c r="B415" s="80" t="s">
        <v>3239</v>
      </c>
      <c r="C415" s="80" t="s">
        <v>2309</v>
      </c>
      <c r="D415" s="80" t="s">
        <v>2343</v>
      </c>
      <c r="E415" s="80" t="s">
        <v>754</v>
      </c>
      <c r="F415" s="81" t="s">
        <v>4521</v>
      </c>
      <c r="G415" s="80" t="s">
        <v>4522</v>
      </c>
      <c r="H415" s="80" t="s">
        <v>4523</v>
      </c>
      <c r="I415" s="80" t="s">
        <v>2344</v>
      </c>
      <c r="J415" s="80" t="s">
        <v>2345</v>
      </c>
    </row>
    <row r="416" spans="1:10">
      <c r="A416" s="79">
        <v>98641465106</v>
      </c>
      <c r="B416" s="80" t="s">
        <v>3239</v>
      </c>
      <c r="C416" s="80" t="s">
        <v>2309</v>
      </c>
      <c r="D416" s="80" t="s">
        <v>1240</v>
      </c>
      <c r="E416" s="80" t="s">
        <v>754</v>
      </c>
      <c r="F416" s="81" t="s">
        <v>4524</v>
      </c>
      <c r="G416" s="80" t="s">
        <v>4525</v>
      </c>
      <c r="H416" s="80" t="s">
        <v>4526</v>
      </c>
      <c r="I416" s="80" t="s">
        <v>2326</v>
      </c>
      <c r="J416" s="80" t="s">
        <v>2327</v>
      </c>
    </row>
    <row r="417" spans="1:10">
      <c r="A417" s="79">
        <v>98641480106</v>
      </c>
      <c r="B417" s="80" t="s">
        <v>3239</v>
      </c>
      <c r="C417" s="80" t="s">
        <v>2309</v>
      </c>
      <c r="D417" s="80" t="s">
        <v>75</v>
      </c>
      <c r="E417" s="80" t="s">
        <v>754</v>
      </c>
      <c r="F417" s="81" t="s">
        <v>4527</v>
      </c>
      <c r="G417" s="80" t="s">
        <v>4528</v>
      </c>
      <c r="H417" s="80" t="s">
        <v>4529</v>
      </c>
      <c r="I417" s="80" t="s">
        <v>2346</v>
      </c>
      <c r="J417" s="80" t="s">
        <v>2347</v>
      </c>
    </row>
    <row r="418" spans="1:10">
      <c r="A418" s="79">
        <v>98641450111</v>
      </c>
      <c r="B418" s="80" t="s">
        <v>3239</v>
      </c>
      <c r="C418" s="80" t="s">
        <v>2309</v>
      </c>
      <c r="D418" s="80" t="s">
        <v>2305</v>
      </c>
      <c r="E418" s="80" t="s">
        <v>754</v>
      </c>
      <c r="F418" s="81" t="s">
        <v>4530</v>
      </c>
      <c r="G418" s="80" t="s">
        <v>4531</v>
      </c>
      <c r="H418" s="80" t="s">
        <v>4532</v>
      </c>
      <c r="I418" s="80" t="s">
        <v>2306</v>
      </c>
      <c r="J418" s="80" t="s">
        <v>2307</v>
      </c>
    </row>
    <row r="419" spans="1:10">
      <c r="A419" s="79">
        <v>98641485101</v>
      </c>
      <c r="B419" s="80" t="s">
        <v>3239</v>
      </c>
      <c r="C419" s="80" t="s">
        <v>2309</v>
      </c>
      <c r="D419" s="80" t="s">
        <v>2348</v>
      </c>
      <c r="E419" s="80" t="s">
        <v>754</v>
      </c>
      <c r="F419" s="81" t="s">
        <v>4533</v>
      </c>
      <c r="G419" s="80" t="s">
        <v>4534</v>
      </c>
      <c r="H419" s="80" t="s">
        <v>4535</v>
      </c>
      <c r="I419" s="80" t="s">
        <v>2349</v>
      </c>
      <c r="J419" s="80" t="s">
        <v>2350</v>
      </c>
    </row>
    <row r="420" spans="1:10">
      <c r="A420" s="79">
        <v>98641487101</v>
      </c>
      <c r="B420" s="80" t="s">
        <v>3239</v>
      </c>
      <c r="C420" s="80" t="s">
        <v>2309</v>
      </c>
      <c r="D420" s="80" t="s">
        <v>2357</v>
      </c>
      <c r="E420" s="80" t="s">
        <v>754</v>
      </c>
      <c r="F420" s="81" t="s">
        <v>4536</v>
      </c>
      <c r="G420" s="80" t="s">
        <v>4537</v>
      </c>
      <c r="H420" s="80" t="s">
        <v>4538</v>
      </c>
      <c r="I420" s="80" t="s">
        <v>2358</v>
      </c>
      <c r="J420" s="80" t="s">
        <v>2359</v>
      </c>
    </row>
    <row r="421" spans="1:10">
      <c r="A421" s="79">
        <v>98641410111</v>
      </c>
      <c r="B421" s="80" t="s">
        <v>3239</v>
      </c>
      <c r="C421" s="80" t="s">
        <v>2309</v>
      </c>
      <c r="D421" s="80" t="s">
        <v>2232</v>
      </c>
      <c r="E421" s="80" t="s">
        <v>754</v>
      </c>
      <c r="F421" s="81" t="s">
        <v>4539</v>
      </c>
      <c r="G421" s="80" t="s">
        <v>4540</v>
      </c>
      <c r="H421" s="80" t="s">
        <v>4541</v>
      </c>
      <c r="I421" s="80" t="s">
        <v>2233</v>
      </c>
      <c r="J421" s="80" t="s">
        <v>2234</v>
      </c>
    </row>
    <row r="422" spans="1:10">
      <c r="A422" s="79">
        <v>98641435101</v>
      </c>
      <c r="B422" s="80" t="s">
        <v>3239</v>
      </c>
      <c r="C422" s="80" t="s">
        <v>2309</v>
      </c>
      <c r="D422" s="80" t="s">
        <v>611</v>
      </c>
      <c r="E422" s="80" t="s">
        <v>754</v>
      </c>
      <c r="F422" s="81" t="s">
        <v>4542</v>
      </c>
      <c r="G422" s="80" t="s">
        <v>4543</v>
      </c>
      <c r="H422" s="80" t="s">
        <v>4544</v>
      </c>
      <c r="I422" s="80" t="s">
        <v>2275</v>
      </c>
      <c r="J422" s="80" t="s">
        <v>2276</v>
      </c>
    </row>
    <row r="423" spans="1:10">
      <c r="A423" s="79">
        <v>98642411</v>
      </c>
      <c r="B423" s="80" t="s">
        <v>3239</v>
      </c>
      <c r="C423" s="80" t="s">
        <v>4545</v>
      </c>
      <c r="D423" s="80" t="s">
        <v>825</v>
      </c>
      <c r="E423" s="80" t="s">
        <v>754</v>
      </c>
      <c r="F423" s="81" t="s">
        <v>4546</v>
      </c>
      <c r="G423" s="80" t="s">
        <v>4547</v>
      </c>
      <c r="H423" s="80" t="s">
        <v>4548</v>
      </c>
      <c r="I423" s="80" t="s">
        <v>4549</v>
      </c>
      <c r="J423" s="80" t="s">
        <v>4550</v>
      </c>
    </row>
    <row r="424" spans="1:10">
      <c r="A424" s="79">
        <v>98642437</v>
      </c>
      <c r="B424" s="80" t="s">
        <v>3239</v>
      </c>
      <c r="C424" s="80" t="s">
        <v>4545</v>
      </c>
      <c r="D424" s="80" t="s">
        <v>832</v>
      </c>
      <c r="E424" s="80" t="s">
        <v>754</v>
      </c>
      <c r="F424" s="81" t="s">
        <v>4551</v>
      </c>
      <c r="G424" s="80" t="s">
        <v>4552</v>
      </c>
      <c r="H424" s="80" t="s">
        <v>4553</v>
      </c>
      <c r="I424" s="80" t="s">
        <v>4554</v>
      </c>
      <c r="J424" s="80" t="s">
        <v>4555</v>
      </c>
    </row>
    <row r="425" spans="1:10">
      <c r="A425" s="79">
        <v>98642424101</v>
      </c>
      <c r="B425" s="80" t="s">
        <v>3239</v>
      </c>
      <c r="C425" s="80" t="s">
        <v>4545</v>
      </c>
      <c r="D425" s="80" t="s">
        <v>1240</v>
      </c>
      <c r="E425" s="80" t="s">
        <v>754</v>
      </c>
      <c r="F425" s="81" t="s">
        <v>4556</v>
      </c>
      <c r="G425" s="80" t="s">
        <v>4557</v>
      </c>
      <c r="H425" s="80" t="s">
        <v>4558</v>
      </c>
      <c r="I425" s="80" t="s">
        <v>2376</v>
      </c>
      <c r="J425" s="80" t="s">
        <v>2377</v>
      </c>
    </row>
    <row r="426" spans="1:10">
      <c r="A426" s="79">
        <v>98642450</v>
      </c>
      <c r="B426" s="80" t="s">
        <v>3239</v>
      </c>
      <c r="C426" s="80" t="s">
        <v>4545</v>
      </c>
      <c r="D426" s="80" t="s">
        <v>840</v>
      </c>
      <c r="E426" s="80" t="s">
        <v>754</v>
      </c>
      <c r="F426" s="81" t="s">
        <v>4559</v>
      </c>
      <c r="G426" s="80" t="s">
        <v>4560</v>
      </c>
      <c r="H426" s="80" t="s">
        <v>4561</v>
      </c>
      <c r="I426" s="80" t="s">
        <v>4562</v>
      </c>
      <c r="J426" s="80" t="s">
        <v>4563</v>
      </c>
    </row>
    <row r="427" spans="1:10">
      <c r="A427" s="79">
        <v>98646420101</v>
      </c>
      <c r="B427" s="80" t="s">
        <v>3239</v>
      </c>
      <c r="C427" s="80" t="s">
        <v>4564</v>
      </c>
      <c r="D427" s="80" t="s">
        <v>4565</v>
      </c>
      <c r="E427" s="80" t="s">
        <v>754</v>
      </c>
      <c r="F427" s="81" t="s">
        <v>4566</v>
      </c>
      <c r="G427" s="80" t="s">
        <v>4567</v>
      </c>
      <c r="H427" s="80" t="s">
        <v>4568</v>
      </c>
      <c r="I427" s="80" t="s">
        <v>2505</v>
      </c>
      <c r="J427" s="80" t="s">
        <v>2506</v>
      </c>
    </row>
    <row r="428" spans="1:10">
      <c r="A428" s="79">
        <v>98646405101</v>
      </c>
      <c r="B428" s="80" t="s">
        <v>3239</v>
      </c>
      <c r="C428" s="80" t="s">
        <v>4564</v>
      </c>
      <c r="D428" s="80" t="s">
        <v>711</v>
      </c>
      <c r="E428" s="80" t="s">
        <v>754</v>
      </c>
      <c r="F428" s="81" t="s">
        <v>4569</v>
      </c>
      <c r="G428" s="80" t="s">
        <v>4570</v>
      </c>
      <c r="H428" s="80" t="s">
        <v>4571</v>
      </c>
      <c r="I428" s="80" t="s">
        <v>2491</v>
      </c>
      <c r="J428" s="80" t="s">
        <v>2492</v>
      </c>
    </row>
    <row r="429" spans="1:10">
      <c r="A429" s="79">
        <v>98646415101</v>
      </c>
      <c r="B429" s="80" t="s">
        <v>3239</v>
      </c>
      <c r="C429" s="80" t="s">
        <v>4564</v>
      </c>
      <c r="D429" s="80" t="s">
        <v>810</v>
      </c>
      <c r="E429" s="80" t="s">
        <v>754</v>
      </c>
      <c r="F429" s="81" t="s">
        <v>4572</v>
      </c>
      <c r="G429" s="80" t="s">
        <v>4573</v>
      </c>
      <c r="H429" s="80" t="s">
        <v>4574</v>
      </c>
      <c r="I429" s="80" t="s">
        <v>2498</v>
      </c>
      <c r="J429" s="80" t="s">
        <v>2499</v>
      </c>
    </row>
    <row r="430" spans="1:10">
      <c r="A430" s="79">
        <v>98646101106</v>
      </c>
      <c r="B430" s="80" t="s">
        <v>3239</v>
      </c>
      <c r="C430" s="80" t="s">
        <v>4564</v>
      </c>
      <c r="D430" s="80" t="s">
        <v>2486</v>
      </c>
      <c r="E430" s="80" t="s">
        <v>754</v>
      </c>
      <c r="F430" s="81" t="s">
        <v>4575</v>
      </c>
      <c r="G430" s="80" t="s">
        <v>4576</v>
      </c>
      <c r="H430" s="80" t="s">
        <v>4577</v>
      </c>
      <c r="I430" s="80" t="s">
        <v>2487</v>
      </c>
      <c r="J430" s="80" t="s">
        <v>2488</v>
      </c>
    </row>
    <row r="431" spans="1:10">
      <c r="A431" s="79">
        <v>98646410101</v>
      </c>
      <c r="B431" s="80" t="s">
        <v>3239</v>
      </c>
      <c r="C431" s="80" t="s">
        <v>4564</v>
      </c>
      <c r="D431" s="80" t="s">
        <v>2494</v>
      </c>
      <c r="E431" s="80" t="s">
        <v>754</v>
      </c>
      <c r="F431" s="81" t="s">
        <v>4578</v>
      </c>
      <c r="G431" s="80" t="s">
        <v>4579</v>
      </c>
      <c r="H431" s="80" t="s">
        <v>4580</v>
      </c>
      <c r="I431" s="80" t="s">
        <v>2495</v>
      </c>
      <c r="J431" s="80" t="s">
        <v>2496</v>
      </c>
    </row>
    <row r="432" spans="1:10">
      <c r="A432" s="79">
        <v>98646442101</v>
      </c>
      <c r="B432" s="80" t="s">
        <v>3239</v>
      </c>
      <c r="C432" s="80" t="s">
        <v>4564</v>
      </c>
      <c r="D432" s="80" t="s">
        <v>2525</v>
      </c>
      <c r="E432" s="80" t="s">
        <v>754</v>
      </c>
      <c r="F432" s="81" t="s">
        <v>4581</v>
      </c>
      <c r="G432" s="80" t="s">
        <v>4582</v>
      </c>
      <c r="H432" s="80" t="s">
        <v>4583</v>
      </c>
      <c r="I432" s="80" t="s">
        <v>2526</v>
      </c>
      <c r="J432" s="80" t="s">
        <v>2527</v>
      </c>
    </row>
    <row r="433" spans="1:10">
      <c r="A433" s="79">
        <v>98646442106</v>
      </c>
      <c r="B433" s="80" t="s">
        <v>3239</v>
      </c>
      <c r="C433" s="80" t="s">
        <v>4564</v>
      </c>
      <c r="D433" s="80" t="s">
        <v>2528</v>
      </c>
      <c r="E433" s="80" t="s">
        <v>754</v>
      </c>
      <c r="F433" s="81" t="s">
        <v>4584</v>
      </c>
      <c r="G433" s="80" t="s">
        <v>4585</v>
      </c>
      <c r="H433" s="80" t="s">
        <v>4586</v>
      </c>
      <c r="I433" s="80" t="s">
        <v>2529</v>
      </c>
      <c r="J433" s="80" t="s">
        <v>2530</v>
      </c>
    </row>
    <row r="434" spans="1:10">
      <c r="A434" s="79">
        <v>98646436101</v>
      </c>
      <c r="B434" s="80" t="s">
        <v>3239</v>
      </c>
      <c r="C434" s="80" t="s">
        <v>4564</v>
      </c>
      <c r="D434" s="80" t="s">
        <v>708</v>
      </c>
      <c r="E434" s="80" t="s">
        <v>754</v>
      </c>
      <c r="F434" s="81" t="s">
        <v>4587</v>
      </c>
      <c r="G434" s="80" t="s">
        <v>4588</v>
      </c>
      <c r="H434" s="80" t="s">
        <v>4589</v>
      </c>
      <c r="I434" s="80" t="s">
        <v>2519</v>
      </c>
      <c r="J434" s="80" t="s">
        <v>2520</v>
      </c>
    </row>
    <row r="435" spans="1:10">
      <c r="A435" s="79">
        <v>98646420106</v>
      </c>
      <c r="B435" s="80" t="s">
        <v>3239</v>
      </c>
      <c r="C435" s="80" t="s">
        <v>4564</v>
      </c>
      <c r="D435" s="80" t="s">
        <v>2507</v>
      </c>
      <c r="E435" s="80" t="s">
        <v>754</v>
      </c>
      <c r="F435" s="81" t="s">
        <v>4590</v>
      </c>
      <c r="G435" s="80" t="s">
        <v>4591</v>
      </c>
      <c r="H435" s="80" t="s">
        <v>4592</v>
      </c>
      <c r="I435" s="80" t="s">
        <v>2508</v>
      </c>
      <c r="J435" s="80" t="s">
        <v>2509</v>
      </c>
    </row>
    <row r="436" spans="1:10">
      <c r="A436" s="79">
        <v>98646101001</v>
      </c>
      <c r="B436" s="80" t="s">
        <v>3239</v>
      </c>
      <c r="C436" s="80" t="s">
        <v>4564</v>
      </c>
      <c r="D436" s="80" t="s">
        <v>682</v>
      </c>
      <c r="E436" s="80" t="s">
        <v>740</v>
      </c>
      <c r="F436" s="81" t="s">
        <v>4593</v>
      </c>
      <c r="G436" s="80" t="s">
        <v>4594</v>
      </c>
      <c r="H436" s="80" t="s">
        <v>4595</v>
      </c>
      <c r="I436" s="80" t="s">
        <v>2484</v>
      </c>
      <c r="J436" s="80" t="s">
        <v>2485</v>
      </c>
    </row>
    <row r="437" spans="1:10">
      <c r="A437" s="79">
        <v>98646436106</v>
      </c>
      <c r="B437" s="80" t="s">
        <v>3239</v>
      </c>
      <c r="C437" s="80" t="s">
        <v>4564</v>
      </c>
      <c r="D437" s="80" t="s">
        <v>2521</v>
      </c>
      <c r="E437" s="80" t="s">
        <v>754</v>
      </c>
      <c r="F437" s="81" t="s">
        <v>4596</v>
      </c>
      <c r="G437" s="80" t="s">
        <v>4597</v>
      </c>
      <c r="H437" s="80" t="s">
        <v>4598</v>
      </c>
      <c r="I437" s="80" t="s">
        <v>2522</v>
      </c>
      <c r="J437" s="80" t="s">
        <v>2523</v>
      </c>
    </row>
    <row r="438" spans="1:10">
      <c r="A438" s="79">
        <v>98646435101</v>
      </c>
      <c r="B438" s="80" t="s">
        <v>3239</v>
      </c>
      <c r="C438" s="80" t="s">
        <v>4564</v>
      </c>
      <c r="D438" s="80" t="s">
        <v>2515</v>
      </c>
      <c r="E438" s="80" t="s">
        <v>754</v>
      </c>
      <c r="F438" s="81" t="s">
        <v>4599</v>
      </c>
      <c r="G438" s="80" t="s">
        <v>4600</v>
      </c>
      <c r="H438" s="80" t="s">
        <v>4601</v>
      </c>
      <c r="I438" s="80" t="s">
        <v>2516</v>
      </c>
      <c r="J438" s="80" t="s">
        <v>2517</v>
      </c>
    </row>
    <row r="439" spans="1:10">
      <c r="A439" s="79">
        <v>98646415106</v>
      </c>
      <c r="B439" s="80" t="s">
        <v>3239</v>
      </c>
      <c r="C439" s="80" t="s">
        <v>4564</v>
      </c>
      <c r="D439" s="80" t="s">
        <v>2500</v>
      </c>
      <c r="E439" s="80" t="s">
        <v>754</v>
      </c>
      <c r="F439" s="81" t="s">
        <v>4602</v>
      </c>
      <c r="G439" s="80" t="s">
        <v>4603</v>
      </c>
      <c r="H439" s="80" t="s">
        <v>4604</v>
      </c>
      <c r="I439" s="80" t="s">
        <v>2501</v>
      </c>
      <c r="J439" s="80" t="s">
        <v>2502</v>
      </c>
    </row>
    <row r="440" spans="1:10">
      <c r="A440" s="79">
        <v>98646448101</v>
      </c>
      <c r="B440" s="80" t="s">
        <v>3239</v>
      </c>
      <c r="C440" s="80" t="s">
        <v>4564</v>
      </c>
      <c r="D440" s="80" t="s">
        <v>2532</v>
      </c>
      <c r="E440" s="80" t="s">
        <v>754</v>
      </c>
      <c r="F440" s="81" t="s">
        <v>4605</v>
      </c>
      <c r="G440" s="80" t="s">
        <v>4606</v>
      </c>
      <c r="H440" s="80" t="s">
        <v>4607</v>
      </c>
      <c r="I440" s="80" t="s">
        <v>2533</v>
      </c>
      <c r="J440" s="80" t="s">
        <v>2534</v>
      </c>
    </row>
    <row r="441" spans="1:10">
      <c r="A441" s="79">
        <v>98646422101</v>
      </c>
      <c r="B441" s="80" t="s">
        <v>3239</v>
      </c>
      <c r="C441" s="80" t="s">
        <v>4564</v>
      </c>
      <c r="D441" s="80" t="s">
        <v>2511</v>
      </c>
      <c r="E441" s="80" t="s">
        <v>754</v>
      </c>
      <c r="F441" s="81" t="s">
        <v>4608</v>
      </c>
      <c r="G441" s="80" t="s">
        <v>4609</v>
      </c>
      <c r="H441" s="80" t="s">
        <v>4610</v>
      </c>
      <c r="I441" s="80" t="s">
        <v>2512</v>
      </c>
      <c r="J441" s="80" t="s">
        <v>2513</v>
      </c>
    </row>
    <row r="442" spans="1:10">
      <c r="A442" s="79">
        <v>98648465101</v>
      </c>
      <c r="B442" s="80" t="s">
        <v>3239</v>
      </c>
      <c r="C442" s="80" t="s">
        <v>854</v>
      </c>
      <c r="D442" s="80" t="s">
        <v>2633</v>
      </c>
      <c r="E442" s="80" t="s">
        <v>754</v>
      </c>
      <c r="F442" s="81" t="s">
        <v>4611</v>
      </c>
      <c r="G442" s="80" t="s">
        <v>4612</v>
      </c>
      <c r="H442" s="80" t="s">
        <v>4613</v>
      </c>
      <c r="I442" s="80" t="s">
        <v>2604</v>
      </c>
      <c r="J442" s="80" t="s">
        <v>2634</v>
      </c>
    </row>
    <row r="443" spans="1:10">
      <c r="A443" s="79">
        <v>98648404101</v>
      </c>
      <c r="B443" s="80" t="s">
        <v>3239</v>
      </c>
      <c r="C443" s="80" t="s">
        <v>854</v>
      </c>
      <c r="D443" s="80" t="s">
        <v>2537</v>
      </c>
      <c r="E443" s="80" t="s">
        <v>754</v>
      </c>
      <c r="F443" s="81" t="s">
        <v>4614</v>
      </c>
      <c r="G443" s="80" t="s">
        <v>4615</v>
      </c>
      <c r="H443" s="80" t="s">
        <v>4616</v>
      </c>
      <c r="I443" s="80" t="s">
        <v>2538</v>
      </c>
      <c r="J443" s="80" t="s">
        <v>2539</v>
      </c>
    </row>
    <row r="444" spans="1:10">
      <c r="A444" s="79">
        <v>98648420101</v>
      </c>
      <c r="B444" s="80" t="s">
        <v>3239</v>
      </c>
      <c r="C444" s="80" t="s">
        <v>854</v>
      </c>
      <c r="D444" s="80" t="s">
        <v>856</v>
      </c>
      <c r="E444" s="80" t="s">
        <v>754</v>
      </c>
      <c r="F444" s="81" t="s">
        <v>4617</v>
      </c>
      <c r="G444" s="80" t="s">
        <v>4618</v>
      </c>
      <c r="H444" s="80" t="s">
        <v>4619</v>
      </c>
      <c r="I444" s="80" t="s">
        <v>2553</v>
      </c>
      <c r="J444" s="80" t="s">
        <v>2554</v>
      </c>
    </row>
    <row r="445" spans="1:10">
      <c r="A445" s="79">
        <v>98648475106</v>
      </c>
      <c r="B445" s="80" t="s">
        <v>3239</v>
      </c>
      <c r="C445" s="80" t="s">
        <v>854</v>
      </c>
      <c r="D445" s="80" t="s">
        <v>2656</v>
      </c>
      <c r="E445" s="80" t="s">
        <v>754</v>
      </c>
      <c r="F445" s="81" t="s">
        <v>4620</v>
      </c>
      <c r="G445" s="80" t="s">
        <v>4621</v>
      </c>
      <c r="H445" s="80" t="s">
        <v>4622</v>
      </c>
      <c r="I445" s="80" t="s">
        <v>2657</v>
      </c>
      <c r="J445" s="80" t="s">
        <v>2658</v>
      </c>
    </row>
    <row r="446" spans="1:10">
      <c r="A446" s="79">
        <v>98648470111</v>
      </c>
      <c r="B446" s="80" t="s">
        <v>3239</v>
      </c>
      <c r="C446" s="80" t="s">
        <v>854</v>
      </c>
      <c r="D446" s="80" t="s">
        <v>2649</v>
      </c>
      <c r="E446" s="80" t="s">
        <v>754</v>
      </c>
      <c r="F446" s="81" t="s">
        <v>4623</v>
      </c>
      <c r="G446" s="80" t="s">
        <v>4624</v>
      </c>
      <c r="H446" s="80" t="s">
        <v>4625</v>
      </c>
      <c r="I446" s="80" t="s">
        <v>2650</v>
      </c>
      <c r="J446" s="80" t="s">
        <v>2651</v>
      </c>
    </row>
    <row r="447" spans="1:10">
      <c r="A447" s="79">
        <v>98648422101</v>
      </c>
      <c r="B447" s="80" t="s">
        <v>3239</v>
      </c>
      <c r="C447" s="80" t="s">
        <v>854</v>
      </c>
      <c r="D447" s="80" t="s">
        <v>2556</v>
      </c>
      <c r="E447" s="80" t="s">
        <v>754</v>
      </c>
      <c r="F447" s="81" t="s">
        <v>4626</v>
      </c>
      <c r="G447" s="80" t="s">
        <v>4627</v>
      </c>
      <c r="H447" s="80" t="s">
        <v>4628</v>
      </c>
      <c r="I447" s="80" t="s">
        <v>2557</v>
      </c>
      <c r="J447" s="80" t="s">
        <v>2558</v>
      </c>
    </row>
    <row r="448" spans="1:10">
      <c r="A448" s="79">
        <v>98648425101</v>
      </c>
      <c r="B448" s="80" t="s">
        <v>3239</v>
      </c>
      <c r="C448" s="80" t="s">
        <v>854</v>
      </c>
      <c r="D448" s="80" t="s">
        <v>2560</v>
      </c>
      <c r="E448" s="80" t="s">
        <v>754</v>
      </c>
      <c r="F448" s="81" t="s">
        <v>4629</v>
      </c>
      <c r="G448" s="80" t="s">
        <v>4630</v>
      </c>
      <c r="H448" s="80" t="s">
        <v>4631</v>
      </c>
      <c r="I448" s="80" t="s">
        <v>2561</v>
      </c>
      <c r="J448" s="80" t="s">
        <v>2562</v>
      </c>
    </row>
    <row r="449" spans="1:10">
      <c r="A449" s="79">
        <v>98648470106</v>
      </c>
      <c r="B449" s="80" t="s">
        <v>3239</v>
      </c>
      <c r="C449" s="80" t="s">
        <v>854</v>
      </c>
      <c r="D449" s="80" t="s">
        <v>2646</v>
      </c>
      <c r="E449" s="80" t="s">
        <v>754</v>
      </c>
      <c r="F449" s="81" t="s">
        <v>4632</v>
      </c>
      <c r="G449" s="80" t="s">
        <v>4633</v>
      </c>
      <c r="H449" s="80" t="s">
        <v>4634</v>
      </c>
      <c r="I449" s="80" t="s">
        <v>2647</v>
      </c>
      <c r="J449" s="80" t="s">
        <v>2648</v>
      </c>
    </row>
    <row r="450" spans="1:10">
      <c r="A450" s="79">
        <v>98648430101</v>
      </c>
      <c r="B450" s="80" t="s">
        <v>3239</v>
      </c>
      <c r="C450" s="80" t="s">
        <v>854</v>
      </c>
      <c r="D450" s="80" t="s">
        <v>498</v>
      </c>
      <c r="E450" s="80" t="s">
        <v>754</v>
      </c>
      <c r="F450" s="81" t="s">
        <v>4635</v>
      </c>
      <c r="G450" s="80" t="s">
        <v>4636</v>
      </c>
      <c r="H450" s="80" t="s">
        <v>4637</v>
      </c>
      <c r="I450" s="80" t="s">
        <v>2567</v>
      </c>
      <c r="J450" s="80" t="s">
        <v>2568</v>
      </c>
    </row>
    <row r="451" spans="1:10">
      <c r="A451" s="79">
        <v>98648435101</v>
      </c>
      <c r="B451" s="80" t="s">
        <v>3239</v>
      </c>
      <c r="C451" s="80" t="s">
        <v>854</v>
      </c>
      <c r="D451" s="80" t="s">
        <v>2570</v>
      </c>
      <c r="E451" s="80" t="s">
        <v>754</v>
      </c>
      <c r="F451" s="81" t="s">
        <v>4638</v>
      </c>
      <c r="G451" s="80" t="s">
        <v>4639</v>
      </c>
      <c r="H451" s="80" t="s">
        <v>4640</v>
      </c>
      <c r="I451" s="80" t="s">
        <v>2571</v>
      </c>
      <c r="J451" s="80" t="s">
        <v>2572</v>
      </c>
    </row>
    <row r="452" spans="1:10">
      <c r="A452" s="79">
        <v>98648440101</v>
      </c>
      <c r="B452" s="80" t="s">
        <v>3239</v>
      </c>
      <c r="C452" s="80" t="s">
        <v>854</v>
      </c>
      <c r="D452" s="80" t="s">
        <v>957</v>
      </c>
      <c r="E452" s="80" t="s">
        <v>754</v>
      </c>
      <c r="F452" s="81" t="s">
        <v>4641</v>
      </c>
      <c r="G452" s="80" t="s">
        <v>4642</v>
      </c>
      <c r="H452" s="80" t="s">
        <v>4643</v>
      </c>
      <c r="I452" s="80" t="s">
        <v>2574</v>
      </c>
      <c r="J452" s="80" t="s">
        <v>2575</v>
      </c>
    </row>
    <row r="453" spans="1:10">
      <c r="A453" s="79">
        <v>98648443101</v>
      </c>
      <c r="B453" s="80" t="s">
        <v>3239</v>
      </c>
      <c r="C453" s="80" t="s">
        <v>854</v>
      </c>
      <c r="D453" s="80" t="s">
        <v>2579</v>
      </c>
      <c r="E453" s="80" t="s">
        <v>754</v>
      </c>
      <c r="F453" s="81" t="s">
        <v>4644</v>
      </c>
      <c r="G453" s="80" t="s">
        <v>4645</v>
      </c>
      <c r="H453" s="80" t="s">
        <v>4646</v>
      </c>
      <c r="I453" s="80" t="s">
        <v>2580</v>
      </c>
      <c r="J453" s="80" t="s">
        <v>2581</v>
      </c>
    </row>
    <row r="454" spans="1:10">
      <c r="A454" s="79">
        <v>98648445101</v>
      </c>
      <c r="B454" s="80" t="s">
        <v>3239</v>
      </c>
      <c r="C454" s="80" t="s">
        <v>854</v>
      </c>
      <c r="D454" s="80" t="s">
        <v>2583</v>
      </c>
      <c r="E454" s="80" t="s">
        <v>754</v>
      </c>
      <c r="F454" s="81" t="s">
        <v>4647</v>
      </c>
      <c r="G454" s="80" t="s">
        <v>4648</v>
      </c>
      <c r="H454" s="80" t="s">
        <v>4649</v>
      </c>
      <c r="I454" s="80" t="s">
        <v>2584</v>
      </c>
      <c r="J454" s="80" t="s">
        <v>2585</v>
      </c>
    </row>
    <row r="455" spans="1:10">
      <c r="A455" s="79">
        <v>98648450101</v>
      </c>
      <c r="B455" s="80" t="s">
        <v>3239</v>
      </c>
      <c r="C455" s="80" t="s">
        <v>854</v>
      </c>
      <c r="D455" s="80" t="s">
        <v>4650</v>
      </c>
      <c r="E455" s="80" t="s">
        <v>754</v>
      </c>
      <c r="F455" s="81" t="s">
        <v>4651</v>
      </c>
      <c r="G455" s="80" t="s">
        <v>4652</v>
      </c>
      <c r="H455" s="80" t="s">
        <v>4653</v>
      </c>
      <c r="I455" s="80" t="s">
        <v>2593</v>
      </c>
      <c r="J455" s="80" t="s">
        <v>2594</v>
      </c>
    </row>
    <row r="456" spans="1:10">
      <c r="A456" s="79">
        <v>98648462106</v>
      </c>
      <c r="B456" s="80" t="s">
        <v>3239</v>
      </c>
      <c r="C456" s="80" t="s">
        <v>854</v>
      </c>
      <c r="D456" s="80" t="s">
        <v>2619</v>
      </c>
      <c r="E456" s="80" t="s">
        <v>754</v>
      </c>
      <c r="F456" s="81" t="s">
        <v>4654</v>
      </c>
      <c r="G456" s="80" t="s">
        <v>4655</v>
      </c>
      <c r="H456" s="80" t="s">
        <v>4656</v>
      </c>
      <c r="I456" s="80" t="s">
        <v>2620</v>
      </c>
      <c r="J456" s="80" t="s">
        <v>2621</v>
      </c>
    </row>
    <row r="457" spans="1:10">
      <c r="A457" s="79">
        <v>98648452101</v>
      </c>
      <c r="B457" s="80" t="s">
        <v>3239</v>
      </c>
      <c r="C457" s="80" t="s">
        <v>854</v>
      </c>
      <c r="D457" s="80" t="s">
        <v>2596</v>
      </c>
      <c r="E457" s="80" t="s">
        <v>754</v>
      </c>
      <c r="F457" s="81" t="s">
        <v>4657</v>
      </c>
      <c r="G457" s="80" t="s">
        <v>4658</v>
      </c>
      <c r="H457" s="80" t="s">
        <v>4659</v>
      </c>
      <c r="I457" s="80" t="s">
        <v>2597</v>
      </c>
      <c r="J457" s="80" t="s">
        <v>2598</v>
      </c>
    </row>
    <row r="458" spans="1:10">
      <c r="A458" s="79">
        <v>98648463106</v>
      </c>
      <c r="B458" s="80" t="s">
        <v>3239</v>
      </c>
      <c r="C458" s="80" t="s">
        <v>854</v>
      </c>
      <c r="D458" s="80" t="s">
        <v>2629</v>
      </c>
      <c r="E458" s="80" t="s">
        <v>754</v>
      </c>
      <c r="F458" s="81" t="s">
        <v>4660</v>
      </c>
      <c r="G458" s="80" t="s">
        <v>4661</v>
      </c>
      <c r="H458" s="80" t="s">
        <v>4662</v>
      </c>
      <c r="I458" s="80" t="s">
        <v>2630</v>
      </c>
      <c r="J458" s="80" t="s">
        <v>2631</v>
      </c>
    </row>
    <row r="459" spans="1:10">
      <c r="A459" s="79">
        <v>98648415106</v>
      </c>
      <c r="B459" s="80" t="s">
        <v>3239</v>
      </c>
      <c r="C459" s="80" t="s">
        <v>854</v>
      </c>
      <c r="D459" s="80" t="s">
        <v>2549</v>
      </c>
      <c r="E459" s="80" t="s">
        <v>754</v>
      </c>
      <c r="F459" s="81" t="s">
        <v>4663</v>
      </c>
      <c r="G459" s="80" t="s">
        <v>4664</v>
      </c>
      <c r="H459" s="80" t="s">
        <v>4665</v>
      </c>
      <c r="I459" s="80" t="s">
        <v>2550</v>
      </c>
      <c r="J459" s="80" t="s">
        <v>2551</v>
      </c>
    </row>
    <row r="460" spans="1:10">
      <c r="A460" s="79">
        <v>98648410101</v>
      </c>
      <c r="B460" s="80" t="s">
        <v>3239</v>
      </c>
      <c r="C460" s="80" t="s">
        <v>854</v>
      </c>
      <c r="D460" s="80" t="s">
        <v>2542</v>
      </c>
      <c r="E460" s="80" t="s">
        <v>754</v>
      </c>
      <c r="F460" s="81" t="s">
        <v>4666</v>
      </c>
      <c r="G460" s="80" t="s">
        <v>4667</v>
      </c>
      <c r="H460" s="80" t="s">
        <v>4668</v>
      </c>
      <c r="I460" s="80" t="s">
        <v>2543</v>
      </c>
      <c r="J460" s="80" t="s">
        <v>2544</v>
      </c>
    </row>
    <row r="461" spans="1:10">
      <c r="A461" s="79">
        <v>98648455101</v>
      </c>
      <c r="B461" s="80" t="s">
        <v>3239</v>
      </c>
      <c r="C461" s="80" t="s">
        <v>854</v>
      </c>
      <c r="D461" s="80" t="s">
        <v>501</v>
      </c>
      <c r="E461" s="80" t="s">
        <v>754</v>
      </c>
      <c r="F461" s="81" t="s">
        <v>4669</v>
      </c>
      <c r="G461" s="80" t="s">
        <v>4670</v>
      </c>
      <c r="H461" s="80" t="s">
        <v>4671</v>
      </c>
      <c r="I461" s="80" t="s">
        <v>2600</v>
      </c>
      <c r="J461" s="80" t="s">
        <v>2601</v>
      </c>
    </row>
    <row r="462" spans="1:10">
      <c r="A462" s="79">
        <v>98648457101</v>
      </c>
      <c r="B462" s="80" t="s">
        <v>3239</v>
      </c>
      <c r="C462" s="80" t="s">
        <v>854</v>
      </c>
      <c r="D462" s="80" t="s">
        <v>2603</v>
      </c>
      <c r="E462" s="80" t="s">
        <v>754</v>
      </c>
      <c r="F462" s="81" t="s">
        <v>4672</v>
      </c>
      <c r="G462" s="80" t="s">
        <v>4612</v>
      </c>
      <c r="H462" s="80" t="s">
        <v>4673</v>
      </c>
      <c r="I462" s="80" t="s">
        <v>2604</v>
      </c>
      <c r="J462" s="80" t="s">
        <v>2605</v>
      </c>
    </row>
    <row r="463" spans="1:10">
      <c r="A463" s="79">
        <v>98648460101</v>
      </c>
      <c r="B463" s="80" t="s">
        <v>3239</v>
      </c>
      <c r="C463" s="80" t="s">
        <v>854</v>
      </c>
      <c r="D463" s="80" t="s">
        <v>2609</v>
      </c>
      <c r="E463" s="80" t="s">
        <v>754</v>
      </c>
      <c r="F463" s="81" t="s">
        <v>4674</v>
      </c>
      <c r="G463" s="80" t="s">
        <v>4675</v>
      </c>
      <c r="H463" s="80" t="s">
        <v>4676</v>
      </c>
      <c r="I463" s="80" t="s">
        <v>2610</v>
      </c>
      <c r="J463" s="80" t="s">
        <v>2611</v>
      </c>
    </row>
    <row r="464" spans="1:10">
      <c r="A464" s="79">
        <v>98648459101</v>
      </c>
      <c r="B464" s="80" t="s">
        <v>3239</v>
      </c>
      <c r="C464" s="80" t="s">
        <v>854</v>
      </c>
      <c r="D464" s="80" t="s">
        <v>864</v>
      </c>
      <c r="E464" s="80" t="s">
        <v>754</v>
      </c>
      <c r="F464" s="81" t="s">
        <v>4677</v>
      </c>
      <c r="G464" s="80" t="s">
        <v>4678</v>
      </c>
      <c r="H464" s="80" t="s">
        <v>4679</v>
      </c>
      <c r="I464" s="80" t="s">
        <v>2635</v>
      </c>
      <c r="J464" s="80" t="s">
        <v>2636</v>
      </c>
    </row>
    <row r="465" spans="1:10">
      <c r="A465" s="79">
        <v>98648440106</v>
      </c>
      <c r="B465" s="80" t="s">
        <v>3239</v>
      </c>
      <c r="C465" s="80" t="s">
        <v>854</v>
      </c>
      <c r="D465" s="80" t="s">
        <v>873</v>
      </c>
      <c r="E465" s="80" t="s">
        <v>754</v>
      </c>
      <c r="F465" s="81" t="s">
        <v>4680</v>
      </c>
      <c r="G465" s="80" t="s">
        <v>4681</v>
      </c>
      <c r="H465" s="80" t="s">
        <v>4682</v>
      </c>
      <c r="I465" s="80" t="s">
        <v>2576</v>
      </c>
      <c r="J465" s="80" t="s">
        <v>2577</v>
      </c>
    </row>
    <row r="466" spans="1:10">
      <c r="A466" s="79">
        <v>98648461101</v>
      </c>
      <c r="B466" s="80" t="s">
        <v>3239</v>
      </c>
      <c r="C466" s="80" t="s">
        <v>854</v>
      </c>
      <c r="D466" s="80" t="s">
        <v>2613</v>
      </c>
      <c r="E466" s="80" t="s">
        <v>754</v>
      </c>
      <c r="F466" s="81" t="s">
        <v>4683</v>
      </c>
      <c r="G466" s="80" t="s">
        <v>4684</v>
      </c>
      <c r="H466" s="80" t="s">
        <v>4685</v>
      </c>
      <c r="I466" s="80" t="s">
        <v>2614</v>
      </c>
      <c r="J466" s="80" t="s">
        <v>2615</v>
      </c>
    </row>
    <row r="467" spans="1:10">
      <c r="A467" s="79">
        <v>98648463101</v>
      </c>
      <c r="B467" s="80" t="s">
        <v>3239</v>
      </c>
      <c r="C467" s="80" t="s">
        <v>854</v>
      </c>
      <c r="D467" s="80" t="s">
        <v>2626</v>
      </c>
      <c r="E467" s="80" t="s">
        <v>754</v>
      </c>
      <c r="F467" s="81" t="s">
        <v>4686</v>
      </c>
      <c r="G467" s="80" t="s">
        <v>4687</v>
      </c>
      <c r="H467" s="80" t="s">
        <v>4688</v>
      </c>
      <c r="I467" s="80" t="s">
        <v>2627</v>
      </c>
      <c r="J467" s="80" t="s">
        <v>2628</v>
      </c>
    </row>
    <row r="468" spans="1:10">
      <c r="A468" s="79">
        <v>98648480101</v>
      </c>
      <c r="B468" s="80" t="s">
        <v>3239</v>
      </c>
      <c r="C468" s="80" t="s">
        <v>854</v>
      </c>
      <c r="D468" s="80" t="s">
        <v>2660</v>
      </c>
      <c r="E468" s="80" t="s">
        <v>754</v>
      </c>
      <c r="F468" s="81" t="s">
        <v>4689</v>
      </c>
      <c r="G468" s="80" t="s">
        <v>4690</v>
      </c>
      <c r="H468" s="80" t="s">
        <v>4691</v>
      </c>
      <c r="I468" s="80" t="s">
        <v>2661</v>
      </c>
      <c r="J468" s="80" t="s">
        <v>2662</v>
      </c>
    </row>
    <row r="469" spans="1:10">
      <c r="A469" s="79">
        <v>98648405101</v>
      </c>
      <c r="B469" s="80" t="s">
        <v>3239</v>
      </c>
      <c r="C469" s="80" t="s">
        <v>854</v>
      </c>
      <c r="D469" s="80" t="s">
        <v>3548</v>
      </c>
      <c r="E469" s="80" t="s">
        <v>754</v>
      </c>
      <c r="F469" s="81" t="s">
        <v>4692</v>
      </c>
      <c r="G469" s="80" t="s">
        <v>4693</v>
      </c>
      <c r="H469" s="80" t="s">
        <v>4694</v>
      </c>
      <c r="I469" s="80" t="s">
        <v>2540</v>
      </c>
      <c r="J469" s="80" t="s">
        <v>2541</v>
      </c>
    </row>
    <row r="470" spans="1:10">
      <c r="A470" s="79">
        <v>98648445111</v>
      </c>
      <c r="B470" s="80" t="s">
        <v>3239</v>
      </c>
      <c r="C470" s="80" t="s">
        <v>854</v>
      </c>
      <c r="D470" s="80" t="s">
        <v>1240</v>
      </c>
      <c r="E470" s="80" t="s">
        <v>754</v>
      </c>
      <c r="F470" s="81" t="s">
        <v>4695</v>
      </c>
      <c r="G470" s="80" t="s">
        <v>4696</v>
      </c>
      <c r="H470" s="80" t="s">
        <v>4697</v>
      </c>
      <c r="I470" s="80" t="s">
        <v>2589</v>
      </c>
      <c r="J470" s="80" t="s">
        <v>2590</v>
      </c>
    </row>
    <row r="471" spans="1:10">
      <c r="A471" s="79">
        <v>98648415101</v>
      </c>
      <c r="B471" s="80" t="s">
        <v>3239</v>
      </c>
      <c r="C471" s="80" t="s">
        <v>854</v>
      </c>
      <c r="D471" s="80" t="s">
        <v>2546</v>
      </c>
      <c r="E471" s="80" t="s">
        <v>754</v>
      </c>
      <c r="F471" s="81" t="s">
        <v>4698</v>
      </c>
      <c r="G471" s="80" t="s">
        <v>4699</v>
      </c>
      <c r="H471" s="80" t="s">
        <v>4700</v>
      </c>
      <c r="I471" s="80" t="s">
        <v>2547</v>
      </c>
      <c r="J471" s="80" t="s">
        <v>2548</v>
      </c>
    </row>
    <row r="472" spans="1:10">
      <c r="A472" s="79">
        <v>98648466101</v>
      </c>
      <c r="B472" s="80" t="s">
        <v>3239</v>
      </c>
      <c r="C472" s="80" t="s">
        <v>854</v>
      </c>
      <c r="D472" s="80" t="s">
        <v>1294</v>
      </c>
      <c r="E472" s="80" t="s">
        <v>754</v>
      </c>
      <c r="F472" s="81" t="s">
        <v>4701</v>
      </c>
      <c r="G472" s="80" t="s">
        <v>4702</v>
      </c>
      <c r="H472" s="80" t="s">
        <v>4703</v>
      </c>
      <c r="I472" s="80" t="s">
        <v>2640</v>
      </c>
      <c r="J472" s="80" t="s">
        <v>2641</v>
      </c>
    </row>
    <row r="473" spans="1:10">
      <c r="A473" s="79">
        <v>98648425106</v>
      </c>
      <c r="B473" s="80" t="s">
        <v>3239</v>
      </c>
      <c r="C473" s="80" t="s">
        <v>854</v>
      </c>
      <c r="D473" s="80" t="s">
        <v>2563</v>
      </c>
      <c r="E473" s="80" t="s">
        <v>754</v>
      </c>
      <c r="F473" s="81" t="s">
        <v>4704</v>
      </c>
      <c r="G473" s="80" t="s">
        <v>4705</v>
      </c>
      <c r="H473" s="80" t="s">
        <v>4706</v>
      </c>
      <c r="I473" s="80" t="s">
        <v>2564</v>
      </c>
      <c r="J473" s="80" t="s">
        <v>2565</v>
      </c>
    </row>
    <row r="474" spans="1:10">
      <c r="A474" s="79">
        <v>98648470101</v>
      </c>
      <c r="B474" s="80" t="s">
        <v>3239</v>
      </c>
      <c r="C474" s="80" t="s">
        <v>854</v>
      </c>
      <c r="D474" s="80" t="s">
        <v>2643</v>
      </c>
      <c r="E474" s="80" t="s">
        <v>754</v>
      </c>
      <c r="F474" s="81" t="s">
        <v>4707</v>
      </c>
      <c r="G474" s="80" t="s">
        <v>4708</v>
      </c>
      <c r="H474" s="80" t="s">
        <v>4709</v>
      </c>
      <c r="I474" s="80" t="s">
        <v>2644</v>
      </c>
      <c r="J474" s="80" t="s">
        <v>2645</v>
      </c>
    </row>
    <row r="475" spans="1:10">
      <c r="A475" s="79">
        <v>98648462111</v>
      </c>
      <c r="B475" s="80" t="s">
        <v>3239</v>
      </c>
      <c r="C475" s="80" t="s">
        <v>854</v>
      </c>
      <c r="D475" s="80" t="s">
        <v>2622</v>
      </c>
      <c r="E475" s="80" t="s">
        <v>754</v>
      </c>
      <c r="F475" s="81" t="s">
        <v>4710</v>
      </c>
      <c r="G475" s="80" t="s">
        <v>4711</v>
      </c>
      <c r="H475" s="80" t="s">
        <v>4712</v>
      </c>
      <c r="I475" s="80" t="s">
        <v>2623</v>
      </c>
      <c r="J475" s="80" t="s">
        <v>2624</v>
      </c>
    </row>
    <row r="476" spans="1:10">
      <c r="A476" s="79">
        <v>98648465111</v>
      </c>
      <c r="B476" s="80" t="s">
        <v>3239</v>
      </c>
      <c r="C476" s="80" t="s">
        <v>854</v>
      </c>
      <c r="D476" s="80" t="s">
        <v>2637</v>
      </c>
      <c r="E476" s="80" t="s">
        <v>754</v>
      </c>
      <c r="F476" s="81" t="s">
        <v>4713</v>
      </c>
      <c r="G476" s="80" t="s">
        <v>4714</v>
      </c>
      <c r="H476" s="80" t="s">
        <v>4715</v>
      </c>
      <c r="I476" s="80" t="s">
        <v>2638</v>
      </c>
      <c r="J476" s="80" t="s">
        <v>2639</v>
      </c>
    </row>
    <row r="477" spans="1:10">
      <c r="A477" s="79">
        <v>98648475101</v>
      </c>
      <c r="B477" s="80" t="s">
        <v>3239</v>
      </c>
      <c r="C477" s="80" t="s">
        <v>854</v>
      </c>
      <c r="D477" s="80" t="s">
        <v>2653</v>
      </c>
      <c r="E477" s="80" t="s">
        <v>754</v>
      </c>
      <c r="F477" s="81" t="s">
        <v>4716</v>
      </c>
      <c r="G477" s="80" t="s">
        <v>4717</v>
      </c>
      <c r="H477" s="80" t="s">
        <v>4718</v>
      </c>
      <c r="I477" s="80" t="s">
        <v>2654</v>
      </c>
      <c r="J477" s="80" t="s">
        <v>2655</v>
      </c>
    </row>
    <row r="478" spans="1:10">
      <c r="A478" s="79">
        <v>98648445106</v>
      </c>
      <c r="B478" s="80" t="s">
        <v>3239</v>
      </c>
      <c r="C478" s="80" t="s">
        <v>854</v>
      </c>
      <c r="D478" s="80" t="s">
        <v>2586</v>
      </c>
      <c r="E478" s="80" t="s">
        <v>754</v>
      </c>
      <c r="F478" s="81" t="s">
        <v>4719</v>
      </c>
      <c r="G478" s="80" t="s">
        <v>4720</v>
      </c>
      <c r="H478" s="80" t="s">
        <v>4721</v>
      </c>
      <c r="I478" s="80" t="s">
        <v>2587</v>
      </c>
      <c r="J478" s="80" t="s">
        <v>2588</v>
      </c>
    </row>
    <row r="479" spans="1:10">
      <c r="A479" s="79">
        <v>98604420101</v>
      </c>
      <c r="B479" s="80" t="s">
        <v>3239</v>
      </c>
      <c r="C479" s="80" t="s">
        <v>4722</v>
      </c>
      <c r="D479" s="80" t="s">
        <v>996</v>
      </c>
      <c r="E479" s="80" t="s">
        <v>754</v>
      </c>
      <c r="F479" s="81" t="s">
        <v>4723</v>
      </c>
      <c r="G479" s="80" t="s">
        <v>4724</v>
      </c>
      <c r="H479" s="80" t="s">
        <v>4725</v>
      </c>
      <c r="I479" s="80" t="s">
        <v>997</v>
      </c>
      <c r="J479" s="80" t="s">
        <v>998</v>
      </c>
    </row>
    <row r="480" spans="1:10">
      <c r="A480" s="79">
        <v>98604405101</v>
      </c>
      <c r="B480" s="80" t="s">
        <v>3239</v>
      </c>
      <c r="C480" s="80" t="s">
        <v>4722</v>
      </c>
      <c r="D480" s="80" t="s">
        <v>977</v>
      </c>
      <c r="E480" s="80" t="s">
        <v>754</v>
      </c>
      <c r="F480" s="81" t="s">
        <v>4726</v>
      </c>
      <c r="G480" s="80" t="s">
        <v>4099</v>
      </c>
      <c r="H480" s="80" t="s">
        <v>4727</v>
      </c>
      <c r="I480" s="80" t="s">
        <v>978</v>
      </c>
      <c r="J480" s="80" t="s">
        <v>979</v>
      </c>
    </row>
    <row r="481" spans="1:10">
      <c r="A481" s="79">
        <v>98604418101</v>
      </c>
      <c r="B481" s="80" t="s">
        <v>3239</v>
      </c>
      <c r="C481" s="80" t="s">
        <v>4722</v>
      </c>
      <c r="D481" s="80" t="s">
        <v>991</v>
      </c>
      <c r="E481" s="80" t="s">
        <v>754</v>
      </c>
      <c r="F481" s="81" t="s">
        <v>4728</v>
      </c>
      <c r="G481" s="80" t="s">
        <v>4729</v>
      </c>
      <c r="H481" s="80" t="s">
        <v>4730</v>
      </c>
      <c r="I481" s="80" t="s">
        <v>992</v>
      </c>
      <c r="J481" s="80" t="s">
        <v>993</v>
      </c>
    </row>
    <row r="482" spans="1:10">
      <c r="A482" s="79">
        <v>98604420106</v>
      </c>
      <c r="B482" s="80" t="s">
        <v>3239</v>
      </c>
      <c r="C482" s="80" t="s">
        <v>4722</v>
      </c>
      <c r="D482" s="80" t="s">
        <v>1000</v>
      </c>
      <c r="E482" s="80" t="s">
        <v>754</v>
      </c>
      <c r="F482" s="81" t="s">
        <v>4731</v>
      </c>
      <c r="G482" s="80" t="s">
        <v>4732</v>
      </c>
      <c r="H482" s="80" t="s">
        <v>4733</v>
      </c>
      <c r="I482" s="80" t="s">
        <v>1001</v>
      </c>
      <c r="J482" s="80" t="s">
        <v>1002</v>
      </c>
    </row>
    <row r="483" spans="1:10">
      <c r="A483" s="79">
        <v>98604430101</v>
      </c>
      <c r="B483" s="80" t="s">
        <v>3239</v>
      </c>
      <c r="C483" s="80" t="s">
        <v>4722</v>
      </c>
      <c r="D483" s="80" t="s">
        <v>1010</v>
      </c>
      <c r="E483" s="80" t="s">
        <v>754</v>
      </c>
      <c r="F483" s="81" t="s">
        <v>4734</v>
      </c>
      <c r="G483" s="80" t="s">
        <v>4735</v>
      </c>
      <c r="H483" s="80" t="s">
        <v>4736</v>
      </c>
      <c r="I483" s="80" t="s">
        <v>1011</v>
      </c>
      <c r="J483" s="80" t="s">
        <v>1012</v>
      </c>
    </row>
    <row r="484" spans="1:10">
      <c r="A484" s="79">
        <v>98604450101</v>
      </c>
      <c r="B484" s="80" t="s">
        <v>3239</v>
      </c>
      <c r="C484" s="80" t="s">
        <v>4722</v>
      </c>
      <c r="D484" s="80" t="s">
        <v>1026</v>
      </c>
      <c r="E484" s="80" t="s">
        <v>754</v>
      </c>
      <c r="F484" s="81" t="s">
        <v>4737</v>
      </c>
      <c r="G484" s="80" t="s">
        <v>4738</v>
      </c>
      <c r="H484" s="80" t="s">
        <v>4739</v>
      </c>
      <c r="I484" s="80" t="s">
        <v>1027</v>
      </c>
      <c r="J484" s="80" t="s">
        <v>1028</v>
      </c>
    </row>
    <row r="485" spans="1:10">
      <c r="A485" s="79">
        <v>98604415101</v>
      </c>
      <c r="B485" s="80" t="s">
        <v>3239</v>
      </c>
      <c r="C485" s="80" t="s">
        <v>4722</v>
      </c>
      <c r="D485" s="80" t="s">
        <v>618</v>
      </c>
      <c r="E485" s="80" t="s">
        <v>754</v>
      </c>
      <c r="F485" s="81" t="s">
        <v>4740</v>
      </c>
      <c r="G485" s="80" t="s">
        <v>4741</v>
      </c>
      <c r="H485" s="80" t="s">
        <v>4742</v>
      </c>
      <c r="I485" s="80" t="s">
        <v>987</v>
      </c>
      <c r="J485" s="80" t="s">
        <v>988</v>
      </c>
    </row>
    <row r="486" spans="1:10">
      <c r="A486" s="79">
        <v>98604425101</v>
      </c>
      <c r="B486" s="80" t="s">
        <v>3239</v>
      </c>
      <c r="C486" s="80" t="s">
        <v>4722</v>
      </c>
      <c r="D486" s="80" t="s">
        <v>3216</v>
      </c>
      <c r="E486" s="80" t="s">
        <v>754</v>
      </c>
      <c r="F486" s="81" t="s">
        <v>4743</v>
      </c>
      <c r="G486" s="80" t="s">
        <v>4744</v>
      </c>
      <c r="H486" s="80" t="s">
        <v>4745</v>
      </c>
      <c r="I486" s="80" t="s">
        <v>1006</v>
      </c>
      <c r="J486" s="80" t="s">
        <v>1007</v>
      </c>
    </row>
    <row r="487" spans="1:10">
      <c r="A487" s="79">
        <v>98604455101</v>
      </c>
      <c r="B487" s="80" t="s">
        <v>3239</v>
      </c>
      <c r="C487" s="80" t="s">
        <v>4722</v>
      </c>
      <c r="D487" s="80" t="s">
        <v>1030</v>
      </c>
      <c r="E487" s="80" t="s">
        <v>754</v>
      </c>
      <c r="F487" s="81" t="s">
        <v>4746</v>
      </c>
      <c r="G487" s="80" t="s">
        <v>4747</v>
      </c>
      <c r="H487" s="80" t="s">
        <v>4748</v>
      </c>
      <c r="I487" s="80" t="s">
        <v>1031</v>
      </c>
      <c r="J487" s="80" t="s">
        <v>1032</v>
      </c>
    </row>
    <row r="488" spans="1:10">
      <c r="A488" s="79">
        <v>98604465101</v>
      </c>
      <c r="B488" s="80" t="s">
        <v>3239</v>
      </c>
      <c r="C488" s="80" t="s">
        <v>4722</v>
      </c>
      <c r="D488" s="80" t="s">
        <v>1038</v>
      </c>
      <c r="E488" s="80" t="s">
        <v>754</v>
      </c>
      <c r="F488" s="81" t="s">
        <v>4749</v>
      </c>
      <c r="G488" s="80" t="s">
        <v>4750</v>
      </c>
      <c r="H488" s="80" t="s">
        <v>4751</v>
      </c>
      <c r="I488" s="80" t="s">
        <v>1039</v>
      </c>
      <c r="J488" s="80" t="s">
        <v>1040</v>
      </c>
    </row>
    <row r="489" spans="1:10">
      <c r="A489" s="79">
        <v>98604440101</v>
      </c>
      <c r="B489" s="80" t="s">
        <v>3239</v>
      </c>
      <c r="C489" s="80" t="s">
        <v>4722</v>
      </c>
      <c r="D489" s="80" t="s">
        <v>1018</v>
      </c>
      <c r="E489" s="80" t="s">
        <v>754</v>
      </c>
      <c r="F489" s="81" t="s">
        <v>4752</v>
      </c>
      <c r="G489" s="80" t="s">
        <v>4031</v>
      </c>
      <c r="H489" s="80" t="s">
        <v>4753</v>
      </c>
      <c r="I489" s="80" t="s">
        <v>1019</v>
      </c>
      <c r="J489" s="80" t="s">
        <v>1020</v>
      </c>
    </row>
    <row r="490" spans="1:10">
      <c r="A490" s="79">
        <v>98604435101</v>
      </c>
      <c r="B490" s="80" t="s">
        <v>3239</v>
      </c>
      <c r="C490" s="80" t="s">
        <v>4722</v>
      </c>
      <c r="D490" s="80" t="s">
        <v>4754</v>
      </c>
      <c r="E490" s="80" t="s">
        <v>754</v>
      </c>
      <c r="F490" s="81" t="s">
        <v>4755</v>
      </c>
      <c r="G490" s="80" t="s">
        <v>4756</v>
      </c>
      <c r="H490" s="80" t="s">
        <v>4757</v>
      </c>
      <c r="I490" s="80" t="s">
        <v>1015</v>
      </c>
      <c r="J490" s="80" t="s">
        <v>1016</v>
      </c>
    </row>
    <row r="491" spans="1:10">
      <c r="A491" s="79">
        <v>98604460101</v>
      </c>
      <c r="B491" s="80" t="s">
        <v>3239</v>
      </c>
      <c r="C491" s="80" t="s">
        <v>4722</v>
      </c>
      <c r="D491" s="80" t="s">
        <v>1034</v>
      </c>
      <c r="E491" s="80" t="s">
        <v>754</v>
      </c>
      <c r="F491" s="81" t="s">
        <v>4758</v>
      </c>
      <c r="G491" s="80" t="s">
        <v>4759</v>
      </c>
      <c r="H491" s="80" t="s">
        <v>4760</v>
      </c>
      <c r="I491" s="80" t="s">
        <v>1035</v>
      </c>
      <c r="J491" s="80" t="s">
        <v>1036</v>
      </c>
    </row>
    <row r="492" spans="1:10">
      <c r="A492" s="79">
        <v>98604410101</v>
      </c>
      <c r="B492" s="80" t="s">
        <v>3239</v>
      </c>
      <c r="C492" s="80" t="s">
        <v>4722</v>
      </c>
      <c r="D492" s="80" t="s">
        <v>982</v>
      </c>
      <c r="E492" s="80" t="s">
        <v>754</v>
      </c>
      <c r="F492" s="81" t="s">
        <v>4761</v>
      </c>
      <c r="G492" s="80" t="s">
        <v>4762</v>
      </c>
      <c r="H492" s="80" t="s">
        <v>4763</v>
      </c>
      <c r="I492" s="80" t="s">
        <v>983</v>
      </c>
      <c r="J492" s="80" t="s">
        <v>984</v>
      </c>
    </row>
    <row r="493" spans="1:10">
      <c r="A493" s="79">
        <v>98604445101</v>
      </c>
      <c r="B493" s="80" t="s">
        <v>3239</v>
      </c>
      <c r="C493" s="80" t="s">
        <v>4722</v>
      </c>
      <c r="D493" s="80" t="s">
        <v>4764</v>
      </c>
      <c r="E493" s="80" t="s">
        <v>754</v>
      </c>
      <c r="F493" s="81" t="s">
        <v>4765</v>
      </c>
      <c r="G493" s="80" t="s">
        <v>4766</v>
      </c>
      <c r="H493" s="80" t="s">
        <v>4767</v>
      </c>
      <c r="I493" s="80" t="s">
        <v>1023</v>
      </c>
      <c r="J493" s="80" t="s">
        <v>1024</v>
      </c>
    </row>
    <row r="494" spans="1:10">
      <c r="A494" s="79">
        <v>98650405106</v>
      </c>
      <c r="B494" s="80" t="s">
        <v>3239</v>
      </c>
      <c r="C494" s="80" t="s">
        <v>4768</v>
      </c>
      <c r="D494" s="80" t="s">
        <v>2675</v>
      </c>
      <c r="E494" s="80" t="s">
        <v>754</v>
      </c>
      <c r="F494" s="81" t="s">
        <v>4769</v>
      </c>
      <c r="G494" s="80" t="s">
        <v>4770</v>
      </c>
      <c r="H494" s="80" t="s">
        <v>4771</v>
      </c>
      <c r="I494" s="80" t="s">
        <v>2676</v>
      </c>
      <c r="J494" s="80" t="s">
        <v>2677</v>
      </c>
    </row>
    <row r="495" spans="1:10">
      <c r="A495" s="79">
        <v>98650433106</v>
      </c>
      <c r="B495" s="80" t="s">
        <v>3239</v>
      </c>
      <c r="C495" s="80" t="s">
        <v>4768</v>
      </c>
      <c r="D495" s="80" t="s">
        <v>2179</v>
      </c>
      <c r="E495" s="80" t="s">
        <v>754</v>
      </c>
      <c r="F495" s="81" t="s">
        <v>4772</v>
      </c>
      <c r="G495" s="80" t="s">
        <v>4773</v>
      </c>
      <c r="H495" s="80" t="s">
        <v>4774</v>
      </c>
      <c r="I495" s="80" t="s">
        <v>2697</v>
      </c>
      <c r="J495" s="80" t="s">
        <v>2698</v>
      </c>
    </row>
    <row r="496" spans="1:10">
      <c r="A496" s="79">
        <v>98650152051</v>
      </c>
      <c r="B496" s="80" t="s">
        <v>3239</v>
      </c>
      <c r="C496" s="80" t="s">
        <v>4768</v>
      </c>
      <c r="D496" s="80" t="s">
        <v>2668</v>
      </c>
      <c r="E496" s="80" t="s">
        <v>819</v>
      </c>
      <c r="F496" s="81" t="s">
        <v>4775</v>
      </c>
      <c r="G496" s="80" t="s">
        <v>4776</v>
      </c>
      <c r="H496" s="80" t="s">
        <v>4777</v>
      </c>
      <c r="I496" s="80" t="s">
        <v>2669</v>
      </c>
      <c r="J496" s="80" t="s">
        <v>2670</v>
      </c>
    </row>
    <row r="497" spans="1:10">
      <c r="A497" s="79">
        <v>98650430101</v>
      </c>
      <c r="B497" s="80" t="s">
        <v>3239</v>
      </c>
      <c r="C497" s="80" t="s">
        <v>4768</v>
      </c>
      <c r="D497" s="80" t="s">
        <v>2690</v>
      </c>
      <c r="E497" s="80" t="s">
        <v>754</v>
      </c>
      <c r="F497" s="81" t="s">
        <v>4778</v>
      </c>
      <c r="G497" s="80" t="s">
        <v>4779</v>
      </c>
      <c r="H497" s="80" t="s">
        <v>4780</v>
      </c>
      <c r="I497" s="80" t="s">
        <v>2691</v>
      </c>
      <c r="J497" s="80" t="s">
        <v>2692</v>
      </c>
    </row>
    <row r="498" spans="1:10">
      <c r="A498" s="79">
        <v>98650405101</v>
      </c>
      <c r="B498" s="80" t="s">
        <v>3239</v>
      </c>
      <c r="C498" s="80" t="s">
        <v>4768</v>
      </c>
      <c r="D498" s="80" t="s">
        <v>369</v>
      </c>
      <c r="E498" s="80" t="s">
        <v>754</v>
      </c>
      <c r="F498" s="81" t="s">
        <v>4781</v>
      </c>
      <c r="G498" s="80" t="s">
        <v>4782</v>
      </c>
      <c r="H498" s="80" t="s">
        <v>4783</v>
      </c>
      <c r="I498" s="80" t="s">
        <v>2673</v>
      </c>
      <c r="J498" s="80" t="s">
        <v>2674</v>
      </c>
    </row>
    <row r="499" spans="1:10">
      <c r="A499" s="79">
        <v>98650415101</v>
      </c>
      <c r="B499" s="80" t="s">
        <v>3239</v>
      </c>
      <c r="C499" s="80" t="s">
        <v>4768</v>
      </c>
      <c r="D499" s="80" t="s">
        <v>2682</v>
      </c>
      <c r="E499" s="80" t="s">
        <v>754</v>
      </c>
      <c r="F499" s="81" t="s">
        <v>4784</v>
      </c>
      <c r="G499" s="80" t="s">
        <v>4785</v>
      </c>
      <c r="H499" s="80" t="s">
        <v>4786</v>
      </c>
      <c r="I499" s="80" t="s">
        <v>2683</v>
      </c>
      <c r="J499" s="80" t="s">
        <v>2684</v>
      </c>
    </row>
    <row r="500" spans="1:10">
      <c r="A500" s="79">
        <v>98650440101</v>
      </c>
      <c r="B500" s="80" t="s">
        <v>3239</v>
      </c>
      <c r="C500" s="80" t="s">
        <v>4768</v>
      </c>
      <c r="D500" s="80" t="s">
        <v>1972</v>
      </c>
      <c r="E500" s="80" t="s">
        <v>754</v>
      </c>
      <c r="F500" s="81" t="s">
        <v>4787</v>
      </c>
      <c r="G500" s="80" t="s">
        <v>4788</v>
      </c>
      <c r="H500" s="80" t="s">
        <v>4789</v>
      </c>
      <c r="I500" s="80" t="s">
        <v>2707</v>
      </c>
      <c r="J500" s="80" t="s">
        <v>2708</v>
      </c>
    </row>
    <row r="501" spans="1:10">
      <c r="A501" s="79">
        <v>98650425101</v>
      </c>
      <c r="B501" s="80" t="s">
        <v>3239</v>
      </c>
      <c r="C501" s="80" t="s">
        <v>4768</v>
      </c>
      <c r="D501" s="80" t="s">
        <v>2686</v>
      </c>
      <c r="E501" s="80" t="s">
        <v>754</v>
      </c>
      <c r="F501" s="81" t="s">
        <v>4790</v>
      </c>
      <c r="G501" s="80" t="s">
        <v>4791</v>
      </c>
      <c r="H501" s="80" t="s">
        <v>4792</v>
      </c>
      <c r="I501" s="80" t="s">
        <v>2687</v>
      </c>
      <c r="J501" s="80" t="s">
        <v>2688</v>
      </c>
    </row>
    <row r="502" spans="1:10">
      <c r="A502" s="79">
        <v>98650433111</v>
      </c>
      <c r="B502" s="80" t="s">
        <v>3239</v>
      </c>
      <c r="C502" s="80" t="s">
        <v>4768</v>
      </c>
      <c r="D502" s="80" t="s">
        <v>2699</v>
      </c>
      <c r="E502" s="80" t="s">
        <v>754</v>
      </c>
      <c r="F502" s="81" t="s">
        <v>4793</v>
      </c>
      <c r="G502" s="80" t="s">
        <v>4794</v>
      </c>
      <c r="H502" s="80" t="s">
        <v>4795</v>
      </c>
      <c r="I502" s="80" t="s">
        <v>2700</v>
      </c>
      <c r="J502" s="80" t="s">
        <v>2701</v>
      </c>
    </row>
    <row r="503" spans="1:10">
      <c r="A503" s="79">
        <v>98650440106</v>
      </c>
      <c r="B503" s="80" t="s">
        <v>3239</v>
      </c>
      <c r="C503" s="80" t="s">
        <v>4768</v>
      </c>
      <c r="D503" s="80" t="s">
        <v>595</v>
      </c>
      <c r="E503" s="80" t="s">
        <v>754</v>
      </c>
      <c r="F503" s="81" t="s">
        <v>4796</v>
      </c>
      <c r="G503" s="80" t="s">
        <v>4797</v>
      </c>
      <c r="H503" s="80" t="s">
        <v>4798</v>
      </c>
      <c r="I503" s="80" t="s">
        <v>2709</v>
      </c>
      <c r="J503" s="80" t="s">
        <v>2710</v>
      </c>
    </row>
    <row r="504" spans="1:10">
      <c r="A504" s="79">
        <v>98650433101</v>
      </c>
      <c r="B504" s="80" t="s">
        <v>3239</v>
      </c>
      <c r="C504" s="80" t="s">
        <v>4768</v>
      </c>
      <c r="D504" s="80" t="s">
        <v>2694</v>
      </c>
      <c r="E504" s="80" t="s">
        <v>754</v>
      </c>
      <c r="F504" s="81" t="s">
        <v>4799</v>
      </c>
      <c r="G504" s="80" t="s">
        <v>4800</v>
      </c>
      <c r="H504" s="80" t="s">
        <v>4801</v>
      </c>
      <c r="I504" s="80" t="s">
        <v>2695</v>
      </c>
      <c r="J504" s="80" t="s">
        <v>2696</v>
      </c>
    </row>
    <row r="505" spans="1:10">
      <c r="A505" s="79">
        <v>98650435101</v>
      </c>
      <c r="B505" s="80" t="s">
        <v>3239</v>
      </c>
      <c r="C505" s="80" t="s">
        <v>4768</v>
      </c>
      <c r="D505" s="80" t="s">
        <v>2703</v>
      </c>
      <c r="E505" s="80" t="s">
        <v>754</v>
      </c>
      <c r="F505" s="81" t="s">
        <v>4802</v>
      </c>
      <c r="G505" s="80" t="s">
        <v>4803</v>
      </c>
      <c r="H505" s="80" t="s">
        <v>4804</v>
      </c>
      <c r="I505" s="80" t="s">
        <v>2704</v>
      </c>
      <c r="J505" s="80" t="s">
        <v>2705</v>
      </c>
    </row>
    <row r="506" spans="1:10">
      <c r="A506" s="79">
        <v>98650405111</v>
      </c>
      <c r="B506" s="80" t="s">
        <v>3239</v>
      </c>
      <c r="C506" s="80" t="s">
        <v>4768</v>
      </c>
      <c r="D506" s="80" t="s">
        <v>2678</v>
      </c>
      <c r="E506" s="80" t="s">
        <v>754</v>
      </c>
      <c r="F506" s="81" t="s">
        <v>4805</v>
      </c>
      <c r="G506" s="80" t="s">
        <v>4806</v>
      </c>
      <c r="H506" s="80" t="s">
        <v>4807</v>
      </c>
      <c r="I506" s="80" t="s">
        <v>2679</v>
      </c>
      <c r="J506" s="80" t="s">
        <v>2680</v>
      </c>
    </row>
    <row r="507" spans="1:10">
      <c r="A507" s="79">
        <v>98650151051</v>
      </c>
      <c r="B507" s="80" t="s">
        <v>3239</v>
      </c>
      <c r="C507" s="80" t="s">
        <v>4768</v>
      </c>
      <c r="D507" s="80" t="s">
        <v>360</v>
      </c>
      <c r="E507" s="80" t="s">
        <v>819</v>
      </c>
      <c r="F507" s="81" t="s">
        <v>4808</v>
      </c>
      <c r="G507" s="80" t="s">
        <v>4809</v>
      </c>
      <c r="H507" s="80" t="s">
        <v>4810</v>
      </c>
      <c r="I507" s="80" t="s">
        <v>2665</v>
      </c>
      <c r="J507" s="80" t="s">
        <v>2666</v>
      </c>
    </row>
    <row r="508" spans="1:10">
      <c r="A508" s="79">
        <v>98652455106</v>
      </c>
      <c r="B508" s="80" t="s">
        <v>3239</v>
      </c>
      <c r="C508" s="80" t="s">
        <v>871</v>
      </c>
      <c r="D508" s="80" t="s">
        <v>856</v>
      </c>
      <c r="E508" s="80" t="s">
        <v>754</v>
      </c>
      <c r="F508" s="81" t="s">
        <v>4811</v>
      </c>
      <c r="G508" s="80" t="s">
        <v>4812</v>
      </c>
      <c r="H508" s="80" t="s">
        <v>4813</v>
      </c>
      <c r="I508" s="80" t="s">
        <v>2780</v>
      </c>
      <c r="J508" s="80" t="s">
        <v>2781</v>
      </c>
    </row>
    <row r="509" spans="1:10">
      <c r="A509" s="79">
        <v>98652415106</v>
      </c>
      <c r="B509" s="80" t="s">
        <v>3239</v>
      </c>
      <c r="C509" s="80" t="s">
        <v>871</v>
      </c>
      <c r="D509" s="80" t="s">
        <v>2720</v>
      </c>
      <c r="E509" s="80" t="s">
        <v>754</v>
      </c>
      <c r="F509" s="81" t="s">
        <v>4814</v>
      </c>
      <c r="G509" s="80" t="s">
        <v>4815</v>
      </c>
      <c r="H509" s="80" t="s">
        <v>4816</v>
      </c>
      <c r="I509" s="80" t="s">
        <v>2721</v>
      </c>
      <c r="J509" s="80" t="s">
        <v>2722</v>
      </c>
    </row>
    <row r="510" spans="1:10">
      <c r="A510" s="79">
        <v>98652435106</v>
      </c>
      <c r="B510" s="80" t="s">
        <v>3239</v>
      </c>
      <c r="C510" s="80" t="s">
        <v>871</v>
      </c>
      <c r="D510" s="80" t="s">
        <v>1194</v>
      </c>
      <c r="E510" s="80" t="s">
        <v>754</v>
      </c>
      <c r="F510" s="81" t="s">
        <v>4817</v>
      </c>
      <c r="G510" s="80" t="s">
        <v>4818</v>
      </c>
      <c r="H510" s="80" t="s">
        <v>4819</v>
      </c>
      <c r="I510" s="80" t="s">
        <v>2750</v>
      </c>
      <c r="J510" s="80" t="s">
        <v>2751</v>
      </c>
    </row>
    <row r="511" spans="1:10">
      <c r="A511" s="79">
        <v>98652450101</v>
      </c>
      <c r="B511" s="80" t="s">
        <v>3239</v>
      </c>
      <c r="C511" s="80" t="s">
        <v>871</v>
      </c>
      <c r="D511" s="80" t="s">
        <v>1871</v>
      </c>
      <c r="E511" s="80" t="s">
        <v>754</v>
      </c>
      <c r="F511" s="81" t="s">
        <v>4820</v>
      </c>
      <c r="G511" s="80" t="s">
        <v>4821</v>
      </c>
      <c r="H511" s="80" t="s">
        <v>4822</v>
      </c>
      <c r="I511" s="80" t="s">
        <v>2774</v>
      </c>
      <c r="J511" s="80" t="s">
        <v>2775</v>
      </c>
    </row>
    <row r="512" spans="1:10">
      <c r="A512" s="79">
        <v>98652455101</v>
      </c>
      <c r="B512" s="80" t="s">
        <v>3239</v>
      </c>
      <c r="C512" s="80" t="s">
        <v>871</v>
      </c>
      <c r="D512" s="80" t="s">
        <v>2777</v>
      </c>
      <c r="E512" s="80" t="s">
        <v>754</v>
      </c>
      <c r="F512" s="81" t="s">
        <v>4823</v>
      </c>
      <c r="G512" s="80" t="s">
        <v>4824</v>
      </c>
      <c r="H512" s="80" t="s">
        <v>4825</v>
      </c>
      <c r="I512" s="80" t="s">
        <v>2778</v>
      </c>
      <c r="J512" s="80" t="s">
        <v>2779</v>
      </c>
    </row>
    <row r="513" spans="1:10">
      <c r="A513" s="79">
        <v>98652445101</v>
      </c>
      <c r="B513" s="80" t="s">
        <v>3239</v>
      </c>
      <c r="C513" s="80" t="s">
        <v>871</v>
      </c>
      <c r="D513" s="80" t="s">
        <v>2765</v>
      </c>
      <c r="E513" s="80" t="s">
        <v>754</v>
      </c>
      <c r="F513" s="81" t="s">
        <v>4826</v>
      </c>
      <c r="G513" s="80" t="s">
        <v>4827</v>
      </c>
      <c r="H513" s="80" t="s">
        <v>4828</v>
      </c>
      <c r="I513" s="80" t="s">
        <v>2766</v>
      </c>
      <c r="J513" s="80" t="s">
        <v>2767</v>
      </c>
    </row>
    <row r="514" spans="1:10">
      <c r="A514" s="79">
        <v>98652430106</v>
      </c>
      <c r="B514" s="80" t="s">
        <v>3239</v>
      </c>
      <c r="C514" s="80" t="s">
        <v>871</v>
      </c>
      <c r="D514" s="80" t="s">
        <v>2740</v>
      </c>
      <c r="E514" s="80" t="s">
        <v>754</v>
      </c>
      <c r="F514" s="81" t="s">
        <v>4829</v>
      </c>
      <c r="G514" s="80" t="s">
        <v>4830</v>
      </c>
      <c r="H514" s="80" t="s">
        <v>4831</v>
      </c>
      <c r="I514" s="80" t="s">
        <v>2741</v>
      </c>
      <c r="J514" s="80" t="s">
        <v>2742</v>
      </c>
    </row>
    <row r="515" spans="1:10">
      <c r="A515" s="79">
        <v>98652425101</v>
      </c>
      <c r="B515" s="80" t="s">
        <v>3239</v>
      </c>
      <c r="C515" s="80" t="s">
        <v>871</v>
      </c>
      <c r="D515" s="80" t="s">
        <v>2733</v>
      </c>
      <c r="E515" s="80" t="s">
        <v>754</v>
      </c>
      <c r="F515" s="81" t="s">
        <v>4832</v>
      </c>
      <c r="G515" s="80" t="s">
        <v>4833</v>
      </c>
      <c r="H515" s="80" t="s">
        <v>4834</v>
      </c>
      <c r="I515" s="80" t="s">
        <v>2734</v>
      </c>
      <c r="J515" s="80" t="s">
        <v>2735</v>
      </c>
    </row>
    <row r="516" spans="1:10">
      <c r="A516" s="79">
        <v>98652440106</v>
      </c>
      <c r="B516" s="80" t="s">
        <v>3239</v>
      </c>
      <c r="C516" s="80" t="s">
        <v>871</v>
      </c>
      <c r="D516" s="80" t="s">
        <v>2759</v>
      </c>
      <c r="E516" s="80" t="s">
        <v>754</v>
      </c>
      <c r="F516" s="81" t="s">
        <v>4835</v>
      </c>
      <c r="G516" s="80" t="s">
        <v>4836</v>
      </c>
      <c r="H516" s="80" t="s">
        <v>4837</v>
      </c>
      <c r="I516" s="80" t="s">
        <v>2760</v>
      </c>
      <c r="J516" s="80" t="s">
        <v>2761</v>
      </c>
    </row>
    <row r="517" spans="1:10">
      <c r="A517" s="79">
        <v>98652465101</v>
      </c>
      <c r="B517" s="80" t="s">
        <v>3239</v>
      </c>
      <c r="C517" s="80" t="s">
        <v>871</v>
      </c>
      <c r="D517" s="80" t="s">
        <v>2787</v>
      </c>
      <c r="E517" s="80" t="s">
        <v>754</v>
      </c>
      <c r="F517" s="81" t="s">
        <v>4838</v>
      </c>
      <c r="G517" s="80" t="s">
        <v>4839</v>
      </c>
      <c r="H517" s="80" t="s">
        <v>4840</v>
      </c>
      <c r="I517" s="80" t="s">
        <v>2788</v>
      </c>
      <c r="J517" s="80" t="s">
        <v>2789</v>
      </c>
    </row>
    <row r="518" spans="1:10">
      <c r="A518" s="79">
        <v>98652430101</v>
      </c>
      <c r="B518" s="80" t="s">
        <v>3239</v>
      </c>
      <c r="C518" s="80" t="s">
        <v>871</v>
      </c>
      <c r="D518" s="80" t="s">
        <v>2737</v>
      </c>
      <c r="E518" s="80" t="s">
        <v>754</v>
      </c>
      <c r="F518" s="81" t="s">
        <v>4841</v>
      </c>
      <c r="G518" s="80" t="s">
        <v>4842</v>
      </c>
      <c r="H518" s="80" t="s">
        <v>4843</v>
      </c>
      <c r="I518" s="80" t="s">
        <v>2738</v>
      </c>
      <c r="J518" s="80" t="s">
        <v>2739</v>
      </c>
    </row>
    <row r="519" spans="1:10">
      <c r="A519" s="79">
        <v>98652440101</v>
      </c>
      <c r="B519" s="80" t="s">
        <v>3239</v>
      </c>
      <c r="C519" s="80" t="s">
        <v>871</v>
      </c>
      <c r="D519" s="80" t="s">
        <v>2756</v>
      </c>
      <c r="E519" s="80" t="s">
        <v>754</v>
      </c>
      <c r="F519" s="81" t="s">
        <v>4844</v>
      </c>
      <c r="G519" s="80" t="s">
        <v>4845</v>
      </c>
      <c r="H519" s="80" t="s">
        <v>4846</v>
      </c>
      <c r="I519" s="80" t="s">
        <v>2757</v>
      </c>
      <c r="J519" s="80" t="s">
        <v>2758</v>
      </c>
    </row>
    <row r="520" spans="1:10">
      <c r="A520" s="79">
        <v>98652475101</v>
      </c>
      <c r="B520" s="80" t="s">
        <v>3239</v>
      </c>
      <c r="C520" s="80" t="s">
        <v>871</v>
      </c>
      <c r="D520" s="80" t="s">
        <v>2811</v>
      </c>
      <c r="E520" s="80" t="s">
        <v>754</v>
      </c>
      <c r="F520" s="81" t="s">
        <v>4847</v>
      </c>
      <c r="G520" s="80" t="s">
        <v>4090</v>
      </c>
      <c r="H520" s="80" t="s">
        <v>4848</v>
      </c>
      <c r="I520" s="80" t="s">
        <v>1988</v>
      </c>
      <c r="J520" s="80" t="s">
        <v>2812</v>
      </c>
    </row>
    <row r="521" spans="1:10">
      <c r="A521" s="79">
        <v>98652480101</v>
      </c>
      <c r="B521" s="80" t="s">
        <v>3239</v>
      </c>
      <c r="C521" s="80" t="s">
        <v>871</v>
      </c>
      <c r="D521" s="80" t="s">
        <v>2813</v>
      </c>
      <c r="E521" s="80" t="s">
        <v>754</v>
      </c>
      <c r="F521" s="81" t="s">
        <v>4849</v>
      </c>
      <c r="G521" s="80" t="s">
        <v>4850</v>
      </c>
      <c r="H521" s="80" t="s">
        <v>4851</v>
      </c>
      <c r="I521" s="80" t="s">
        <v>2814</v>
      </c>
      <c r="J521" s="80" t="s">
        <v>2815</v>
      </c>
    </row>
    <row r="522" spans="1:10">
      <c r="A522" s="79">
        <v>98652445106</v>
      </c>
      <c r="B522" s="80" t="s">
        <v>3239</v>
      </c>
      <c r="C522" s="80" t="s">
        <v>871</v>
      </c>
      <c r="D522" s="80" t="s">
        <v>2768</v>
      </c>
      <c r="E522" s="80" t="s">
        <v>754</v>
      </c>
      <c r="F522" s="81" t="s">
        <v>4852</v>
      </c>
      <c r="G522" s="80" t="s">
        <v>4853</v>
      </c>
      <c r="H522" s="80" t="s">
        <v>4854</v>
      </c>
      <c r="I522" s="80" t="s">
        <v>2769</v>
      </c>
      <c r="J522" s="80" t="s">
        <v>2770</v>
      </c>
    </row>
    <row r="523" spans="1:10">
      <c r="A523" s="79">
        <v>98652470101</v>
      </c>
      <c r="B523" s="80" t="s">
        <v>3239</v>
      </c>
      <c r="C523" s="80" t="s">
        <v>871</v>
      </c>
      <c r="D523" s="80" t="s">
        <v>2794</v>
      </c>
      <c r="E523" s="80" t="s">
        <v>754</v>
      </c>
      <c r="F523" s="81" t="s">
        <v>4855</v>
      </c>
      <c r="G523" s="80" t="s">
        <v>4856</v>
      </c>
      <c r="H523" s="80" t="s">
        <v>4857</v>
      </c>
      <c r="I523" s="80" t="s">
        <v>2795</v>
      </c>
      <c r="J523" s="80" t="s">
        <v>2796</v>
      </c>
    </row>
    <row r="524" spans="1:10">
      <c r="A524" s="79">
        <v>98652435111</v>
      </c>
      <c r="B524" s="80" t="s">
        <v>3239</v>
      </c>
      <c r="C524" s="80" t="s">
        <v>871</v>
      </c>
      <c r="D524" s="80" t="s">
        <v>2752</v>
      </c>
      <c r="E524" s="80" t="s">
        <v>754</v>
      </c>
      <c r="F524" s="81" t="s">
        <v>4858</v>
      </c>
      <c r="G524" s="80" t="s">
        <v>4859</v>
      </c>
      <c r="H524" s="80" t="s">
        <v>4860</v>
      </c>
      <c r="I524" s="80" t="s">
        <v>2753</v>
      </c>
      <c r="J524" s="80" t="s">
        <v>2754</v>
      </c>
    </row>
    <row r="525" spans="1:10">
      <c r="A525" s="79">
        <v>98652470106</v>
      </c>
      <c r="B525" s="80" t="s">
        <v>3239</v>
      </c>
      <c r="C525" s="80" t="s">
        <v>871</v>
      </c>
      <c r="D525" s="80" t="s">
        <v>2797</v>
      </c>
      <c r="E525" s="80" t="s">
        <v>754</v>
      </c>
      <c r="F525" s="81" t="s">
        <v>4861</v>
      </c>
      <c r="G525" s="80" t="s">
        <v>4862</v>
      </c>
      <c r="H525" s="80" t="s">
        <v>4863</v>
      </c>
      <c r="I525" s="80" t="s">
        <v>2798</v>
      </c>
      <c r="J525" s="80" t="s">
        <v>2799</v>
      </c>
    </row>
    <row r="526" spans="1:10">
      <c r="A526" s="79">
        <v>98652430111</v>
      </c>
      <c r="B526" s="80" t="s">
        <v>3239</v>
      </c>
      <c r="C526" s="80" t="s">
        <v>871</v>
      </c>
      <c r="D526" s="80" t="s">
        <v>2743</v>
      </c>
      <c r="E526" s="80" t="s">
        <v>754</v>
      </c>
      <c r="F526" s="81" t="s">
        <v>4864</v>
      </c>
      <c r="G526" s="80" t="s">
        <v>4865</v>
      </c>
      <c r="H526" s="80" t="s">
        <v>4866</v>
      </c>
      <c r="I526" s="80" t="s">
        <v>2744</v>
      </c>
      <c r="J526" s="80" t="s">
        <v>2745</v>
      </c>
    </row>
    <row r="527" spans="1:10">
      <c r="A527" s="79">
        <v>98652420101</v>
      </c>
      <c r="B527" s="80" t="s">
        <v>3239</v>
      </c>
      <c r="C527" s="80" t="s">
        <v>871</v>
      </c>
      <c r="D527" s="80" t="s">
        <v>793</v>
      </c>
      <c r="E527" s="80" t="s">
        <v>754</v>
      </c>
      <c r="F527" s="81" t="s">
        <v>4867</v>
      </c>
      <c r="G527" s="80" t="s">
        <v>4868</v>
      </c>
      <c r="H527" s="80" t="s">
        <v>4869</v>
      </c>
      <c r="I527" s="80" t="s">
        <v>2727</v>
      </c>
      <c r="J527" s="80" t="s">
        <v>2728</v>
      </c>
    </row>
    <row r="528" spans="1:10">
      <c r="A528" s="79">
        <v>98652410101</v>
      </c>
      <c r="B528" s="80" t="s">
        <v>3239</v>
      </c>
      <c r="C528" s="80" t="s">
        <v>871</v>
      </c>
      <c r="D528" s="80" t="s">
        <v>2715</v>
      </c>
      <c r="E528" s="80" t="s">
        <v>754</v>
      </c>
      <c r="F528" s="81" t="s">
        <v>4870</v>
      </c>
      <c r="G528" s="80" t="s">
        <v>4871</v>
      </c>
      <c r="H528" s="80" t="s">
        <v>4872</v>
      </c>
      <c r="I528" s="80" t="s">
        <v>2716</v>
      </c>
      <c r="J528" s="80" t="s">
        <v>2717</v>
      </c>
    </row>
    <row r="529" spans="1:10">
      <c r="A529" s="79">
        <v>98652472101</v>
      </c>
      <c r="B529" s="80" t="s">
        <v>3239</v>
      </c>
      <c r="C529" s="80" t="s">
        <v>871</v>
      </c>
      <c r="D529" s="80" t="s">
        <v>2473</v>
      </c>
      <c r="E529" s="80" t="s">
        <v>754</v>
      </c>
      <c r="F529" s="81" t="s">
        <v>4873</v>
      </c>
      <c r="G529" s="80" t="s">
        <v>4874</v>
      </c>
      <c r="H529" s="80" t="s">
        <v>4875</v>
      </c>
      <c r="I529" s="80" t="s">
        <v>2804</v>
      </c>
      <c r="J529" s="80" t="s">
        <v>2805</v>
      </c>
    </row>
    <row r="530" spans="1:10">
      <c r="A530" s="79">
        <v>98652445111</v>
      </c>
      <c r="B530" s="80" t="s">
        <v>3239</v>
      </c>
      <c r="C530" s="80" t="s">
        <v>871</v>
      </c>
      <c r="D530" s="80" t="s">
        <v>618</v>
      </c>
      <c r="E530" s="80" t="s">
        <v>754</v>
      </c>
      <c r="F530" s="81" t="s">
        <v>4876</v>
      </c>
      <c r="G530" s="80" t="s">
        <v>4877</v>
      </c>
      <c r="H530" s="80" t="s">
        <v>4878</v>
      </c>
      <c r="I530" s="80" t="s">
        <v>2771</v>
      </c>
      <c r="J530" s="80" t="s">
        <v>2772</v>
      </c>
    </row>
    <row r="531" spans="1:10">
      <c r="A531" s="79">
        <v>98652473101</v>
      </c>
      <c r="B531" s="80" t="s">
        <v>3239</v>
      </c>
      <c r="C531" s="80" t="s">
        <v>871</v>
      </c>
      <c r="D531" s="80" t="s">
        <v>2807</v>
      </c>
      <c r="E531" s="80" t="s">
        <v>754</v>
      </c>
      <c r="F531" s="81" t="s">
        <v>4879</v>
      </c>
      <c r="G531" s="80" t="s">
        <v>4880</v>
      </c>
      <c r="H531" s="80" t="s">
        <v>4881</v>
      </c>
      <c r="I531" s="80" t="s">
        <v>2808</v>
      </c>
      <c r="J531" s="80" t="s">
        <v>2809</v>
      </c>
    </row>
    <row r="532" spans="1:10">
      <c r="A532" s="79">
        <v>98652435101</v>
      </c>
      <c r="B532" s="80" t="s">
        <v>3239</v>
      </c>
      <c r="C532" s="80" t="s">
        <v>871</v>
      </c>
      <c r="D532" s="80" t="s">
        <v>4882</v>
      </c>
      <c r="E532" s="80" t="s">
        <v>754</v>
      </c>
      <c r="F532" s="81" t="s">
        <v>4883</v>
      </c>
      <c r="G532" s="80" t="s">
        <v>4884</v>
      </c>
      <c r="H532" s="80" t="s">
        <v>4885</v>
      </c>
      <c r="I532" s="80" t="s">
        <v>2748</v>
      </c>
      <c r="J532" s="80" t="s">
        <v>2749</v>
      </c>
    </row>
    <row r="533" spans="1:10">
      <c r="A533" s="79">
        <v>98652467101</v>
      </c>
      <c r="B533" s="80" t="s">
        <v>3239</v>
      </c>
      <c r="C533" s="80" t="s">
        <v>871</v>
      </c>
      <c r="D533" s="80" t="s">
        <v>3548</v>
      </c>
      <c r="E533" s="80" t="s">
        <v>754</v>
      </c>
      <c r="F533" s="81" t="s">
        <v>4886</v>
      </c>
      <c r="G533" s="80" t="s">
        <v>4887</v>
      </c>
      <c r="H533" s="80" t="s">
        <v>4888</v>
      </c>
      <c r="I533" s="80" t="s">
        <v>2791</v>
      </c>
      <c r="J533" s="80" t="s">
        <v>2792</v>
      </c>
    </row>
    <row r="534" spans="1:10">
      <c r="A534" s="79">
        <v>98652405101</v>
      </c>
      <c r="B534" s="80" t="s">
        <v>3239</v>
      </c>
      <c r="C534" s="80" t="s">
        <v>871</v>
      </c>
      <c r="D534" s="80" t="s">
        <v>760</v>
      </c>
      <c r="E534" s="80" t="s">
        <v>754</v>
      </c>
      <c r="F534" s="81" t="s">
        <v>4889</v>
      </c>
      <c r="G534" s="80" t="s">
        <v>4890</v>
      </c>
      <c r="H534" s="80" t="s">
        <v>4891</v>
      </c>
      <c r="I534" s="80" t="s">
        <v>2713</v>
      </c>
      <c r="J534" s="80" t="s">
        <v>2714</v>
      </c>
    </row>
    <row r="535" spans="1:10">
      <c r="A535" s="79">
        <v>98652470111</v>
      </c>
      <c r="B535" s="80" t="s">
        <v>3239</v>
      </c>
      <c r="C535" s="80" t="s">
        <v>871</v>
      </c>
      <c r="D535" s="80" t="s">
        <v>2800</v>
      </c>
      <c r="E535" s="80" t="s">
        <v>754</v>
      </c>
      <c r="F535" s="81" t="s">
        <v>4892</v>
      </c>
      <c r="G535" s="80" t="s">
        <v>4893</v>
      </c>
      <c r="H535" s="80" t="s">
        <v>4894</v>
      </c>
      <c r="I535" s="80" t="s">
        <v>2801</v>
      </c>
      <c r="J535" s="80" t="s">
        <v>2802</v>
      </c>
    </row>
    <row r="536" spans="1:10">
      <c r="A536" s="79">
        <v>98652490101</v>
      </c>
      <c r="B536" s="80" t="s">
        <v>3239</v>
      </c>
      <c r="C536" s="80" t="s">
        <v>871</v>
      </c>
      <c r="D536" s="80" t="s">
        <v>2395</v>
      </c>
      <c r="E536" s="80" t="s">
        <v>754</v>
      </c>
      <c r="F536" s="81" t="s">
        <v>4895</v>
      </c>
      <c r="G536" s="80" t="s">
        <v>4896</v>
      </c>
      <c r="H536" s="80" t="s">
        <v>4897</v>
      </c>
      <c r="I536" s="80" t="s">
        <v>2821</v>
      </c>
      <c r="J536" s="80" t="s">
        <v>2822</v>
      </c>
    </row>
    <row r="537" spans="1:10">
      <c r="A537" s="79">
        <v>98652485101</v>
      </c>
      <c r="B537" s="80" t="s">
        <v>3239</v>
      </c>
      <c r="C537" s="80" t="s">
        <v>871</v>
      </c>
      <c r="D537" s="80" t="s">
        <v>2817</v>
      </c>
      <c r="E537" s="80" t="s">
        <v>754</v>
      </c>
      <c r="F537" s="81" t="s">
        <v>4898</v>
      </c>
      <c r="G537" s="80" t="s">
        <v>4899</v>
      </c>
      <c r="H537" s="80" t="s">
        <v>4900</v>
      </c>
      <c r="I537" s="80" t="s">
        <v>2818</v>
      </c>
      <c r="J537" s="80" t="s">
        <v>2819</v>
      </c>
    </row>
    <row r="538" spans="1:10">
      <c r="A538" s="79">
        <v>98652420106</v>
      </c>
      <c r="B538" s="80" t="s">
        <v>3239</v>
      </c>
      <c r="C538" s="80" t="s">
        <v>871</v>
      </c>
      <c r="D538" s="80" t="s">
        <v>2729</v>
      </c>
      <c r="E538" s="80" t="s">
        <v>754</v>
      </c>
      <c r="F538" s="81" t="s">
        <v>4901</v>
      </c>
      <c r="G538" s="80" t="s">
        <v>4902</v>
      </c>
      <c r="H538" s="80" t="s">
        <v>4903</v>
      </c>
      <c r="I538" s="80" t="s">
        <v>2730</v>
      </c>
      <c r="J538" s="80" t="s">
        <v>2731</v>
      </c>
    </row>
    <row r="539" spans="1:10">
      <c r="A539" s="79">
        <v>98652415111</v>
      </c>
      <c r="B539" s="80" t="s">
        <v>3239</v>
      </c>
      <c r="C539" s="80" t="s">
        <v>871</v>
      </c>
      <c r="D539" s="80" t="s">
        <v>2723</v>
      </c>
      <c r="E539" s="80" t="s">
        <v>754</v>
      </c>
      <c r="F539" s="81" t="s">
        <v>4904</v>
      </c>
      <c r="G539" s="80" t="s">
        <v>4905</v>
      </c>
      <c r="H539" s="80" t="s">
        <v>4906</v>
      </c>
      <c r="I539" s="80" t="s">
        <v>2724</v>
      </c>
      <c r="J539" s="80" t="s">
        <v>2725</v>
      </c>
    </row>
    <row r="540" spans="1:10">
      <c r="A540" s="79">
        <v>98652460101</v>
      </c>
      <c r="B540" s="80" t="s">
        <v>3239</v>
      </c>
      <c r="C540" s="80" t="s">
        <v>871</v>
      </c>
      <c r="D540" s="80" t="s">
        <v>2783</v>
      </c>
      <c r="E540" s="80" t="s">
        <v>754</v>
      </c>
      <c r="F540" s="81" t="s">
        <v>4907</v>
      </c>
      <c r="G540" s="80" t="s">
        <v>4908</v>
      </c>
      <c r="H540" s="80" t="s">
        <v>4909</v>
      </c>
      <c r="I540" s="80" t="s">
        <v>2784</v>
      </c>
      <c r="J540" s="80" t="s">
        <v>2785</v>
      </c>
    </row>
    <row r="541" spans="1:10">
      <c r="A541" s="79">
        <v>98654164106</v>
      </c>
      <c r="B541" s="80" t="s">
        <v>3239</v>
      </c>
      <c r="C541" s="80" t="s">
        <v>886</v>
      </c>
      <c r="D541" s="80" t="s">
        <v>2844</v>
      </c>
      <c r="E541" s="80" t="s">
        <v>754</v>
      </c>
      <c r="F541" s="81" t="s">
        <v>4910</v>
      </c>
      <c r="G541" s="80" t="s">
        <v>4911</v>
      </c>
      <c r="H541" s="80" t="s">
        <v>4912</v>
      </c>
      <c r="I541" s="80" t="s">
        <v>2845</v>
      </c>
      <c r="J541" s="80" t="s">
        <v>2846</v>
      </c>
    </row>
    <row r="542" spans="1:10">
      <c r="A542" s="79">
        <v>98654701</v>
      </c>
      <c r="B542" s="80" t="s">
        <v>3239</v>
      </c>
      <c r="C542" s="80" t="s">
        <v>886</v>
      </c>
      <c r="D542" s="80" t="s">
        <v>444</v>
      </c>
      <c r="E542" s="80" t="s">
        <v>819</v>
      </c>
      <c r="F542" s="81" t="s">
        <v>4913</v>
      </c>
      <c r="G542" s="80" t="s">
        <v>4914</v>
      </c>
      <c r="H542" s="80" t="s">
        <v>4915</v>
      </c>
      <c r="I542" s="80" t="s">
        <v>4916</v>
      </c>
      <c r="J542" s="80" t="s">
        <v>4917</v>
      </c>
    </row>
    <row r="543" spans="1:10">
      <c r="A543" s="79">
        <v>98654405000</v>
      </c>
      <c r="B543" s="80" t="s">
        <v>3239</v>
      </c>
      <c r="C543" s="80" t="s">
        <v>886</v>
      </c>
      <c r="D543" s="80" t="s">
        <v>333</v>
      </c>
      <c r="E543" s="80" t="s">
        <v>754</v>
      </c>
      <c r="F543" s="81" t="s">
        <v>4918</v>
      </c>
      <c r="G543" s="80" t="s">
        <v>4919</v>
      </c>
      <c r="H543" s="80" t="s">
        <v>4920</v>
      </c>
      <c r="I543" s="80" t="s">
        <v>4921</v>
      </c>
      <c r="J543" s="80" t="s">
        <v>4922</v>
      </c>
    </row>
    <row r="544" spans="1:10">
      <c r="A544" s="79">
        <v>98654156051</v>
      </c>
      <c r="B544" s="80" t="s">
        <v>3239</v>
      </c>
      <c r="C544" s="80" t="s">
        <v>886</v>
      </c>
      <c r="D544" s="80" t="s">
        <v>2831</v>
      </c>
      <c r="E544" s="80" t="s">
        <v>819</v>
      </c>
      <c r="F544" s="81" t="s">
        <v>4923</v>
      </c>
      <c r="G544" s="80" t="s">
        <v>4924</v>
      </c>
      <c r="H544" s="80" t="s">
        <v>4925</v>
      </c>
      <c r="I544" s="80" t="s">
        <v>2832</v>
      </c>
      <c r="J544" s="80" t="s">
        <v>2833</v>
      </c>
    </row>
    <row r="545" spans="1:10">
      <c r="A545" s="79">
        <v>98654410101</v>
      </c>
      <c r="B545" s="80" t="s">
        <v>3239</v>
      </c>
      <c r="C545" s="80" t="s">
        <v>886</v>
      </c>
      <c r="D545" s="80" t="s">
        <v>2853</v>
      </c>
      <c r="E545" s="80" t="s">
        <v>754</v>
      </c>
      <c r="F545" s="81" t="s">
        <v>4926</v>
      </c>
      <c r="G545" s="80" t="s">
        <v>4927</v>
      </c>
      <c r="H545" s="80" t="s">
        <v>4928</v>
      </c>
      <c r="I545" s="80" t="s">
        <v>2854</v>
      </c>
      <c r="J545" s="80" t="s">
        <v>2855</v>
      </c>
    </row>
    <row r="546" spans="1:10">
      <c r="A546" s="79">
        <v>98654420101</v>
      </c>
      <c r="B546" s="80" t="s">
        <v>3239</v>
      </c>
      <c r="C546" s="80" t="s">
        <v>886</v>
      </c>
      <c r="D546" s="80" t="s">
        <v>2861</v>
      </c>
      <c r="E546" s="80" t="s">
        <v>754</v>
      </c>
      <c r="F546" s="81" t="s">
        <v>4929</v>
      </c>
      <c r="G546" s="80" t="s">
        <v>4930</v>
      </c>
      <c r="H546" s="80" t="s">
        <v>4931</v>
      </c>
      <c r="I546" s="80" t="s">
        <v>2862</v>
      </c>
      <c r="J546" s="80" t="s">
        <v>2863</v>
      </c>
    </row>
    <row r="547" spans="1:10">
      <c r="A547" s="79">
        <v>98654158051</v>
      </c>
      <c r="B547" s="80" t="s">
        <v>3239</v>
      </c>
      <c r="C547" s="80" t="s">
        <v>886</v>
      </c>
      <c r="D547" s="80" t="s">
        <v>2835</v>
      </c>
      <c r="E547" s="80" t="s">
        <v>819</v>
      </c>
      <c r="F547" s="81" t="s">
        <v>4932</v>
      </c>
      <c r="G547" s="80" t="s">
        <v>4933</v>
      </c>
      <c r="H547" s="80" t="s">
        <v>4934</v>
      </c>
      <c r="I547" s="80" t="s">
        <v>2836</v>
      </c>
      <c r="J547" s="80" t="s">
        <v>2837</v>
      </c>
    </row>
    <row r="548" spans="1:10">
      <c r="A548" s="79">
        <v>98654420106</v>
      </c>
      <c r="B548" s="80" t="s">
        <v>3239</v>
      </c>
      <c r="C548" s="80" t="s">
        <v>886</v>
      </c>
      <c r="D548" s="80" t="s">
        <v>2329</v>
      </c>
      <c r="E548" s="80" t="s">
        <v>754</v>
      </c>
      <c r="F548" s="81" t="s">
        <v>4935</v>
      </c>
      <c r="G548" s="80" t="s">
        <v>4936</v>
      </c>
      <c r="H548" s="80" t="s">
        <v>4937</v>
      </c>
      <c r="I548" s="80" t="s">
        <v>2864</v>
      </c>
      <c r="J548" s="80" t="s">
        <v>2865</v>
      </c>
    </row>
    <row r="549" spans="1:10">
      <c r="A549" s="79">
        <v>98654410106</v>
      </c>
      <c r="B549" s="80" t="s">
        <v>3239</v>
      </c>
      <c r="C549" s="80" t="s">
        <v>886</v>
      </c>
      <c r="D549" s="80" t="s">
        <v>873</v>
      </c>
      <c r="E549" s="80" t="s">
        <v>754</v>
      </c>
      <c r="F549" s="81" t="s">
        <v>4938</v>
      </c>
      <c r="G549" s="80" t="s">
        <v>4939</v>
      </c>
      <c r="H549" s="80" t="s">
        <v>4940</v>
      </c>
      <c r="I549" s="80" t="s">
        <v>2856</v>
      </c>
      <c r="J549" s="80" t="s">
        <v>2857</v>
      </c>
    </row>
    <row r="550" spans="1:10">
      <c r="A550" s="79">
        <v>98654151051</v>
      </c>
      <c r="B550" s="80" t="s">
        <v>3239</v>
      </c>
      <c r="C550" s="80" t="s">
        <v>886</v>
      </c>
      <c r="D550" s="80" t="s">
        <v>2825</v>
      </c>
      <c r="E550" s="80" t="s">
        <v>819</v>
      </c>
      <c r="F550" s="81" t="s">
        <v>4941</v>
      </c>
      <c r="G550" s="80" t="s">
        <v>4942</v>
      </c>
      <c r="H550" s="80" t="s">
        <v>4943</v>
      </c>
      <c r="I550" s="80" t="s">
        <v>2826</v>
      </c>
      <c r="J550" s="80" t="s">
        <v>2827</v>
      </c>
    </row>
    <row r="551" spans="1:10">
      <c r="A551" s="79">
        <v>98654415000</v>
      </c>
      <c r="B551" s="80" t="s">
        <v>3239</v>
      </c>
      <c r="C551" s="80" t="s">
        <v>886</v>
      </c>
      <c r="D551" s="80" t="s">
        <v>336</v>
      </c>
      <c r="E551" s="80" t="s">
        <v>754</v>
      </c>
      <c r="F551" s="81" t="s">
        <v>4944</v>
      </c>
      <c r="G551" s="80" t="s">
        <v>4945</v>
      </c>
      <c r="H551" s="80" t="s">
        <v>4946</v>
      </c>
      <c r="I551" s="80" t="s">
        <v>4947</v>
      </c>
      <c r="J551" s="80" t="s">
        <v>4948</v>
      </c>
    </row>
    <row r="552" spans="1:10">
      <c r="A552" s="79">
        <v>98654158106</v>
      </c>
      <c r="B552" s="80" t="s">
        <v>3239</v>
      </c>
      <c r="C552" s="80" t="s">
        <v>886</v>
      </c>
      <c r="D552" s="80" t="s">
        <v>2838</v>
      </c>
      <c r="E552" s="80" t="s">
        <v>754</v>
      </c>
      <c r="F552" s="81" t="s">
        <v>4949</v>
      </c>
      <c r="G552" s="80" t="s">
        <v>4950</v>
      </c>
      <c r="H552" s="80" t="s">
        <v>4951</v>
      </c>
      <c r="I552" s="80" t="s">
        <v>2839</v>
      </c>
      <c r="J552" s="80" t="s">
        <v>2840</v>
      </c>
    </row>
    <row r="553" spans="1:10">
      <c r="A553" s="79">
        <v>98654151106</v>
      </c>
      <c r="B553" s="80" t="s">
        <v>3239</v>
      </c>
      <c r="C553" s="80" t="s">
        <v>886</v>
      </c>
      <c r="D553" s="80" t="s">
        <v>438</v>
      </c>
      <c r="E553" s="80" t="s">
        <v>754</v>
      </c>
      <c r="F553" s="81" t="s">
        <v>4952</v>
      </c>
      <c r="G553" s="80" t="s">
        <v>4953</v>
      </c>
      <c r="H553" s="80" t="s">
        <v>4954</v>
      </c>
      <c r="I553" s="80" t="s">
        <v>2828</v>
      </c>
      <c r="J553" s="80" t="s">
        <v>2829</v>
      </c>
    </row>
    <row r="554" spans="1:10">
      <c r="A554" s="79">
        <v>98654425101</v>
      </c>
      <c r="B554" s="80" t="s">
        <v>3239</v>
      </c>
      <c r="C554" s="80" t="s">
        <v>886</v>
      </c>
      <c r="D554" s="80" t="s">
        <v>2867</v>
      </c>
      <c r="E554" s="80" t="s">
        <v>754</v>
      </c>
      <c r="F554" s="81" t="s">
        <v>4955</v>
      </c>
      <c r="G554" s="80" t="s">
        <v>3939</v>
      </c>
      <c r="H554" s="80" t="s">
        <v>4956</v>
      </c>
      <c r="I554" s="80" t="s">
        <v>1787</v>
      </c>
      <c r="J554" s="80" t="s">
        <v>2868</v>
      </c>
    </row>
    <row r="555" spans="1:10">
      <c r="A555" s="79">
        <v>98654164051</v>
      </c>
      <c r="B555" s="80" t="s">
        <v>3239</v>
      </c>
      <c r="C555" s="80" t="s">
        <v>886</v>
      </c>
      <c r="D555" s="80" t="s">
        <v>345</v>
      </c>
      <c r="E555" s="80" t="s">
        <v>819</v>
      </c>
      <c r="F555" s="81" t="s">
        <v>4957</v>
      </c>
      <c r="G555" s="80" t="s">
        <v>4958</v>
      </c>
      <c r="H555" s="80" t="s">
        <v>4959</v>
      </c>
      <c r="I555" s="80" t="s">
        <v>2842</v>
      </c>
      <c r="J555" s="80" t="s">
        <v>2843</v>
      </c>
    </row>
    <row r="556" spans="1:10">
      <c r="A556" s="79">
        <v>98654166</v>
      </c>
      <c r="B556" s="80" t="s">
        <v>3239</v>
      </c>
      <c r="C556" s="80" t="s">
        <v>886</v>
      </c>
      <c r="D556" s="80" t="s">
        <v>888</v>
      </c>
      <c r="E556" s="80" t="s">
        <v>819</v>
      </c>
      <c r="F556" s="81" t="s">
        <v>4960</v>
      </c>
      <c r="G556" s="80" t="s">
        <v>4961</v>
      </c>
      <c r="H556" s="80" t="s">
        <v>4962</v>
      </c>
      <c r="I556" s="80" t="s">
        <v>4963</v>
      </c>
      <c r="J556" s="80" t="s">
        <v>4964</v>
      </c>
    </row>
    <row r="557" spans="1:10">
      <c r="A557" s="79">
        <v>98656151051</v>
      </c>
      <c r="B557" s="80" t="s">
        <v>3239</v>
      </c>
      <c r="C557" s="80" t="s">
        <v>904</v>
      </c>
      <c r="D557" s="80" t="s">
        <v>2873</v>
      </c>
      <c r="E557" s="80" t="s">
        <v>3106</v>
      </c>
      <c r="F557" s="81" t="s">
        <v>4965</v>
      </c>
      <c r="G557" s="80" t="s">
        <v>4966</v>
      </c>
      <c r="H557" s="80" t="s">
        <v>4967</v>
      </c>
      <c r="I557" s="80" t="s">
        <v>2874</v>
      </c>
      <c r="J557" s="80" t="s">
        <v>2875</v>
      </c>
    </row>
    <row r="558" spans="1:10">
      <c r="A558" s="79">
        <v>98656405101</v>
      </c>
      <c r="B558" s="80" t="s">
        <v>3239</v>
      </c>
      <c r="C558" s="80" t="s">
        <v>904</v>
      </c>
      <c r="D558" s="80" t="s">
        <v>2884</v>
      </c>
      <c r="E558" s="80" t="s">
        <v>754</v>
      </c>
      <c r="F558" s="81" t="s">
        <v>4968</v>
      </c>
      <c r="G558" s="80" t="s">
        <v>4969</v>
      </c>
      <c r="H558" s="80" t="s">
        <v>4970</v>
      </c>
      <c r="I558" s="80" t="s">
        <v>2885</v>
      </c>
      <c r="J558" s="80" t="s">
        <v>2886</v>
      </c>
    </row>
    <row r="559" spans="1:10">
      <c r="A559" s="79">
        <v>98656159051</v>
      </c>
      <c r="B559" s="80" t="s">
        <v>3239</v>
      </c>
      <c r="C559" s="80" t="s">
        <v>904</v>
      </c>
      <c r="D559" s="80" t="s">
        <v>607</v>
      </c>
      <c r="E559" s="80" t="s">
        <v>819</v>
      </c>
      <c r="F559" s="81" t="s">
        <v>4971</v>
      </c>
      <c r="G559" s="80" t="s">
        <v>4972</v>
      </c>
      <c r="H559" s="80" t="s">
        <v>4973</v>
      </c>
      <c r="I559" s="80" t="s">
        <v>2877</v>
      </c>
      <c r="J559" s="80" t="s">
        <v>2878</v>
      </c>
    </row>
    <row r="560" spans="1:10">
      <c r="A560" s="79">
        <v>98656415101</v>
      </c>
      <c r="B560" s="80" t="s">
        <v>3239</v>
      </c>
      <c r="C560" s="80" t="s">
        <v>904</v>
      </c>
      <c r="D560" s="80" t="s">
        <v>1251</v>
      </c>
      <c r="E560" s="80" t="s">
        <v>754</v>
      </c>
      <c r="F560" s="81" t="s">
        <v>4974</v>
      </c>
      <c r="G560" s="80" t="s">
        <v>4975</v>
      </c>
      <c r="H560" s="80" t="s">
        <v>4976</v>
      </c>
      <c r="I560" s="80" t="s">
        <v>2892</v>
      </c>
      <c r="J560" s="80" t="s">
        <v>2893</v>
      </c>
    </row>
    <row r="561" spans="1:10">
      <c r="A561" s="79">
        <v>98656420101</v>
      </c>
      <c r="B561" s="80" t="s">
        <v>3239</v>
      </c>
      <c r="C561" s="80" t="s">
        <v>904</v>
      </c>
      <c r="D561" s="80" t="s">
        <v>2895</v>
      </c>
      <c r="E561" s="80" t="s">
        <v>754</v>
      </c>
      <c r="F561" s="81" t="s">
        <v>4977</v>
      </c>
      <c r="G561" s="80" t="s">
        <v>4978</v>
      </c>
      <c r="H561" s="80" t="s">
        <v>4979</v>
      </c>
      <c r="I561" s="80" t="s">
        <v>2896</v>
      </c>
      <c r="J561" s="80" t="s">
        <v>2897</v>
      </c>
    </row>
    <row r="562" spans="1:10">
      <c r="A562" s="79">
        <v>98656165051</v>
      </c>
      <c r="B562" s="80" t="s">
        <v>3239</v>
      </c>
      <c r="C562" s="80" t="s">
        <v>904</v>
      </c>
      <c r="D562" s="80" t="s">
        <v>598</v>
      </c>
      <c r="E562" s="80" t="s">
        <v>819</v>
      </c>
      <c r="F562" s="81" t="s">
        <v>4980</v>
      </c>
      <c r="G562" s="80" t="s">
        <v>4981</v>
      </c>
      <c r="H562" s="80" t="s">
        <v>4982</v>
      </c>
      <c r="I562" s="80" t="s">
        <v>2880</v>
      </c>
      <c r="J562" s="80" t="s">
        <v>2881</v>
      </c>
    </row>
    <row r="563" spans="1:10">
      <c r="A563" s="79">
        <v>98656425101</v>
      </c>
      <c r="B563" s="80" t="s">
        <v>3239</v>
      </c>
      <c r="C563" s="80" t="s">
        <v>904</v>
      </c>
      <c r="D563" s="80" t="s">
        <v>2899</v>
      </c>
      <c r="E563" s="80" t="s">
        <v>754</v>
      </c>
      <c r="F563" s="81" t="s">
        <v>4983</v>
      </c>
      <c r="G563" s="80" t="s">
        <v>4984</v>
      </c>
      <c r="H563" s="80" t="s">
        <v>4985</v>
      </c>
      <c r="I563" s="80" t="s">
        <v>2900</v>
      </c>
      <c r="J563" s="80" t="s">
        <v>2901</v>
      </c>
    </row>
    <row r="564" spans="1:10">
      <c r="A564" s="79">
        <v>98656427</v>
      </c>
      <c r="B564" s="80" t="s">
        <v>3239</v>
      </c>
      <c r="C564" s="80" t="s">
        <v>904</v>
      </c>
      <c r="D564" s="80" t="s">
        <v>4986</v>
      </c>
      <c r="E564" s="80" t="s">
        <v>754</v>
      </c>
      <c r="F564" s="81" t="s">
        <v>4987</v>
      </c>
      <c r="G564" s="80" t="s">
        <v>4988</v>
      </c>
      <c r="H564" s="80" t="s">
        <v>4989</v>
      </c>
      <c r="I564" s="80" t="s">
        <v>4990</v>
      </c>
      <c r="J564" s="80" t="s">
        <v>4991</v>
      </c>
    </row>
    <row r="565" spans="1:10">
      <c r="A565" s="79">
        <v>98656410101</v>
      </c>
      <c r="B565" s="80" t="s">
        <v>3239</v>
      </c>
      <c r="C565" s="80" t="s">
        <v>904</v>
      </c>
      <c r="D565" s="80" t="s">
        <v>2888</v>
      </c>
      <c r="E565" s="80" t="s">
        <v>754</v>
      </c>
      <c r="F565" s="81" t="s">
        <v>4992</v>
      </c>
      <c r="G565" s="80" t="s">
        <v>4993</v>
      </c>
      <c r="H565" s="80" t="s">
        <v>4994</v>
      </c>
      <c r="I565" s="80" t="s">
        <v>2889</v>
      </c>
      <c r="J565" s="80" t="s">
        <v>2890</v>
      </c>
    </row>
    <row r="566" spans="1:10">
      <c r="A566" s="79">
        <v>98656435101</v>
      </c>
      <c r="B566" s="80" t="s">
        <v>3239</v>
      </c>
      <c r="C566" s="80" t="s">
        <v>904</v>
      </c>
      <c r="D566" s="80" t="s">
        <v>2906</v>
      </c>
      <c r="E566" s="80" t="s">
        <v>754</v>
      </c>
      <c r="F566" s="81" t="s">
        <v>4995</v>
      </c>
      <c r="G566" s="80" t="s">
        <v>4996</v>
      </c>
      <c r="H566" s="80" t="s">
        <v>4997</v>
      </c>
      <c r="I566" s="80" t="s">
        <v>2907</v>
      </c>
      <c r="J566" s="80" t="s">
        <v>2908</v>
      </c>
    </row>
    <row r="567" spans="1:10">
      <c r="A567" s="79">
        <v>98644403101</v>
      </c>
      <c r="B567" s="80" t="s">
        <v>3239</v>
      </c>
      <c r="C567" s="80" t="s">
        <v>845</v>
      </c>
      <c r="D567" s="80" t="s">
        <v>1572</v>
      </c>
      <c r="E567" s="80" t="s">
        <v>754</v>
      </c>
      <c r="F567" s="81" t="s">
        <v>4998</v>
      </c>
      <c r="G567" s="80" t="s">
        <v>4999</v>
      </c>
      <c r="H567" s="80" t="s">
        <v>5000</v>
      </c>
      <c r="I567" s="80" t="s">
        <v>2393</v>
      </c>
      <c r="J567" s="80" t="s">
        <v>2394</v>
      </c>
    </row>
    <row r="568" spans="1:10">
      <c r="A568" s="79">
        <v>98644423101</v>
      </c>
      <c r="B568" s="80" t="s">
        <v>3239</v>
      </c>
      <c r="C568" s="80" t="s">
        <v>845</v>
      </c>
      <c r="D568" s="80" t="s">
        <v>2431</v>
      </c>
      <c r="E568" s="80" t="s">
        <v>754</v>
      </c>
      <c r="F568" s="81" t="s">
        <v>5001</v>
      </c>
      <c r="G568" s="80" t="s">
        <v>5002</v>
      </c>
      <c r="H568" s="80" t="s">
        <v>5003</v>
      </c>
      <c r="I568" s="80" t="s">
        <v>2432</v>
      </c>
      <c r="J568" s="80" t="s">
        <v>2433</v>
      </c>
    </row>
    <row r="569" spans="1:10">
      <c r="A569" s="79">
        <v>98644427101</v>
      </c>
      <c r="B569" s="80" t="s">
        <v>3239</v>
      </c>
      <c r="C569" s="80" t="s">
        <v>845</v>
      </c>
      <c r="D569" s="80" t="s">
        <v>1685</v>
      </c>
      <c r="E569" s="80" t="s">
        <v>754</v>
      </c>
      <c r="F569" s="81" t="s">
        <v>5004</v>
      </c>
      <c r="G569" s="80" t="s">
        <v>5005</v>
      </c>
      <c r="H569" s="80" t="s">
        <v>5006</v>
      </c>
      <c r="I569" s="80" t="s">
        <v>2445</v>
      </c>
      <c r="J569" s="80" t="s">
        <v>2446</v>
      </c>
    </row>
    <row r="570" spans="1:10">
      <c r="A570" s="79">
        <v>98644425106</v>
      </c>
      <c r="B570" s="80" t="s">
        <v>3239</v>
      </c>
      <c r="C570" s="80" t="s">
        <v>845</v>
      </c>
      <c r="D570" s="80" t="s">
        <v>2441</v>
      </c>
      <c r="E570" s="80" t="s">
        <v>754</v>
      </c>
      <c r="F570" s="81" t="s">
        <v>5007</v>
      </c>
      <c r="G570" s="80" t="s">
        <v>5008</v>
      </c>
      <c r="H570" s="80" t="s">
        <v>5009</v>
      </c>
      <c r="I570" s="80" t="s">
        <v>2442</v>
      </c>
      <c r="J570" s="80" t="s">
        <v>2443</v>
      </c>
    </row>
    <row r="571" spans="1:10">
      <c r="A571" s="79">
        <v>98644412101</v>
      </c>
      <c r="B571" s="80" t="s">
        <v>3239</v>
      </c>
      <c r="C571" s="80" t="s">
        <v>845</v>
      </c>
      <c r="D571" s="80" t="s">
        <v>2417</v>
      </c>
      <c r="E571" s="80" t="s">
        <v>754</v>
      </c>
      <c r="F571" s="81" t="s">
        <v>5010</v>
      </c>
      <c r="G571" s="80" t="s">
        <v>5011</v>
      </c>
      <c r="H571" s="80" t="s">
        <v>5012</v>
      </c>
      <c r="I571" s="80" t="s">
        <v>2418</v>
      </c>
      <c r="J571" s="80" t="s">
        <v>2419</v>
      </c>
    </row>
    <row r="572" spans="1:10">
      <c r="A572" s="79">
        <v>98644447106</v>
      </c>
      <c r="B572" s="80" t="s">
        <v>3239</v>
      </c>
      <c r="C572" s="80" t="s">
        <v>845</v>
      </c>
      <c r="D572" s="80" t="s">
        <v>2469</v>
      </c>
      <c r="E572" s="80" t="s">
        <v>754</v>
      </c>
      <c r="F572" s="81" t="s">
        <v>5013</v>
      </c>
      <c r="G572" s="80" t="s">
        <v>5014</v>
      </c>
      <c r="H572" s="80" t="s">
        <v>5015</v>
      </c>
      <c r="I572" s="80" t="s">
        <v>2470</v>
      </c>
      <c r="J572" s="80" t="s">
        <v>2471</v>
      </c>
    </row>
    <row r="573" spans="1:10">
      <c r="A573" s="79">
        <v>98644418101</v>
      </c>
      <c r="B573" s="80" t="s">
        <v>3239</v>
      </c>
      <c r="C573" s="80" t="s">
        <v>845</v>
      </c>
      <c r="D573" s="80" t="s">
        <v>2424</v>
      </c>
      <c r="E573" s="80" t="s">
        <v>754</v>
      </c>
      <c r="F573" s="81" t="s">
        <v>5016</v>
      </c>
      <c r="G573" s="80" t="s">
        <v>5017</v>
      </c>
      <c r="H573" s="80" t="s">
        <v>5018</v>
      </c>
      <c r="I573" s="80" t="s">
        <v>2425</v>
      </c>
      <c r="J573" s="80" t="s">
        <v>2426</v>
      </c>
    </row>
    <row r="574" spans="1:10">
      <c r="A574" s="79">
        <v>98644407101</v>
      </c>
      <c r="B574" s="80" t="s">
        <v>3239</v>
      </c>
      <c r="C574" s="80" t="s">
        <v>845</v>
      </c>
      <c r="D574" s="80" t="s">
        <v>5019</v>
      </c>
      <c r="E574" s="80" t="s">
        <v>754</v>
      </c>
      <c r="F574" s="81" t="s">
        <v>5020</v>
      </c>
      <c r="G574" s="80" t="s">
        <v>5021</v>
      </c>
      <c r="H574" s="80" t="s">
        <v>5022</v>
      </c>
      <c r="I574" s="80" t="s">
        <v>2407</v>
      </c>
      <c r="J574" s="80" t="s">
        <v>2408</v>
      </c>
    </row>
    <row r="575" spans="1:10">
      <c r="A575" s="79">
        <v>98644418106</v>
      </c>
      <c r="B575" s="80" t="s">
        <v>3239</v>
      </c>
      <c r="C575" s="80" t="s">
        <v>845</v>
      </c>
      <c r="D575" s="80" t="s">
        <v>2427</v>
      </c>
      <c r="E575" s="80" t="s">
        <v>754</v>
      </c>
      <c r="F575" s="81" t="s">
        <v>5023</v>
      </c>
      <c r="G575" s="80" t="s">
        <v>5024</v>
      </c>
      <c r="H575" s="80" t="s">
        <v>5025</v>
      </c>
      <c r="I575" s="80" t="s">
        <v>2428</v>
      </c>
      <c r="J575" s="80" t="s">
        <v>2429</v>
      </c>
    </row>
    <row r="576" spans="1:10">
      <c r="A576" s="79">
        <v>98644423106</v>
      </c>
      <c r="B576" s="80" t="s">
        <v>3239</v>
      </c>
      <c r="C576" s="80" t="s">
        <v>845</v>
      </c>
      <c r="D576" s="80" t="s">
        <v>5026</v>
      </c>
      <c r="E576" s="80" t="s">
        <v>754</v>
      </c>
      <c r="F576" s="81" t="s">
        <v>5027</v>
      </c>
      <c r="G576" s="80" t="s">
        <v>5028</v>
      </c>
      <c r="H576" s="80" t="s">
        <v>5029</v>
      </c>
      <c r="I576" s="80" t="s">
        <v>2435</v>
      </c>
      <c r="J576" s="80" t="s">
        <v>2436</v>
      </c>
    </row>
    <row r="577" spans="1:10">
      <c r="A577" s="79">
        <v>98644428101</v>
      </c>
      <c r="B577" s="80" t="s">
        <v>3239</v>
      </c>
      <c r="C577" s="80" t="s">
        <v>845</v>
      </c>
      <c r="D577" s="80" t="s">
        <v>2448</v>
      </c>
      <c r="E577" s="80" t="s">
        <v>754</v>
      </c>
      <c r="F577" s="81" t="s">
        <v>5030</v>
      </c>
      <c r="G577" s="80" t="s">
        <v>5031</v>
      </c>
      <c r="H577" s="80" t="s">
        <v>5032</v>
      </c>
      <c r="I577" s="80" t="s">
        <v>2449</v>
      </c>
      <c r="J577" s="80" t="s">
        <v>2450</v>
      </c>
    </row>
    <row r="578" spans="1:10">
      <c r="A578" s="79">
        <v>98644157</v>
      </c>
      <c r="B578" s="80" t="s">
        <v>3239</v>
      </c>
      <c r="C578" s="80" t="s">
        <v>845</v>
      </c>
      <c r="D578" s="80" t="s">
        <v>848</v>
      </c>
      <c r="E578" s="80" t="s">
        <v>819</v>
      </c>
      <c r="F578" s="81" t="s">
        <v>5033</v>
      </c>
      <c r="G578" s="80" t="s">
        <v>5034</v>
      </c>
      <c r="H578" s="80" t="s">
        <v>5035</v>
      </c>
      <c r="I578" s="80" t="s">
        <v>5036</v>
      </c>
      <c r="J578" s="80" t="s">
        <v>5037</v>
      </c>
    </row>
    <row r="579" spans="1:10">
      <c r="A579" s="79">
        <v>98644412106</v>
      </c>
      <c r="B579" s="80" t="s">
        <v>3239</v>
      </c>
      <c r="C579" s="80" t="s">
        <v>845</v>
      </c>
      <c r="D579" s="80" t="s">
        <v>2420</v>
      </c>
      <c r="E579" s="80" t="s">
        <v>754</v>
      </c>
      <c r="F579" s="81" t="s">
        <v>5038</v>
      </c>
      <c r="G579" s="80" t="s">
        <v>5039</v>
      </c>
      <c r="H579" s="80" t="s">
        <v>5040</v>
      </c>
      <c r="I579" s="80" t="s">
        <v>2421</v>
      </c>
      <c r="J579" s="80" t="s">
        <v>2422</v>
      </c>
    </row>
    <row r="580" spans="1:10">
      <c r="A580" s="79">
        <v>98644407106</v>
      </c>
      <c r="B580" s="80" t="s">
        <v>3239</v>
      </c>
      <c r="C580" s="80" t="s">
        <v>845</v>
      </c>
      <c r="D580" s="80" t="s">
        <v>2409</v>
      </c>
      <c r="E580" s="80" t="s">
        <v>754</v>
      </c>
      <c r="F580" s="81" t="s">
        <v>5041</v>
      </c>
      <c r="G580" s="80" t="s">
        <v>5042</v>
      </c>
      <c r="H580" s="80" t="s">
        <v>5043</v>
      </c>
      <c r="I580" s="80" t="s">
        <v>2410</v>
      </c>
      <c r="J580" s="80" t="s">
        <v>2411</v>
      </c>
    </row>
    <row r="581" spans="1:10">
      <c r="A581" s="79">
        <v>98644435101</v>
      </c>
      <c r="B581" s="80" t="s">
        <v>3239</v>
      </c>
      <c r="C581" s="80" t="s">
        <v>845</v>
      </c>
      <c r="D581" s="80" t="s">
        <v>2452</v>
      </c>
      <c r="E581" s="80" t="s">
        <v>754</v>
      </c>
      <c r="F581" s="81" t="s">
        <v>5044</v>
      </c>
      <c r="G581" s="80" t="s">
        <v>5045</v>
      </c>
      <c r="H581" s="80" t="s">
        <v>5046</v>
      </c>
      <c r="I581" s="80" t="s">
        <v>2453</v>
      </c>
      <c r="J581" s="80" t="s">
        <v>2454</v>
      </c>
    </row>
    <row r="582" spans="1:10">
      <c r="A582" s="79">
        <v>98644440101</v>
      </c>
      <c r="B582" s="80" t="s">
        <v>3239</v>
      </c>
      <c r="C582" s="80" t="s">
        <v>845</v>
      </c>
      <c r="D582" s="80" t="s">
        <v>5047</v>
      </c>
      <c r="E582" s="80" t="s">
        <v>754</v>
      </c>
      <c r="F582" s="81" t="s">
        <v>5048</v>
      </c>
      <c r="G582" s="80" t="s">
        <v>5049</v>
      </c>
      <c r="H582" s="80" t="s">
        <v>5050</v>
      </c>
      <c r="I582" s="80" t="s">
        <v>2457</v>
      </c>
      <c r="J582" s="80" t="s">
        <v>2458</v>
      </c>
    </row>
    <row r="583" spans="1:10">
      <c r="A583" s="79">
        <v>98644101001</v>
      </c>
      <c r="B583" s="80" t="s">
        <v>3239</v>
      </c>
      <c r="C583" s="80" t="s">
        <v>845</v>
      </c>
      <c r="D583" s="80" t="s">
        <v>99</v>
      </c>
      <c r="E583" s="80" t="s">
        <v>740</v>
      </c>
      <c r="F583" s="81" t="s">
        <v>5051</v>
      </c>
      <c r="G583" s="80" t="s">
        <v>5052</v>
      </c>
      <c r="H583" s="80" t="s">
        <v>5053</v>
      </c>
      <c r="I583" s="80" t="s">
        <v>2388</v>
      </c>
      <c r="J583" s="80" t="s">
        <v>2389</v>
      </c>
    </row>
    <row r="584" spans="1:10">
      <c r="A584" s="79">
        <v>98644445101</v>
      </c>
      <c r="B584" s="80" t="s">
        <v>3239</v>
      </c>
      <c r="C584" s="80" t="s">
        <v>845</v>
      </c>
      <c r="D584" s="80" t="s">
        <v>2462</v>
      </c>
      <c r="E584" s="80" t="s">
        <v>754</v>
      </c>
      <c r="F584" s="81" t="s">
        <v>5054</v>
      </c>
      <c r="G584" s="80" t="s">
        <v>5055</v>
      </c>
      <c r="H584" s="80" t="s">
        <v>5056</v>
      </c>
      <c r="I584" s="80" t="s">
        <v>2463</v>
      </c>
      <c r="J584" s="80" t="s">
        <v>2464</v>
      </c>
    </row>
    <row r="585" spans="1:10">
      <c r="A585" s="79">
        <v>98644447101</v>
      </c>
      <c r="B585" s="80" t="s">
        <v>3239</v>
      </c>
      <c r="C585" s="80" t="s">
        <v>845</v>
      </c>
      <c r="D585" s="80" t="s">
        <v>2466</v>
      </c>
      <c r="E585" s="80" t="s">
        <v>754</v>
      </c>
      <c r="F585" s="81" t="s">
        <v>5057</v>
      </c>
      <c r="G585" s="80" t="s">
        <v>5058</v>
      </c>
      <c r="H585" s="80" t="s">
        <v>5059</v>
      </c>
      <c r="I585" s="80" t="s">
        <v>2467</v>
      </c>
      <c r="J585" s="80" t="s">
        <v>2468</v>
      </c>
    </row>
    <row r="586" spans="1:10">
      <c r="A586" s="79">
        <v>98644450101</v>
      </c>
      <c r="B586" s="80" t="s">
        <v>3239</v>
      </c>
      <c r="C586" s="80" t="s">
        <v>845</v>
      </c>
      <c r="D586" s="80" t="s">
        <v>2473</v>
      </c>
      <c r="E586" s="80" t="s">
        <v>754</v>
      </c>
      <c r="F586" s="81" t="s">
        <v>5060</v>
      </c>
      <c r="G586" s="80" t="s">
        <v>5061</v>
      </c>
      <c r="H586" s="80" t="s">
        <v>5062</v>
      </c>
      <c r="I586" s="80" t="s">
        <v>2474</v>
      </c>
      <c r="J586" s="80" t="s">
        <v>2475</v>
      </c>
    </row>
    <row r="587" spans="1:10">
      <c r="A587" s="79">
        <v>98644406101</v>
      </c>
      <c r="B587" s="80" t="s">
        <v>3239</v>
      </c>
      <c r="C587" s="80" t="s">
        <v>845</v>
      </c>
      <c r="D587" s="80" t="s">
        <v>2399</v>
      </c>
      <c r="E587" s="80" t="s">
        <v>754</v>
      </c>
      <c r="F587" s="81" t="s">
        <v>5063</v>
      </c>
      <c r="G587" s="80" t="s">
        <v>5064</v>
      </c>
      <c r="H587" s="80" t="s">
        <v>5065</v>
      </c>
      <c r="I587" s="80" t="s">
        <v>2400</v>
      </c>
      <c r="J587" s="80" t="s">
        <v>2401</v>
      </c>
    </row>
    <row r="588" spans="1:10">
      <c r="A588" s="79">
        <v>98644453101</v>
      </c>
      <c r="B588" s="80" t="s">
        <v>3239</v>
      </c>
      <c r="C588" s="80" t="s">
        <v>845</v>
      </c>
      <c r="D588" s="80" t="s">
        <v>873</v>
      </c>
      <c r="E588" s="80" t="s">
        <v>754</v>
      </c>
      <c r="F588" s="81" t="s">
        <v>5066</v>
      </c>
      <c r="G588" s="80" t="s">
        <v>3369</v>
      </c>
      <c r="H588" s="80" t="s">
        <v>5067</v>
      </c>
      <c r="I588" s="80" t="s">
        <v>1110</v>
      </c>
      <c r="J588" s="80" t="s">
        <v>2481</v>
      </c>
    </row>
    <row r="589" spans="1:10">
      <c r="A589" s="79">
        <v>98644409101</v>
      </c>
      <c r="B589" s="80" t="s">
        <v>3239</v>
      </c>
      <c r="C589" s="80" t="s">
        <v>845</v>
      </c>
      <c r="D589" s="80" t="s">
        <v>2413</v>
      </c>
      <c r="E589" s="80" t="s">
        <v>754</v>
      </c>
      <c r="F589" s="81" t="s">
        <v>5068</v>
      </c>
      <c r="G589" s="80" t="s">
        <v>5069</v>
      </c>
      <c r="H589" s="80" t="s">
        <v>5070</v>
      </c>
      <c r="I589" s="80" t="s">
        <v>2414</v>
      </c>
      <c r="J589" s="80" t="s">
        <v>2415</v>
      </c>
    </row>
    <row r="590" spans="1:10">
      <c r="A590" s="79">
        <v>98644425101</v>
      </c>
      <c r="B590" s="80" t="s">
        <v>3239</v>
      </c>
      <c r="C590" s="80" t="s">
        <v>845</v>
      </c>
      <c r="D590" s="80" t="s">
        <v>2438</v>
      </c>
      <c r="E590" s="80" t="s">
        <v>754</v>
      </c>
      <c r="F590" s="81" t="s">
        <v>5071</v>
      </c>
      <c r="G590" s="80" t="s">
        <v>5072</v>
      </c>
      <c r="H590" s="80" t="s">
        <v>5073</v>
      </c>
      <c r="I590" s="80" t="s">
        <v>2439</v>
      </c>
      <c r="J590" s="80" t="s">
        <v>2440</v>
      </c>
    </row>
    <row r="591" spans="1:10">
      <c r="A591" s="79">
        <v>98644450106</v>
      </c>
      <c r="B591" s="80" t="s">
        <v>3239</v>
      </c>
      <c r="C591" s="80" t="s">
        <v>845</v>
      </c>
      <c r="D591" s="80" t="s">
        <v>1240</v>
      </c>
      <c r="E591" s="80" t="s">
        <v>754</v>
      </c>
      <c r="F591" s="81" t="s">
        <v>5074</v>
      </c>
      <c r="G591" s="80" t="s">
        <v>5075</v>
      </c>
      <c r="H591" s="80" t="s">
        <v>5076</v>
      </c>
      <c r="I591" s="80" t="s">
        <v>2476</v>
      </c>
      <c r="J591" s="80" t="s">
        <v>2477</v>
      </c>
    </row>
    <row r="592" spans="1:10">
      <c r="A592" s="79">
        <v>98644406106</v>
      </c>
      <c r="B592" s="80" t="s">
        <v>3239</v>
      </c>
      <c r="C592" s="80" t="s">
        <v>845</v>
      </c>
      <c r="D592" s="80" t="s">
        <v>2402</v>
      </c>
      <c r="E592" s="80" t="s">
        <v>754</v>
      </c>
      <c r="F592" s="81" t="s">
        <v>5077</v>
      </c>
      <c r="G592" s="80" t="s">
        <v>5078</v>
      </c>
      <c r="H592" s="80" t="s">
        <v>5079</v>
      </c>
      <c r="I592" s="80" t="s">
        <v>2403</v>
      </c>
      <c r="J592" s="80" t="s">
        <v>2404</v>
      </c>
    </row>
    <row r="593" spans="1:10">
      <c r="A593" s="79">
        <v>98644440106</v>
      </c>
      <c r="B593" s="80" t="s">
        <v>3239</v>
      </c>
      <c r="C593" s="80" t="s">
        <v>845</v>
      </c>
      <c r="D593" s="80" t="s">
        <v>2357</v>
      </c>
      <c r="E593" s="80" t="s">
        <v>754</v>
      </c>
      <c r="F593" s="81" t="s">
        <v>5080</v>
      </c>
      <c r="G593" s="80" t="s">
        <v>5081</v>
      </c>
      <c r="H593" s="80" t="s">
        <v>5082</v>
      </c>
      <c r="I593" s="80" t="s">
        <v>2459</v>
      </c>
      <c r="J593" s="80" t="s">
        <v>2460</v>
      </c>
    </row>
    <row r="594" spans="1:10">
      <c r="A594" s="79">
        <v>98644403106</v>
      </c>
      <c r="B594" s="80" t="s">
        <v>3239</v>
      </c>
      <c r="C594" s="80" t="s">
        <v>845</v>
      </c>
      <c r="D594" s="80" t="s">
        <v>2395</v>
      </c>
      <c r="E594" s="80" t="s">
        <v>754</v>
      </c>
      <c r="F594" s="81" t="s">
        <v>5083</v>
      </c>
      <c r="G594" s="80" t="s">
        <v>5084</v>
      </c>
      <c r="H594" s="80" t="s">
        <v>5085</v>
      </c>
      <c r="I594" s="80" t="s">
        <v>2396</v>
      </c>
      <c r="J594" s="80" t="s">
        <v>2397</v>
      </c>
    </row>
    <row r="595" spans="1:10">
      <c r="A595" s="79">
        <v>98644450111</v>
      </c>
      <c r="B595" s="80" t="s">
        <v>3239</v>
      </c>
      <c r="C595" s="80" t="s">
        <v>845</v>
      </c>
      <c r="D595" s="80" t="s">
        <v>1047</v>
      </c>
      <c r="E595" s="80" t="s">
        <v>754</v>
      </c>
      <c r="F595" s="81" t="s">
        <v>5086</v>
      </c>
      <c r="G595" s="80" t="s">
        <v>5087</v>
      </c>
      <c r="H595" s="80" t="s">
        <v>5088</v>
      </c>
      <c r="I595" s="80" t="s">
        <v>2478</v>
      </c>
      <c r="J595" s="80" t="s">
        <v>2479</v>
      </c>
    </row>
    <row r="596" spans="1:10">
      <c r="A596" s="79">
        <v>98658423101</v>
      </c>
      <c r="B596" s="80" t="s">
        <v>3239</v>
      </c>
      <c r="C596" s="80" t="s">
        <v>912</v>
      </c>
      <c r="D596" s="80" t="s">
        <v>856</v>
      </c>
      <c r="E596" s="80" t="s">
        <v>754</v>
      </c>
      <c r="F596" s="81" t="s">
        <v>5089</v>
      </c>
      <c r="G596" s="80" t="s">
        <v>5090</v>
      </c>
      <c r="H596" s="80" t="s">
        <v>5091</v>
      </c>
      <c r="I596" s="80" t="s">
        <v>2937</v>
      </c>
      <c r="J596" s="80" t="s">
        <v>2938</v>
      </c>
    </row>
    <row r="597" spans="1:10">
      <c r="A597" s="79">
        <v>98658440106</v>
      </c>
      <c r="B597" s="80" t="s">
        <v>3239</v>
      </c>
      <c r="C597" s="80" t="s">
        <v>912</v>
      </c>
      <c r="D597" s="80" t="s">
        <v>2963</v>
      </c>
      <c r="E597" s="80" t="s">
        <v>754</v>
      </c>
      <c r="F597" s="81" t="s">
        <v>5092</v>
      </c>
      <c r="G597" s="80" t="s">
        <v>5093</v>
      </c>
      <c r="H597" s="80" t="s">
        <v>5094</v>
      </c>
      <c r="I597" s="80" t="s">
        <v>2964</v>
      </c>
      <c r="J597" s="80" t="s">
        <v>2965</v>
      </c>
    </row>
    <row r="598" spans="1:10">
      <c r="A598" s="79">
        <v>98658430111</v>
      </c>
      <c r="B598" s="80" t="s">
        <v>3239</v>
      </c>
      <c r="C598" s="80" t="s">
        <v>912</v>
      </c>
      <c r="D598" s="80" t="s">
        <v>5095</v>
      </c>
      <c r="E598" s="80" t="s">
        <v>754</v>
      </c>
      <c r="F598" s="81" t="s">
        <v>5096</v>
      </c>
      <c r="G598" s="80" t="s">
        <v>5097</v>
      </c>
      <c r="H598" s="80" t="s">
        <v>5098</v>
      </c>
      <c r="I598" s="80" t="s">
        <v>2951</v>
      </c>
      <c r="J598" s="80" t="s">
        <v>2952</v>
      </c>
    </row>
    <row r="599" spans="1:10">
      <c r="A599" s="79">
        <v>98658460101</v>
      </c>
      <c r="B599" s="80" t="s">
        <v>3239</v>
      </c>
      <c r="C599" s="80" t="s">
        <v>912</v>
      </c>
      <c r="D599" s="80" t="s">
        <v>2995</v>
      </c>
      <c r="E599" s="80" t="s">
        <v>754</v>
      </c>
      <c r="F599" s="81" t="s">
        <v>5099</v>
      </c>
      <c r="G599" s="80" t="s">
        <v>5100</v>
      </c>
      <c r="H599" s="80" t="s">
        <v>5101</v>
      </c>
      <c r="I599" s="80" t="s">
        <v>2996</v>
      </c>
      <c r="J599" s="80" t="s">
        <v>2997</v>
      </c>
    </row>
    <row r="600" spans="1:10">
      <c r="A600" s="79">
        <v>98658430101</v>
      </c>
      <c r="B600" s="80" t="s">
        <v>3239</v>
      </c>
      <c r="C600" s="80" t="s">
        <v>912</v>
      </c>
      <c r="D600" s="80" t="s">
        <v>2944</v>
      </c>
      <c r="E600" s="80" t="s">
        <v>754</v>
      </c>
      <c r="F600" s="81" t="s">
        <v>5102</v>
      </c>
      <c r="G600" s="80" t="s">
        <v>5103</v>
      </c>
      <c r="H600" s="80" t="s">
        <v>5104</v>
      </c>
      <c r="I600" s="80" t="s">
        <v>2945</v>
      </c>
      <c r="J600" s="80" t="s">
        <v>2946</v>
      </c>
    </row>
    <row r="601" spans="1:10">
      <c r="A601" s="79">
        <v>98658440121</v>
      </c>
      <c r="B601" s="80" t="s">
        <v>3239</v>
      </c>
      <c r="C601" s="80" t="s">
        <v>912</v>
      </c>
      <c r="D601" s="80" t="s">
        <v>2971</v>
      </c>
      <c r="E601" s="80" t="s">
        <v>754</v>
      </c>
      <c r="F601" s="81" t="s">
        <v>5105</v>
      </c>
      <c r="G601" s="80" t="s">
        <v>5106</v>
      </c>
      <c r="H601" s="80" t="s">
        <v>5107</v>
      </c>
      <c r="I601" s="80" t="s">
        <v>2972</v>
      </c>
      <c r="J601" s="80" t="s">
        <v>2973</v>
      </c>
    </row>
    <row r="602" spans="1:10">
      <c r="A602" s="79">
        <v>98658420101</v>
      </c>
      <c r="B602" s="80" t="s">
        <v>3239</v>
      </c>
      <c r="C602" s="80" t="s">
        <v>912</v>
      </c>
      <c r="D602" s="80" t="s">
        <v>2934</v>
      </c>
      <c r="E602" s="80" t="s">
        <v>754</v>
      </c>
      <c r="F602" s="81" t="s">
        <v>5108</v>
      </c>
      <c r="G602" s="80" t="s">
        <v>5109</v>
      </c>
      <c r="H602" s="80" t="s">
        <v>5110</v>
      </c>
      <c r="I602" s="80" t="s">
        <v>2935</v>
      </c>
      <c r="J602" s="80" t="s">
        <v>2936</v>
      </c>
    </row>
    <row r="603" spans="1:10">
      <c r="A603" s="79">
        <v>98658410106</v>
      </c>
      <c r="B603" s="80" t="s">
        <v>3239</v>
      </c>
      <c r="C603" s="80" t="s">
        <v>912</v>
      </c>
      <c r="D603" s="80" t="s">
        <v>2924</v>
      </c>
      <c r="E603" s="80" t="s">
        <v>754</v>
      </c>
      <c r="F603" s="81" t="s">
        <v>5111</v>
      </c>
      <c r="G603" s="80" t="s">
        <v>5112</v>
      </c>
      <c r="H603" s="80" t="s">
        <v>5113</v>
      </c>
      <c r="I603" s="80" t="s">
        <v>2925</v>
      </c>
      <c r="J603" s="80" t="s">
        <v>2926</v>
      </c>
    </row>
    <row r="604" spans="1:10">
      <c r="A604" s="79">
        <v>98658415106</v>
      </c>
      <c r="B604" s="80" t="s">
        <v>3239</v>
      </c>
      <c r="C604" s="80" t="s">
        <v>912</v>
      </c>
      <c r="D604" s="80" t="s">
        <v>2930</v>
      </c>
      <c r="E604" s="80" t="s">
        <v>754</v>
      </c>
      <c r="F604" s="81" t="s">
        <v>5114</v>
      </c>
      <c r="G604" s="80" t="s">
        <v>5115</v>
      </c>
      <c r="H604" s="80" t="s">
        <v>5116</v>
      </c>
      <c r="I604" s="80" t="s">
        <v>2931</v>
      </c>
      <c r="J604" s="80" t="s">
        <v>2932</v>
      </c>
    </row>
    <row r="605" spans="1:10">
      <c r="A605" s="79">
        <v>98658407106</v>
      </c>
      <c r="B605" s="80" t="s">
        <v>3239</v>
      </c>
      <c r="C605" s="80" t="s">
        <v>912</v>
      </c>
      <c r="D605" s="80" t="s">
        <v>2917</v>
      </c>
      <c r="E605" s="80" t="s">
        <v>754</v>
      </c>
      <c r="F605" s="81" t="s">
        <v>5117</v>
      </c>
      <c r="G605" s="80" t="s">
        <v>5118</v>
      </c>
      <c r="H605" s="80" t="s">
        <v>5119</v>
      </c>
      <c r="I605" s="80" t="s">
        <v>2918</v>
      </c>
      <c r="J605" s="80" t="s">
        <v>2919</v>
      </c>
    </row>
    <row r="606" spans="1:10">
      <c r="A606" s="79">
        <v>98658425101</v>
      </c>
      <c r="B606" s="80" t="s">
        <v>3239</v>
      </c>
      <c r="C606" s="80" t="s">
        <v>912</v>
      </c>
      <c r="D606" s="80" t="s">
        <v>2940</v>
      </c>
      <c r="E606" s="80" t="s">
        <v>754</v>
      </c>
      <c r="F606" s="81" t="s">
        <v>5120</v>
      </c>
      <c r="G606" s="80" t="s">
        <v>5121</v>
      </c>
      <c r="H606" s="80" t="s">
        <v>5122</v>
      </c>
      <c r="I606" s="80" t="s">
        <v>2941</v>
      </c>
      <c r="J606" s="80" t="s">
        <v>2942</v>
      </c>
    </row>
    <row r="607" spans="1:10">
      <c r="A607" s="79">
        <v>98658415101</v>
      </c>
      <c r="B607" s="80" t="s">
        <v>3239</v>
      </c>
      <c r="C607" s="80" t="s">
        <v>912</v>
      </c>
      <c r="D607" s="80" t="s">
        <v>2927</v>
      </c>
      <c r="E607" s="80" t="s">
        <v>754</v>
      </c>
      <c r="F607" s="81" t="s">
        <v>5123</v>
      </c>
      <c r="G607" s="80" t="s">
        <v>5124</v>
      </c>
      <c r="H607" s="80" t="s">
        <v>5125</v>
      </c>
      <c r="I607" s="80" t="s">
        <v>2928</v>
      </c>
      <c r="J607" s="80" t="s">
        <v>2929</v>
      </c>
    </row>
    <row r="608" spans="1:10">
      <c r="A608" s="79">
        <v>98658435101</v>
      </c>
      <c r="B608" s="80" t="s">
        <v>3239</v>
      </c>
      <c r="C608" s="80" t="s">
        <v>912</v>
      </c>
      <c r="D608" s="80" t="s">
        <v>2954</v>
      </c>
      <c r="E608" s="80" t="s">
        <v>754</v>
      </c>
      <c r="F608" s="81" t="s">
        <v>5126</v>
      </c>
      <c r="G608" s="80" t="s">
        <v>5127</v>
      </c>
      <c r="H608" s="80" t="s">
        <v>5128</v>
      </c>
      <c r="I608" s="80" t="s">
        <v>2955</v>
      </c>
      <c r="J608" s="80" t="s">
        <v>2956</v>
      </c>
    </row>
    <row r="609" spans="1:10">
      <c r="A609" s="79">
        <v>98658442106</v>
      </c>
      <c r="B609" s="80" t="s">
        <v>3239</v>
      </c>
      <c r="C609" s="80" t="s">
        <v>912</v>
      </c>
      <c r="D609" s="80" t="s">
        <v>2978</v>
      </c>
      <c r="E609" s="80" t="s">
        <v>754</v>
      </c>
      <c r="F609" s="81" t="s">
        <v>5129</v>
      </c>
      <c r="G609" s="80" t="s">
        <v>5130</v>
      </c>
      <c r="H609" s="80" t="s">
        <v>5131</v>
      </c>
      <c r="I609" s="80" t="s">
        <v>2979</v>
      </c>
      <c r="J609" s="80" t="s">
        <v>2980</v>
      </c>
    </row>
    <row r="610" spans="1:10">
      <c r="A610" s="79">
        <v>98658440116</v>
      </c>
      <c r="B610" s="80" t="s">
        <v>3239</v>
      </c>
      <c r="C610" s="80" t="s">
        <v>912</v>
      </c>
      <c r="D610" s="80" t="s">
        <v>2968</v>
      </c>
      <c r="E610" s="80" t="s">
        <v>754</v>
      </c>
      <c r="F610" s="81" t="s">
        <v>5132</v>
      </c>
      <c r="G610" s="80" t="s">
        <v>5133</v>
      </c>
      <c r="H610" s="80" t="s">
        <v>5134</v>
      </c>
      <c r="I610" s="80" t="s">
        <v>2969</v>
      </c>
      <c r="J610" s="80" t="s">
        <v>2970</v>
      </c>
    </row>
    <row r="611" spans="1:10">
      <c r="A611" s="79">
        <v>98658442101</v>
      </c>
      <c r="B611" s="80" t="s">
        <v>3239</v>
      </c>
      <c r="C611" s="80" t="s">
        <v>912</v>
      </c>
      <c r="D611" s="80" t="s">
        <v>2975</v>
      </c>
      <c r="E611" s="80" t="s">
        <v>754</v>
      </c>
      <c r="F611" s="81" t="s">
        <v>5135</v>
      </c>
      <c r="G611" s="80" t="s">
        <v>5136</v>
      </c>
      <c r="H611" s="80" t="s">
        <v>5137</v>
      </c>
      <c r="I611" s="80" t="s">
        <v>2976</v>
      </c>
      <c r="J611" s="80" t="s">
        <v>2977</v>
      </c>
    </row>
    <row r="612" spans="1:10">
      <c r="A612" s="79">
        <v>98658407101</v>
      </c>
      <c r="B612" s="80" t="s">
        <v>3239</v>
      </c>
      <c r="C612" s="80" t="s">
        <v>912</v>
      </c>
      <c r="D612" s="80" t="s">
        <v>864</v>
      </c>
      <c r="E612" s="80" t="s">
        <v>754</v>
      </c>
      <c r="F612" s="81" t="s">
        <v>5138</v>
      </c>
      <c r="G612" s="80" t="s">
        <v>5139</v>
      </c>
      <c r="H612" s="80" t="s">
        <v>5140</v>
      </c>
      <c r="I612" s="80" t="s">
        <v>3001</v>
      </c>
      <c r="J612" s="80" t="s">
        <v>3002</v>
      </c>
    </row>
    <row r="613" spans="1:10">
      <c r="A613" s="79">
        <v>98658455101</v>
      </c>
      <c r="B613" s="80" t="s">
        <v>3239</v>
      </c>
      <c r="C613" s="80" t="s">
        <v>912</v>
      </c>
      <c r="D613" s="80" t="s">
        <v>3216</v>
      </c>
      <c r="E613" s="80" t="s">
        <v>754</v>
      </c>
      <c r="F613" s="81" t="s">
        <v>5141</v>
      </c>
      <c r="G613" s="80" t="s">
        <v>4007</v>
      </c>
      <c r="H613" s="80" t="s">
        <v>5142</v>
      </c>
      <c r="I613" s="80" t="s">
        <v>1892</v>
      </c>
      <c r="J613" s="80" t="s">
        <v>2993</v>
      </c>
    </row>
    <row r="614" spans="1:10">
      <c r="A614" s="79">
        <v>98658440111</v>
      </c>
      <c r="B614" s="80" t="s">
        <v>3239</v>
      </c>
      <c r="C614" s="80" t="s">
        <v>912</v>
      </c>
      <c r="D614" s="80" t="s">
        <v>3610</v>
      </c>
      <c r="E614" s="80" t="s">
        <v>754</v>
      </c>
      <c r="F614" s="81" t="s">
        <v>5143</v>
      </c>
      <c r="G614" s="80" t="s">
        <v>5144</v>
      </c>
      <c r="H614" s="80" t="s">
        <v>5145</v>
      </c>
      <c r="I614" s="80" t="s">
        <v>2966</v>
      </c>
      <c r="J614" s="80" t="s">
        <v>2967</v>
      </c>
    </row>
    <row r="615" spans="1:10">
      <c r="A615" s="79">
        <v>98658460106</v>
      </c>
      <c r="B615" s="80" t="s">
        <v>3239</v>
      </c>
      <c r="C615" s="80" t="s">
        <v>912</v>
      </c>
      <c r="D615" s="80" t="s">
        <v>2998</v>
      </c>
      <c r="E615" s="80" t="s">
        <v>754</v>
      </c>
      <c r="F615" s="81" t="s">
        <v>5146</v>
      </c>
      <c r="G615" s="80" t="s">
        <v>5147</v>
      </c>
      <c r="H615" s="80" t="s">
        <v>5148</v>
      </c>
      <c r="I615" s="80" t="s">
        <v>2999</v>
      </c>
      <c r="J615" s="80" t="s">
        <v>3000</v>
      </c>
    </row>
    <row r="616" spans="1:10">
      <c r="A616" s="79">
        <v>98658445106</v>
      </c>
      <c r="B616" s="80" t="s">
        <v>3239</v>
      </c>
      <c r="C616" s="80" t="s">
        <v>912</v>
      </c>
      <c r="D616" s="80" t="s">
        <v>2985</v>
      </c>
      <c r="E616" s="80" t="s">
        <v>754</v>
      </c>
      <c r="F616" s="81" t="s">
        <v>5149</v>
      </c>
      <c r="G616" s="80" t="s">
        <v>5150</v>
      </c>
      <c r="H616" s="80" t="s">
        <v>5151</v>
      </c>
      <c r="I616" s="80" t="s">
        <v>2986</v>
      </c>
      <c r="J616" s="80" t="s">
        <v>2987</v>
      </c>
    </row>
    <row r="617" spans="1:10">
      <c r="A617" s="79">
        <v>98658440101</v>
      </c>
      <c r="B617" s="80" t="s">
        <v>3239</v>
      </c>
      <c r="C617" s="80" t="s">
        <v>912</v>
      </c>
      <c r="D617" s="80" t="s">
        <v>3548</v>
      </c>
      <c r="E617" s="80" t="s">
        <v>754</v>
      </c>
      <c r="F617" s="81" t="s">
        <v>5152</v>
      </c>
      <c r="G617" s="80" t="s">
        <v>5153</v>
      </c>
      <c r="H617" s="80" t="s">
        <v>5154</v>
      </c>
      <c r="I617" s="80" t="s">
        <v>2961</v>
      </c>
      <c r="J617" s="80" t="s">
        <v>2962</v>
      </c>
    </row>
    <row r="618" spans="1:10">
      <c r="A618" s="79">
        <v>98658450101</v>
      </c>
      <c r="B618" s="80" t="s">
        <v>3239</v>
      </c>
      <c r="C618" s="80" t="s">
        <v>912</v>
      </c>
      <c r="D618" s="80" t="s">
        <v>2989</v>
      </c>
      <c r="E618" s="80" t="s">
        <v>754</v>
      </c>
      <c r="F618" s="81" t="s">
        <v>5155</v>
      </c>
      <c r="G618" s="80" t="s">
        <v>5156</v>
      </c>
      <c r="H618" s="80" t="s">
        <v>5157</v>
      </c>
      <c r="I618" s="80" t="s">
        <v>2990</v>
      </c>
      <c r="J618" s="80" t="s">
        <v>2991</v>
      </c>
    </row>
    <row r="619" spans="1:10">
      <c r="A619" s="79">
        <v>98658410101</v>
      </c>
      <c r="B619" s="80" t="s">
        <v>3239</v>
      </c>
      <c r="C619" s="80" t="s">
        <v>912</v>
      </c>
      <c r="D619" s="80" t="s">
        <v>2921</v>
      </c>
      <c r="E619" s="80" t="s">
        <v>754</v>
      </c>
      <c r="F619" s="81" t="s">
        <v>5158</v>
      </c>
      <c r="G619" s="80" t="s">
        <v>5159</v>
      </c>
      <c r="H619" s="80" t="s">
        <v>5160</v>
      </c>
      <c r="I619" s="80" t="s">
        <v>2922</v>
      </c>
      <c r="J619" s="80" t="s">
        <v>2923</v>
      </c>
    </row>
    <row r="620" spans="1:10">
      <c r="A620" s="79">
        <v>98658435106</v>
      </c>
      <c r="B620" s="80" t="s">
        <v>3239</v>
      </c>
      <c r="C620" s="80" t="s">
        <v>912</v>
      </c>
      <c r="D620" s="80" t="s">
        <v>2957</v>
      </c>
      <c r="E620" s="80" t="s">
        <v>754</v>
      </c>
      <c r="F620" s="81" t="s">
        <v>5161</v>
      </c>
      <c r="G620" s="80" t="s">
        <v>5162</v>
      </c>
      <c r="H620" s="80" t="s">
        <v>5163</v>
      </c>
      <c r="I620" s="80" t="s">
        <v>2958</v>
      </c>
      <c r="J620" s="80" t="s">
        <v>2959</v>
      </c>
    </row>
    <row r="621" spans="1:10">
      <c r="A621" s="79">
        <v>98658470101</v>
      </c>
      <c r="B621" s="80" t="s">
        <v>3239</v>
      </c>
      <c r="C621" s="80" t="s">
        <v>912</v>
      </c>
      <c r="D621" s="80" t="s">
        <v>3004</v>
      </c>
      <c r="E621" s="80" t="s">
        <v>754</v>
      </c>
      <c r="F621" s="81" t="s">
        <v>5164</v>
      </c>
      <c r="G621" s="80" t="s">
        <v>4612</v>
      </c>
      <c r="H621" s="80" t="s">
        <v>5165</v>
      </c>
      <c r="I621" s="80" t="s">
        <v>2604</v>
      </c>
      <c r="J621" s="80" t="s">
        <v>3005</v>
      </c>
    </row>
    <row r="622" spans="1:10">
      <c r="A622" s="79">
        <v>98658402101</v>
      </c>
      <c r="B622" s="80" t="s">
        <v>3239</v>
      </c>
      <c r="C622" s="80" t="s">
        <v>912</v>
      </c>
      <c r="D622" s="80" t="s">
        <v>2911</v>
      </c>
      <c r="E622" s="80" t="s">
        <v>754</v>
      </c>
      <c r="F622" s="81" t="s">
        <v>5166</v>
      </c>
      <c r="G622" s="80" t="s">
        <v>5167</v>
      </c>
      <c r="H622" s="80" t="s">
        <v>5168</v>
      </c>
      <c r="I622" s="80" t="s">
        <v>2912</v>
      </c>
      <c r="J622" s="80" t="s">
        <v>2913</v>
      </c>
    </row>
    <row r="623" spans="1:10">
      <c r="A623" s="79">
        <v>98658445101</v>
      </c>
      <c r="B623" s="80" t="s">
        <v>3239</v>
      </c>
      <c r="C623" s="80" t="s">
        <v>912</v>
      </c>
      <c r="D623" s="80" t="s">
        <v>5169</v>
      </c>
      <c r="E623" s="80" t="s">
        <v>754</v>
      </c>
      <c r="F623" s="81" t="s">
        <v>5170</v>
      </c>
      <c r="G623" s="80" t="s">
        <v>5171</v>
      </c>
      <c r="H623" s="80" t="s">
        <v>5172</v>
      </c>
      <c r="I623" s="80" t="s">
        <v>2983</v>
      </c>
      <c r="J623" s="80" t="s">
        <v>2984</v>
      </c>
    </row>
    <row r="624" spans="1:10">
      <c r="A624" s="79">
        <v>98658430106</v>
      </c>
      <c r="B624" s="80" t="s">
        <v>3239</v>
      </c>
      <c r="C624" s="80" t="s">
        <v>912</v>
      </c>
      <c r="D624" s="80" t="s">
        <v>5173</v>
      </c>
      <c r="E624" s="80" t="s">
        <v>754</v>
      </c>
      <c r="F624" s="81" t="s">
        <v>5174</v>
      </c>
      <c r="G624" s="80" t="s">
        <v>5175</v>
      </c>
      <c r="H624" s="80" t="s">
        <v>5176</v>
      </c>
      <c r="I624" s="80" t="s">
        <v>2948</v>
      </c>
      <c r="J624" s="80" t="s">
        <v>2949</v>
      </c>
    </row>
    <row r="625" spans="1:10">
      <c r="A625" s="79">
        <v>98659415106</v>
      </c>
      <c r="B625" s="80" t="s">
        <v>3239</v>
      </c>
      <c r="C625" s="80" t="s">
        <v>5177</v>
      </c>
      <c r="D625" s="80" t="s">
        <v>3015</v>
      </c>
      <c r="E625" s="80" t="s">
        <v>754</v>
      </c>
      <c r="F625" s="81" t="s">
        <v>5178</v>
      </c>
      <c r="G625" s="80" t="s">
        <v>5179</v>
      </c>
      <c r="H625" s="80" t="s">
        <v>5180</v>
      </c>
      <c r="I625" s="80" t="s">
        <v>3016</v>
      </c>
      <c r="J625" s="80" t="s">
        <v>3017</v>
      </c>
    </row>
    <row r="626" spans="1:10">
      <c r="A626" s="79">
        <v>98659420101</v>
      </c>
      <c r="B626" s="80" t="s">
        <v>3239</v>
      </c>
      <c r="C626" s="80" t="s">
        <v>5177</v>
      </c>
      <c r="D626" s="80" t="s">
        <v>3019</v>
      </c>
      <c r="E626" s="80" t="s">
        <v>754</v>
      </c>
      <c r="F626" s="81" t="s">
        <v>5181</v>
      </c>
      <c r="G626" s="80" t="s">
        <v>5182</v>
      </c>
      <c r="H626" s="80" t="s">
        <v>5183</v>
      </c>
      <c r="I626" s="80" t="s">
        <v>3020</v>
      </c>
      <c r="J626" s="80" t="s">
        <v>3021</v>
      </c>
    </row>
    <row r="627" spans="1:10">
      <c r="A627" s="79">
        <v>98659405101</v>
      </c>
      <c r="B627" s="80" t="s">
        <v>3239</v>
      </c>
      <c r="C627" s="80" t="s">
        <v>5177</v>
      </c>
      <c r="D627" s="80" t="s">
        <v>3008</v>
      </c>
      <c r="E627" s="80" t="s">
        <v>754</v>
      </c>
      <c r="F627" s="81" t="s">
        <v>5184</v>
      </c>
      <c r="G627" s="80" t="s">
        <v>5185</v>
      </c>
      <c r="H627" s="80" t="s">
        <v>5186</v>
      </c>
      <c r="I627" s="80" t="s">
        <v>3009</v>
      </c>
      <c r="J627" s="80" t="s">
        <v>3010</v>
      </c>
    </row>
    <row r="628" spans="1:10">
      <c r="A628" s="79">
        <v>98659415101</v>
      </c>
      <c r="B628" s="80" t="s">
        <v>3239</v>
      </c>
      <c r="C628" s="80" t="s">
        <v>5177</v>
      </c>
      <c r="D628" s="80" t="s">
        <v>3012</v>
      </c>
      <c r="E628" s="80" t="s">
        <v>754</v>
      </c>
      <c r="F628" s="81" t="s">
        <v>5187</v>
      </c>
      <c r="G628" s="80" t="s">
        <v>5188</v>
      </c>
      <c r="H628" s="80" t="s">
        <v>5189</v>
      </c>
      <c r="I628" s="80" t="s">
        <v>3013</v>
      </c>
      <c r="J628" s="80" t="s">
        <v>3014</v>
      </c>
    </row>
    <row r="630" spans="1:10">
      <c r="A630" s="80"/>
    </row>
    <row r="631" spans="1:10">
      <c r="A631" s="80"/>
    </row>
    <row r="632" spans="1:10">
      <c r="A632" s="80"/>
    </row>
    <row r="633" spans="1:10">
      <c r="A633" s="80"/>
    </row>
    <row r="634" spans="1:10">
      <c r="A634" s="80"/>
    </row>
    <row r="635" spans="1:10">
      <c r="A635" s="80"/>
    </row>
    <row r="636" spans="1:10">
      <c r="A636" s="80"/>
    </row>
    <row r="637" spans="1:10">
      <c r="A637" s="80"/>
    </row>
  </sheetData>
  <autoFilter ref="A1:J628"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Зачернение</vt:lpstr>
      <vt:lpstr>Реестр_ЧС</vt:lpstr>
      <vt:lpstr>Анализ_ЧС</vt:lpstr>
      <vt:lpstr>Реестр_затопленных_домов</vt:lpstr>
      <vt:lpstr>Реестр_затопленных_НП</vt:lpstr>
      <vt:lpstr>Перечень_НП</vt:lpstr>
      <vt:lpstr>Подтопленные дороги</vt:lpstr>
      <vt:lpstr>ГТС</vt:lpstr>
      <vt:lpstr>Работы водохранилищ</vt:lpstr>
      <vt:lpstr>Оперативные данные по сбросу</vt:lpstr>
      <vt:lpstr>ГМС</vt:lpstr>
      <vt:lpstr>ОКТМО</vt:lpstr>
      <vt:lpstr>Матрицы</vt:lpstr>
      <vt:lpstr>Координаты_ОКТМО</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 MAIN</dc:creator>
  <cp:lastModifiedBy>CMP MAIN</cp:lastModifiedBy>
  <dcterms:created xsi:type="dcterms:W3CDTF">2015-06-05T18:19:34Z</dcterms:created>
  <dcterms:modified xsi:type="dcterms:W3CDTF">2026-01-27T03:01:52Z</dcterms:modified>
</cp:coreProperties>
</file>